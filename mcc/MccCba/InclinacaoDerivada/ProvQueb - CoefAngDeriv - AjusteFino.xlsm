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iagoao1\Documents\CBA\SCORE\54\score\srcs_desenvolvimento\mcc\MccCba\InclinacaoDerivada\"/>
    </mc:Choice>
  </mc:AlternateContent>
  <xr:revisionPtr revIDLastSave="0" documentId="13_ncr:1_{9E9168B7-7BFF-4BE2-B901-D183B19A4DDC}" xr6:coauthVersionLast="45" xr6:coauthVersionMax="45" xr10:uidLastSave="{00000000-0000-0000-0000-000000000000}"/>
  <bookViews>
    <workbookView xWindow="-120" yWindow="-120" windowWidth="20730" windowHeight="11760" xr2:uid="{AE2FB83D-41DB-4399-BFD7-4288E4271224}"/>
  </bookViews>
  <sheets>
    <sheet name="Config" sheetId="7" r:id="rId1"/>
    <sheet name="LogCuba" sheetId="4" r:id="rId2"/>
    <sheet name="CoefAng" sheetId="2" r:id="rId3"/>
    <sheet name="Result" sheetId="5" state="hidden" r:id="rId4"/>
  </sheets>
  <definedNames>
    <definedName name="NCicCoefAngDeriv">CoefAng!$B$19</definedName>
    <definedName name="SizeOfBuffer">CoefAng!$B$22</definedName>
    <definedName name="Source">CoefAng!$B$9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2" l="1" a="1"/>
  <c r="B10" i="2" s="1"/>
  <c r="B23" i="2"/>
  <c r="Z601" i="4" l="1" a="1"/>
  <c r="Z601" i="4" s="1"/>
  <c r="X601" i="4" a="1"/>
  <c r="X601" i="4" s="1"/>
  <c r="V601" i="4" a="1"/>
  <c r="V601" i="4" s="1"/>
  <c r="T601" i="4" a="1"/>
  <c r="T601" i="4" s="1"/>
  <c r="Z600" i="4" a="1"/>
  <c r="Z600" i="4" s="1"/>
  <c r="X600" i="4" a="1"/>
  <c r="X600" i="4" s="1"/>
  <c r="V600" i="4" a="1"/>
  <c r="V600" i="4" s="1"/>
  <c r="T600" i="4" a="1"/>
  <c r="T600" i="4" s="1"/>
  <c r="Z599" i="4" a="1"/>
  <c r="Z599" i="4" s="1"/>
  <c r="X599" i="4" a="1"/>
  <c r="X599" i="4" s="1"/>
  <c r="V599" i="4" a="1"/>
  <c r="V599" i="4" s="1"/>
  <c r="T599" i="4" a="1"/>
  <c r="T599" i="4" s="1"/>
  <c r="Z598" i="4" a="1"/>
  <c r="Z598" i="4" s="1"/>
  <c r="X598" i="4" a="1"/>
  <c r="X598" i="4" s="1"/>
  <c r="V598" i="4" a="1"/>
  <c r="V598" i="4" s="1"/>
  <c r="T598" i="4" a="1"/>
  <c r="T598" i="4" s="1"/>
  <c r="Z597" i="4" a="1"/>
  <c r="Z597" i="4" s="1"/>
  <c r="X597" i="4" a="1"/>
  <c r="X597" i="4" s="1"/>
  <c r="V597" i="4" a="1"/>
  <c r="V597" i="4" s="1"/>
  <c r="T597" i="4" a="1"/>
  <c r="T597" i="4" s="1"/>
  <c r="Z596" i="4" a="1"/>
  <c r="Z596" i="4" s="1"/>
  <c r="X596" i="4" a="1"/>
  <c r="X596" i="4" s="1"/>
  <c r="V596" i="4" a="1"/>
  <c r="V596" i="4" s="1"/>
  <c r="T596" i="4" a="1"/>
  <c r="T596" i="4" s="1"/>
  <c r="Z595" i="4" a="1"/>
  <c r="Z595" i="4" s="1"/>
  <c r="X595" i="4" a="1"/>
  <c r="X595" i="4" s="1"/>
  <c r="V595" i="4" a="1"/>
  <c r="V595" i="4" s="1"/>
  <c r="T595" i="4" a="1"/>
  <c r="T595" i="4" s="1"/>
  <c r="Z594" i="4" a="1"/>
  <c r="Z594" i="4" s="1"/>
  <c r="X594" i="4" a="1"/>
  <c r="X594" i="4" s="1"/>
  <c r="V594" i="4" a="1"/>
  <c r="V594" i="4" s="1"/>
  <c r="T594" i="4" a="1"/>
  <c r="T594" i="4" s="1"/>
  <c r="Z593" i="4" a="1"/>
  <c r="Z593" i="4" s="1"/>
  <c r="X593" i="4" a="1"/>
  <c r="X593" i="4" s="1"/>
  <c r="V593" i="4" a="1"/>
  <c r="V593" i="4" s="1"/>
  <c r="T593" i="4" a="1"/>
  <c r="T593" i="4" s="1"/>
  <c r="Z592" i="4" a="1"/>
  <c r="Z592" i="4" s="1"/>
  <c r="X592" i="4" a="1"/>
  <c r="X592" i="4" s="1"/>
  <c r="V592" i="4" a="1"/>
  <c r="V592" i="4" s="1"/>
  <c r="T592" i="4" a="1"/>
  <c r="T592" i="4" s="1"/>
  <c r="Z591" i="4" a="1"/>
  <c r="Z591" i="4" s="1"/>
  <c r="X591" i="4" a="1"/>
  <c r="X591" i="4" s="1"/>
  <c r="V591" i="4" a="1"/>
  <c r="V591" i="4" s="1"/>
  <c r="T591" i="4" a="1"/>
  <c r="T591" i="4" s="1"/>
  <c r="Z590" i="4" a="1"/>
  <c r="Z590" i="4" s="1"/>
  <c r="X590" i="4" a="1"/>
  <c r="X590" i="4" s="1"/>
  <c r="V590" i="4" a="1"/>
  <c r="V590" i="4" s="1"/>
  <c r="T590" i="4" a="1"/>
  <c r="T590" i="4" s="1"/>
  <c r="Z589" i="4" a="1"/>
  <c r="Z589" i="4" s="1"/>
  <c r="X589" i="4" a="1"/>
  <c r="X589" i="4" s="1"/>
  <c r="V589" i="4" a="1"/>
  <c r="V589" i="4" s="1"/>
  <c r="T589" i="4" a="1"/>
  <c r="T589" i="4" s="1"/>
  <c r="Z588" i="4" a="1"/>
  <c r="Z588" i="4" s="1"/>
  <c r="X588" i="4" a="1"/>
  <c r="X588" i="4" s="1"/>
  <c r="V588" i="4" a="1"/>
  <c r="V588" i="4" s="1"/>
  <c r="T588" i="4" a="1"/>
  <c r="T588" i="4" s="1"/>
  <c r="Z587" i="4" a="1"/>
  <c r="Z587" i="4" s="1"/>
  <c r="X587" i="4" a="1"/>
  <c r="X587" i="4" s="1"/>
  <c r="V587" i="4" a="1"/>
  <c r="V587" i="4" s="1"/>
  <c r="T587" i="4" a="1"/>
  <c r="T587" i="4" s="1"/>
  <c r="Z586" i="4" a="1"/>
  <c r="Z586" i="4" s="1"/>
  <c r="X586" i="4" a="1"/>
  <c r="X586" i="4" s="1"/>
  <c r="V586" i="4" a="1"/>
  <c r="V586" i="4" s="1"/>
  <c r="T586" i="4" a="1"/>
  <c r="T586" i="4" s="1"/>
  <c r="Z585" i="4" a="1"/>
  <c r="Z585" i="4" s="1"/>
  <c r="X585" i="4" a="1"/>
  <c r="X585" i="4" s="1"/>
  <c r="V585" i="4"/>
  <c r="V585" i="4" a="1"/>
  <c r="T585" i="4" a="1"/>
  <c r="T585" i="4" s="1"/>
  <c r="Z584" i="4" a="1"/>
  <c r="Z584" i="4" s="1"/>
  <c r="X584" i="4" a="1"/>
  <c r="X584" i="4" s="1"/>
  <c r="V584" i="4" a="1"/>
  <c r="V584" i="4" s="1"/>
  <c r="T584" i="4" a="1"/>
  <c r="T584" i="4" s="1"/>
  <c r="Z583" i="4" a="1"/>
  <c r="Z583" i="4" s="1"/>
  <c r="X583" i="4" a="1"/>
  <c r="X583" i="4" s="1"/>
  <c r="V583" i="4" a="1"/>
  <c r="V583" i="4" s="1"/>
  <c r="T583" i="4" a="1"/>
  <c r="T583" i="4" s="1"/>
  <c r="Z582" i="4" a="1"/>
  <c r="Z582" i="4" s="1"/>
  <c r="X582" i="4" a="1"/>
  <c r="X582" i="4" s="1"/>
  <c r="V582" i="4" a="1"/>
  <c r="V582" i="4" s="1"/>
  <c r="T582" i="4" a="1"/>
  <c r="T582" i="4" s="1"/>
  <c r="Z581" i="4" a="1"/>
  <c r="Z581" i="4" s="1"/>
  <c r="X581" i="4" a="1"/>
  <c r="X581" i="4" s="1"/>
  <c r="V581" i="4" a="1"/>
  <c r="V581" i="4" s="1"/>
  <c r="T581" i="4" a="1"/>
  <c r="T581" i="4" s="1"/>
  <c r="Z580" i="4" a="1"/>
  <c r="Z580" i="4" s="1"/>
  <c r="X580" i="4" a="1"/>
  <c r="X580" i="4" s="1"/>
  <c r="V580" i="4" a="1"/>
  <c r="V580" i="4" s="1"/>
  <c r="T580" i="4" a="1"/>
  <c r="T580" i="4" s="1"/>
  <c r="Z579" i="4" a="1"/>
  <c r="Z579" i="4" s="1"/>
  <c r="X579" i="4" a="1"/>
  <c r="X579" i="4" s="1"/>
  <c r="V579" i="4" a="1"/>
  <c r="V579" i="4" s="1"/>
  <c r="T579" i="4" a="1"/>
  <c r="T579" i="4" s="1"/>
  <c r="Z578" i="4" a="1"/>
  <c r="Z578" i="4" s="1"/>
  <c r="X578" i="4" a="1"/>
  <c r="X578" i="4" s="1"/>
  <c r="V578" i="4" a="1"/>
  <c r="V578" i="4" s="1"/>
  <c r="T578" i="4" a="1"/>
  <c r="T578" i="4" s="1"/>
  <c r="Z577" i="4" a="1"/>
  <c r="Z577" i="4" s="1"/>
  <c r="X577" i="4" a="1"/>
  <c r="X577" i="4" s="1"/>
  <c r="V577" i="4" a="1"/>
  <c r="V577" i="4" s="1"/>
  <c r="T577" i="4" a="1"/>
  <c r="T577" i="4" s="1"/>
  <c r="Z576" i="4" a="1"/>
  <c r="Z576" i="4" s="1"/>
  <c r="X576" i="4" a="1"/>
  <c r="X576" i="4" s="1"/>
  <c r="V576" i="4" a="1"/>
  <c r="V576" i="4" s="1"/>
  <c r="T576" i="4" a="1"/>
  <c r="T576" i="4" s="1"/>
  <c r="Z575" i="4" a="1"/>
  <c r="Z575" i="4" s="1"/>
  <c r="X575" i="4" a="1"/>
  <c r="X575" i="4" s="1"/>
  <c r="V575" i="4" a="1"/>
  <c r="V575" i="4" s="1"/>
  <c r="T575" i="4" a="1"/>
  <c r="T575" i="4" s="1"/>
  <c r="Z574" i="4" a="1"/>
  <c r="Z574" i="4" s="1"/>
  <c r="X574" i="4" a="1"/>
  <c r="X574" i="4" s="1"/>
  <c r="V574" i="4" a="1"/>
  <c r="V574" i="4" s="1"/>
  <c r="T574" i="4" a="1"/>
  <c r="T574" i="4" s="1"/>
  <c r="Z573" i="4" a="1"/>
  <c r="Z573" i="4" s="1"/>
  <c r="X573" i="4" a="1"/>
  <c r="X573" i="4" s="1"/>
  <c r="V573" i="4"/>
  <c r="V573" i="4" a="1"/>
  <c r="T573" i="4" a="1"/>
  <c r="T573" i="4" s="1"/>
  <c r="Z572" i="4"/>
  <c r="Z572" i="4" a="1"/>
  <c r="X572" i="4" a="1"/>
  <c r="X572" i="4" s="1"/>
  <c r="V572" i="4" a="1"/>
  <c r="V572" i="4" s="1"/>
  <c r="T572" i="4" a="1"/>
  <c r="T572" i="4" s="1"/>
  <c r="Z571" i="4" a="1"/>
  <c r="Z571" i="4" s="1"/>
  <c r="X571" i="4" a="1"/>
  <c r="X571" i="4" s="1"/>
  <c r="V571" i="4" a="1"/>
  <c r="V571" i="4" s="1"/>
  <c r="T571" i="4" a="1"/>
  <c r="T571" i="4" s="1"/>
  <c r="Z570" i="4" a="1"/>
  <c r="Z570" i="4" s="1"/>
  <c r="X570" i="4" a="1"/>
  <c r="X570" i="4" s="1"/>
  <c r="V570" i="4" a="1"/>
  <c r="V570" i="4" s="1"/>
  <c r="T570" i="4" a="1"/>
  <c r="T570" i="4" s="1"/>
  <c r="Z569" i="4" a="1"/>
  <c r="Z569" i="4" s="1"/>
  <c r="X569" i="4" a="1"/>
  <c r="X569" i="4" s="1"/>
  <c r="V569" i="4"/>
  <c r="V569" i="4" a="1"/>
  <c r="T569" i="4" a="1"/>
  <c r="T569" i="4" s="1"/>
  <c r="Z568" i="4" a="1"/>
  <c r="Z568" i="4" s="1"/>
  <c r="X568" i="4" a="1"/>
  <c r="X568" i="4" s="1"/>
  <c r="V568" i="4" a="1"/>
  <c r="V568" i="4" s="1"/>
  <c r="T568" i="4" a="1"/>
  <c r="T568" i="4" s="1"/>
  <c r="Z567" i="4" a="1"/>
  <c r="Z567" i="4" s="1"/>
  <c r="X567" i="4" a="1"/>
  <c r="X567" i="4" s="1"/>
  <c r="V567" i="4"/>
  <c r="V567" i="4" a="1"/>
  <c r="T567" i="4" a="1"/>
  <c r="T567" i="4" s="1"/>
  <c r="Z566" i="4" a="1"/>
  <c r="Z566" i="4" s="1"/>
  <c r="X566" i="4" a="1"/>
  <c r="X566" i="4" s="1"/>
  <c r="V566" i="4" a="1"/>
  <c r="V566" i="4" s="1"/>
  <c r="T566" i="4" a="1"/>
  <c r="T566" i="4" s="1"/>
  <c r="Z565" i="4" a="1"/>
  <c r="Z565" i="4" s="1"/>
  <c r="X565" i="4" a="1"/>
  <c r="X565" i="4" s="1"/>
  <c r="V565" i="4" a="1"/>
  <c r="V565" i="4" s="1"/>
  <c r="T565" i="4" a="1"/>
  <c r="T565" i="4" s="1"/>
  <c r="Z564" i="4"/>
  <c r="Z564" i="4" a="1"/>
  <c r="X564" i="4" a="1"/>
  <c r="X564" i="4" s="1"/>
  <c r="V564" i="4" a="1"/>
  <c r="V564" i="4" s="1"/>
  <c r="T564" i="4" a="1"/>
  <c r="T564" i="4" s="1"/>
  <c r="Z563" i="4" a="1"/>
  <c r="Z563" i="4" s="1"/>
  <c r="X563" i="4" a="1"/>
  <c r="X563" i="4" s="1"/>
  <c r="V563" i="4" a="1"/>
  <c r="V563" i="4" s="1"/>
  <c r="T563" i="4" a="1"/>
  <c r="T563" i="4" s="1"/>
  <c r="Z562" i="4" a="1"/>
  <c r="Z562" i="4" s="1"/>
  <c r="X562" i="4" a="1"/>
  <c r="X562" i="4" s="1"/>
  <c r="V562" i="4" a="1"/>
  <c r="V562" i="4" s="1"/>
  <c r="T562" i="4" a="1"/>
  <c r="T562" i="4" s="1"/>
  <c r="Z561" i="4" a="1"/>
  <c r="Z561" i="4" s="1"/>
  <c r="X561" i="4" a="1"/>
  <c r="X561" i="4" s="1"/>
  <c r="V561" i="4"/>
  <c r="V561" i="4" a="1"/>
  <c r="T561" i="4" a="1"/>
  <c r="T561" i="4" s="1"/>
  <c r="Z560" i="4" a="1"/>
  <c r="Z560" i="4" s="1"/>
  <c r="X560" i="4" a="1"/>
  <c r="X560" i="4" s="1"/>
  <c r="V560" i="4" a="1"/>
  <c r="V560" i="4" s="1"/>
  <c r="T560" i="4" a="1"/>
  <c r="T560" i="4" s="1"/>
  <c r="Z559" i="4" a="1"/>
  <c r="Z559" i="4" s="1"/>
  <c r="X559" i="4" a="1"/>
  <c r="X559" i="4" s="1"/>
  <c r="V559" i="4" a="1"/>
  <c r="V559" i="4" s="1"/>
  <c r="T559" i="4" a="1"/>
  <c r="T559" i="4" s="1"/>
  <c r="Z558" i="4" a="1"/>
  <c r="Z558" i="4" s="1"/>
  <c r="X558" i="4" a="1"/>
  <c r="X558" i="4" s="1"/>
  <c r="V558" i="4" a="1"/>
  <c r="V558" i="4" s="1"/>
  <c r="T558" i="4" a="1"/>
  <c r="T558" i="4" s="1"/>
  <c r="Z557" i="4" a="1"/>
  <c r="Z557" i="4" s="1"/>
  <c r="X557" i="4" a="1"/>
  <c r="X557" i="4" s="1"/>
  <c r="V557" i="4" a="1"/>
  <c r="V557" i="4" s="1"/>
  <c r="T557" i="4" a="1"/>
  <c r="T557" i="4" s="1"/>
  <c r="Z556" i="4" a="1"/>
  <c r="Z556" i="4" s="1"/>
  <c r="X556" i="4" a="1"/>
  <c r="X556" i="4" s="1"/>
  <c r="V556" i="4" a="1"/>
  <c r="V556" i="4" s="1"/>
  <c r="T556" i="4" a="1"/>
  <c r="T556" i="4" s="1"/>
  <c r="Z555" i="4" a="1"/>
  <c r="Z555" i="4" s="1"/>
  <c r="X555" i="4" a="1"/>
  <c r="X555" i="4" s="1"/>
  <c r="V555" i="4" a="1"/>
  <c r="V555" i="4" s="1"/>
  <c r="T555" i="4" a="1"/>
  <c r="T555" i="4" s="1"/>
  <c r="Z554" i="4" a="1"/>
  <c r="Z554" i="4" s="1"/>
  <c r="X554" i="4" a="1"/>
  <c r="X554" i="4" s="1"/>
  <c r="V554" i="4" a="1"/>
  <c r="V554" i="4" s="1"/>
  <c r="T554" i="4" a="1"/>
  <c r="T554" i="4" s="1"/>
  <c r="Z553" i="4" a="1"/>
  <c r="Z553" i="4" s="1"/>
  <c r="X553" i="4" a="1"/>
  <c r="X553" i="4" s="1"/>
  <c r="V553" i="4" a="1"/>
  <c r="V553" i="4" s="1"/>
  <c r="T553" i="4" a="1"/>
  <c r="T553" i="4" s="1"/>
  <c r="Z552" i="4" a="1"/>
  <c r="Z552" i="4" s="1"/>
  <c r="X552" i="4" a="1"/>
  <c r="X552" i="4" s="1"/>
  <c r="V552" i="4" a="1"/>
  <c r="V552" i="4" s="1"/>
  <c r="T552" i="4" a="1"/>
  <c r="T552" i="4" s="1"/>
  <c r="Z551" i="4" a="1"/>
  <c r="Z551" i="4" s="1"/>
  <c r="X551" i="4" a="1"/>
  <c r="X551" i="4" s="1"/>
  <c r="V551" i="4" a="1"/>
  <c r="V551" i="4" s="1"/>
  <c r="T551" i="4" a="1"/>
  <c r="T551" i="4" s="1"/>
  <c r="Z550" i="4" a="1"/>
  <c r="Z550" i="4" s="1"/>
  <c r="X550" i="4" a="1"/>
  <c r="X550" i="4" s="1"/>
  <c r="V550" i="4" a="1"/>
  <c r="V550" i="4" s="1"/>
  <c r="T550" i="4" a="1"/>
  <c r="T550" i="4" s="1"/>
  <c r="Z549" i="4" a="1"/>
  <c r="Z549" i="4" s="1"/>
  <c r="X549" i="4" a="1"/>
  <c r="X549" i="4" s="1"/>
  <c r="V549" i="4" a="1"/>
  <c r="V549" i="4" s="1"/>
  <c r="T549" i="4" a="1"/>
  <c r="T549" i="4" s="1"/>
  <c r="Z548" i="4" a="1"/>
  <c r="Z548" i="4" s="1"/>
  <c r="X548" i="4" a="1"/>
  <c r="X548" i="4" s="1"/>
  <c r="V548" i="4" a="1"/>
  <c r="V548" i="4" s="1"/>
  <c r="T548" i="4" a="1"/>
  <c r="T548" i="4" s="1"/>
  <c r="Z547" i="4" a="1"/>
  <c r="Z547" i="4" s="1"/>
  <c r="X547" i="4" a="1"/>
  <c r="X547" i="4" s="1"/>
  <c r="V547" i="4" a="1"/>
  <c r="V547" i="4" s="1"/>
  <c r="T547" i="4" a="1"/>
  <c r="T547" i="4" s="1"/>
  <c r="Z546" i="4" a="1"/>
  <c r="Z546" i="4" s="1"/>
  <c r="X546" i="4" a="1"/>
  <c r="X546" i="4" s="1"/>
  <c r="V546" i="4" a="1"/>
  <c r="V546" i="4" s="1"/>
  <c r="T546" i="4" a="1"/>
  <c r="T546" i="4" s="1"/>
  <c r="Z545" i="4" a="1"/>
  <c r="Z545" i="4" s="1"/>
  <c r="X545" i="4" a="1"/>
  <c r="X545" i="4" s="1"/>
  <c r="V545" i="4"/>
  <c r="V545" i="4" a="1"/>
  <c r="T545" i="4" a="1"/>
  <c r="T545" i="4" s="1"/>
  <c r="Z544" i="4" a="1"/>
  <c r="Z544" i="4" s="1"/>
  <c r="X544" i="4" a="1"/>
  <c r="X544" i="4" s="1"/>
  <c r="V544" i="4" a="1"/>
  <c r="V544" i="4" s="1"/>
  <c r="T544" i="4" a="1"/>
  <c r="T544" i="4" s="1"/>
  <c r="Z543" i="4" a="1"/>
  <c r="Z543" i="4" s="1"/>
  <c r="X543" i="4" a="1"/>
  <c r="X543" i="4" s="1"/>
  <c r="V543" i="4" a="1"/>
  <c r="V543" i="4" s="1"/>
  <c r="T543" i="4" a="1"/>
  <c r="T543" i="4" s="1"/>
  <c r="Z542" i="4" a="1"/>
  <c r="Z542" i="4" s="1"/>
  <c r="X542" i="4" a="1"/>
  <c r="X542" i="4" s="1"/>
  <c r="V542" i="4" a="1"/>
  <c r="V542" i="4" s="1"/>
  <c r="T542" i="4" a="1"/>
  <c r="T542" i="4" s="1"/>
  <c r="Z541" i="4" a="1"/>
  <c r="Z541" i="4" s="1"/>
  <c r="X541" i="4" a="1"/>
  <c r="X541" i="4" s="1"/>
  <c r="V541" i="4"/>
  <c r="V541" i="4" a="1"/>
  <c r="T541" i="4" a="1"/>
  <c r="T541" i="4" s="1"/>
  <c r="Z540" i="4" a="1"/>
  <c r="Z540" i="4" s="1"/>
  <c r="X540" i="4" a="1"/>
  <c r="X540" i="4" s="1"/>
  <c r="V540" i="4" a="1"/>
  <c r="V540" i="4" s="1"/>
  <c r="T540" i="4" a="1"/>
  <c r="T540" i="4" s="1"/>
  <c r="Z539" i="4" a="1"/>
  <c r="Z539" i="4" s="1"/>
  <c r="X539" i="4" a="1"/>
  <c r="X539" i="4" s="1"/>
  <c r="V539" i="4" a="1"/>
  <c r="V539" i="4" s="1"/>
  <c r="T539" i="4" a="1"/>
  <c r="T539" i="4" s="1"/>
  <c r="Z538" i="4" a="1"/>
  <c r="Z538" i="4" s="1"/>
  <c r="X538" i="4" a="1"/>
  <c r="X538" i="4" s="1"/>
  <c r="V538" i="4" a="1"/>
  <c r="V538" i="4" s="1"/>
  <c r="T538" i="4" a="1"/>
  <c r="T538" i="4" s="1"/>
  <c r="Z537" i="4" a="1"/>
  <c r="Z537" i="4" s="1"/>
  <c r="X537" i="4" a="1"/>
  <c r="X537" i="4" s="1"/>
  <c r="V537" i="4"/>
  <c r="V537" i="4" a="1"/>
  <c r="T537" i="4" a="1"/>
  <c r="T537" i="4" s="1"/>
  <c r="Z536" i="4" a="1"/>
  <c r="Z536" i="4" s="1"/>
  <c r="X536" i="4" a="1"/>
  <c r="X536" i="4" s="1"/>
  <c r="V536" i="4" a="1"/>
  <c r="V536" i="4" s="1"/>
  <c r="T536" i="4" a="1"/>
  <c r="T536" i="4" s="1"/>
  <c r="Z535" i="4" a="1"/>
  <c r="Z535" i="4" s="1"/>
  <c r="X535" i="4" a="1"/>
  <c r="X535" i="4" s="1"/>
  <c r="V535" i="4"/>
  <c r="V535" i="4" a="1"/>
  <c r="T535" i="4" a="1"/>
  <c r="T535" i="4" s="1"/>
  <c r="Z534" i="4" a="1"/>
  <c r="Z534" i="4" s="1"/>
  <c r="X534" i="4" a="1"/>
  <c r="X534" i="4" s="1"/>
  <c r="V534" i="4" a="1"/>
  <c r="V534" i="4" s="1"/>
  <c r="T534" i="4" a="1"/>
  <c r="T534" i="4" s="1"/>
  <c r="Z533" i="4" a="1"/>
  <c r="Z533" i="4" s="1"/>
  <c r="X533" i="4" a="1"/>
  <c r="X533" i="4" s="1"/>
  <c r="V533" i="4" a="1"/>
  <c r="V533" i="4" s="1"/>
  <c r="T533" i="4" a="1"/>
  <c r="T533" i="4" s="1"/>
  <c r="Z532" i="4" a="1"/>
  <c r="Z532" i="4" s="1"/>
  <c r="X532" i="4" a="1"/>
  <c r="X532" i="4" s="1"/>
  <c r="V532" i="4" a="1"/>
  <c r="V532" i="4" s="1"/>
  <c r="T532" i="4" a="1"/>
  <c r="T532" i="4" s="1"/>
  <c r="Z531" i="4" a="1"/>
  <c r="Z531" i="4" s="1"/>
  <c r="X531" i="4" a="1"/>
  <c r="X531" i="4" s="1"/>
  <c r="V531" i="4"/>
  <c r="V531" i="4" a="1"/>
  <c r="T531" i="4" a="1"/>
  <c r="T531" i="4" s="1"/>
  <c r="Z530" i="4" a="1"/>
  <c r="Z530" i="4" s="1"/>
  <c r="X530" i="4" a="1"/>
  <c r="X530" i="4" s="1"/>
  <c r="V530" i="4" a="1"/>
  <c r="V530" i="4" s="1"/>
  <c r="T530" i="4" a="1"/>
  <c r="T530" i="4" s="1"/>
  <c r="Z529" i="4" a="1"/>
  <c r="Z529" i="4" s="1"/>
  <c r="X529" i="4" a="1"/>
  <c r="X529" i="4" s="1"/>
  <c r="V529" i="4" a="1"/>
  <c r="V529" i="4" s="1"/>
  <c r="T529" i="4" a="1"/>
  <c r="T529" i="4" s="1"/>
  <c r="Z528" i="4" a="1"/>
  <c r="Z528" i="4" s="1"/>
  <c r="X528" i="4" a="1"/>
  <c r="X528" i="4" s="1"/>
  <c r="V528" i="4" a="1"/>
  <c r="V528" i="4" s="1"/>
  <c r="T528" i="4" a="1"/>
  <c r="T528" i="4" s="1"/>
  <c r="Z527" i="4" a="1"/>
  <c r="Z527" i="4" s="1"/>
  <c r="X527" i="4" a="1"/>
  <c r="X527" i="4" s="1"/>
  <c r="V527" i="4"/>
  <c r="V527" i="4" a="1"/>
  <c r="T527" i="4" a="1"/>
  <c r="T527" i="4" s="1"/>
  <c r="Z526" i="4" a="1"/>
  <c r="Z526" i="4" s="1"/>
  <c r="X526" i="4" a="1"/>
  <c r="X526" i="4" s="1"/>
  <c r="V526" i="4" a="1"/>
  <c r="V526" i="4" s="1"/>
  <c r="T526" i="4" a="1"/>
  <c r="T526" i="4" s="1"/>
  <c r="Z525" i="4" a="1"/>
  <c r="Z525" i="4" s="1"/>
  <c r="X525" i="4" a="1"/>
  <c r="X525" i="4" s="1"/>
  <c r="V525" i="4" a="1"/>
  <c r="V525" i="4" s="1"/>
  <c r="T525" i="4" a="1"/>
  <c r="T525" i="4" s="1"/>
  <c r="Z524" i="4" a="1"/>
  <c r="Z524" i="4" s="1"/>
  <c r="X524" i="4" a="1"/>
  <c r="X524" i="4" s="1"/>
  <c r="V524" i="4" a="1"/>
  <c r="V524" i="4" s="1"/>
  <c r="T524" i="4" a="1"/>
  <c r="T524" i="4" s="1"/>
  <c r="Z523" i="4" a="1"/>
  <c r="Z523" i="4" s="1"/>
  <c r="X523" i="4" a="1"/>
  <c r="X523" i="4" s="1"/>
  <c r="V523" i="4" a="1"/>
  <c r="V523" i="4" s="1"/>
  <c r="T523" i="4" a="1"/>
  <c r="T523" i="4" s="1"/>
  <c r="Z522" i="4" a="1"/>
  <c r="Z522" i="4" s="1"/>
  <c r="X522" i="4" a="1"/>
  <c r="X522" i="4" s="1"/>
  <c r="V522" i="4" a="1"/>
  <c r="V522" i="4" s="1"/>
  <c r="T522" i="4" a="1"/>
  <c r="T522" i="4" s="1"/>
  <c r="Z521" i="4" a="1"/>
  <c r="Z521" i="4" s="1"/>
  <c r="X521" i="4" a="1"/>
  <c r="X521" i="4" s="1"/>
  <c r="V521" i="4" a="1"/>
  <c r="V521" i="4" s="1"/>
  <c r="T521" i="4" a="1"/>
  <c r="T521" i="4" s="1"/>
  <c r="Z520" i="4" a="1"/>
  <c r="Z520" i="4" s="1"/>
  <c r="X520" i="4" a="1"/>
  <c r="X520" i="4" s="1"/>
  <c r="V520" i="4" a="1"/>
  <c r="V520" i="4" s="1"/>
  <c r="T520" i="4" a="1"/>
  <c r="T520" i="4" s="1"/>
  <c r="Z519" i="4" a="1"/>
  <c r="Z519" i="4" s="1"/>
  <c r="X519" i="4" a="1"/>
  <c r="X519" i="4" s="1"/>
  <c r="V519" i="4" a="1"/>
  <c r="V519" i="4" s="1"/>
  <c r="T519" i="4" a="1"/>
  <c r="T519" i="4" s="1"/>
  <c r="Z518" i="4" a="1"/>
  <c r="Z518" i="4" s="1"/>
  <c r="X518" i="4" a="1"/>
  <c r="X518" i="4" s="1"/>
  <c r="V518" i="4" a="1"/>
  <c r="V518" i="4" s="1"/>
  <c r="T518" i="4" a="1"/>
  <c r="T518" i="4" s="1"/>
  <c r="Z517" i="4" a="1"/>
  <c r="Z517" i="4" s="1"/>
  <c r="X517" i="4" a="1"/>
  <c r="X517" i="4" s="1"/>
  <c r="V517" i="4" a="1"/>
  <c r="V517" i="4" s="1"/>
  <c r="T517" i="4" a="1"/>
  <c r="T517" i="4" s="1"/>
  <c r="Z516" i="4" a="1"/>
  <c r="Z516" i="4" s="1"/>
  <c r="X516" i="4" a="1"/>
  <c r="X516" i="4" s="1"/>
  <c r="V516" i="4" a="1"/>
  <c r="V516" i="4" s="1"/>
  <c r="T516" i="4" a="1"/>
  <c r="T516" i="4" s="1"/>
  <c r="Z515" i="4" a="1"/>
  <c r="Z515" i="4" s="1"/>
  <c r="X515" i="4" a="1"/>
  <c r="X515" i="4" s="1"/>
  <c r="V515" i="4" a="1"/>
  <c r="V515" i="4" s="1"/>
  <c r="T515" i="4" a="1"/>
  <c r="T515" i="4" s="1"/>
  <c r="Z514" i="4" a="1"/>
  <c r="Z514" i="4" s="1"/>
  <c r="X514" i="4" a="1"/>
  <c r="X514" i="4" s="1"/>
  <c r="V514" i="4"/>
  <c r="V514" i="4" a="1"/>
  <c r="T514" i="4" a="1"/>
  <c r="T514" i="4" s="1"/>
  <c r="Z513" i="4" a="1"/>
  <c r="Z513" i="4" s="1"/>
  <c r="X513" i="4" a="1"/>
  <c r="X513" i="4" s="1"/>
  <c r="V513" i="4" a="1"/>
  <c r="V513" i="4" s="1"/>
  <c r="T513" i="4" a="1"/>
  <c r="T513" i="4" s="1"/>
  <c r="Z512" i="4" a="1"/>
  <c r="Z512" i="4" s="1"/>
  <c r="X512" i="4" a="1"/>
  <c r="X512" i="4" s="1"/>
  <c r="V512" i="4" a="1"/>
  <c r="V512" i="4" s="1"/>
  <c r="T512" i="4" a="1"/>
  <c r="T512" i="4" s="1"/>
  <c r="Z511" i="4" a="1"/>
  <c r="Z511" i="4" s="1"/>
  <c r="X511" i="4" a="1"/>
  <c r="X511" i="4" s="1"/>
  <c r="V511" i="4" a="1"/>
  <c r="V511" i="4" s="1"/>
  <c r="T511" i="4" a="1"/>
  <c r="T511" i="4" s="1"/>
  <c r="Z510" i="4" a="1"/>
  <c r="Z510" i="4" s="1"/>
  <c r="X510" i="4" a="1"/>
  <c r="X510" i="4" s="1"/>
  <c r="V510" i="4" a="1"/>
  <c r="V510" i="4" s="1"/>
  <c r="T510" i="4" a="1"/>
  <c r="T510" i="4" s="1"/>
  <c r="Z509" i="4" a="1"/>
  <c r="Z509" i="4" s="1"/>
  <c r="X509" i="4" a="1"/>
  <c r="X509" i="4" s="1"/>
  <c r="V509" i="4" a="1"/>
  <c r="V509" i="4" s="1"/>
  <c r="T509" i="4" a="1"/>
  <c r="T509" i="4" s="1"/>
  <c r="Z508" i="4" a="1"/>
  <c r="Z508" i="4" s="1"/>
  <c r="X508" i="4" a="1"/>
  <c r="X508" i="4" s="1"/>
  <c r="V508" i="4" a="1"/>
  <c r="V508" i="4" s="1"/>
  <c r="T508" i="4" a="1"/>
  <c r="T508" i="4" s="1"/>
  <c r="Z507" i="4" a="1"/>
  <c r="Z507" i="4" s="1"/>
  <c r="X507" i="4" a="1"/>
  <c r="X507" i="4" s="1"/>
  <c r="V507" i="4" a="1"/>
  <c r="V507" i="4" s="1"/>
  <c r="T507" i="4" a="1"/>
  <c r="T507" i="4" s="1"/>
  <c r="Z506" i="4" a="1"/>
  <c r="Z506" i="4" s="1"/>
  <c r="X506" i="4" a="1"/>
  <c r="X506" i="4" s="1"/>
  <c r="V506" i="4"/>
  <c r="V506" i="4" a="1"/>
  <c r="T506" i="4" a="1"/>
  <c r="T506" i="4" s="1"/>
  <c r="Z505" i="4" a="1"/>
  <c r="Z505" i="4" s="1"/>
  <c r="X505" i="4" a="1"/>
  <c r="X505" i="4" s="1"/>
  <c r="V505" i="4" a="1"/>
  <c r="V505" i="4" s="1"/>
  <c r="T505" i="4" a="1"/>
  <c r="T505" i="4" s="1"/>
  <c r="Z504" i="4" a="1"/>
  <c r="Z504" i="4" s="1"/>
  <c r="X504" i="4" a="1"/>
  <c r="X504" i="4" s="1"/>
  <c r="V504" i="4" a="1"/>
  <c r="V504" i="4" s="1"/>
  <c r="T504" i="4" a="1"/>
  <c r="T504" i="4" s="1"/>
  <c r="Z503" i="4" a="1"/>
  <c r="Z503" i="4" s="1"/>
  <c r="X503" i="4" a="1"/>
  <c r="X503" i="4" s="1"/>
  <c r="V503" i="4" a="1"/>
  <c r="V503" i="4" s="1"/>
  <c r="T503" i="4" a="1"/>
  <c r="T503" i="4" s="1"/>
  <c r="Z502" i="4" a="1"/>
  <c r="Z502" i="4" s="1"/>
  <c r="X502" i="4" a="1"/>
  <c r="X502" i="4" s="1"/>
  <c r="V502" i="4" a="1"/>
  <c r="V502" i="4" s="1"/>
  <c r="T502" i="4" a="1"/>
  <c r="T502" i="4" s="1"/>
  <c r="Z501" i="4" a="1"/>
  <c r="Z501" i="4" s="1"/>
  <c r="X501" i="4" a="1"/>
  <c r="X501" i="4" s="1"/>
  <c r="V501" i="4" a="1"/>
  <c r="V501" i="4" s="1"/>
  <c r="T501" i="4" a="1"/>
  <c r="T501" i="4" s="1"/>
  <c r="Z500" i="4" a="1"/>
  <c r="Z500" i="4" s="1"/>
  <c r="X500" i="4" a="1"/>
  <c r="X500" i="4" s="1"/>
  <c r="V500" i="4" a="1"/>
  <c r="V500" i="4" s="1"/>
  <c r="T500" i="4" a="1"/>
  <c r="T500" i="4" s="1"/>
  <c r="Z499" i="4" a="1"/>
  <c r="Z499" i="4" s="1"/>
  <c r="X499" i="4" a="1"/>
  <c r="X499" i="4" s="1"/>
  <c r="V499" i="4" a="1"/>
  <c r="V499" i="4" s="1"/>
  <c r="T499" i="4" a="1"/>
  <c r="T499" i="4" s="1"/>
  <c r="Z498" i="4" a="1"/>
  <c r="Z498" i="4" s="1"/>
  <c r="X498" i="4" a="1"/>
  <c r="X498" i="4" s="1"/>
  <c r="V498" i="4"/>
  <c r="V498" i="4" a="1"/>
  <c r="T498" i="4" a="1"/>
  <c r="T498" i="4" s="1"/>
  <c r="Z497" i="4" a="1"/>
  <c r="Z497" i="4" s="1"/>
  <c r="X497" i="4" a="1"/>
  <c r="X497" i="4" s="1"/>
  <c r="V497" i="4" a="1"/>
  <c r="V497" i="4" s="1"/>
  <c r="T497" i="4" a="1"/>
  <c r="T497" i="4" s="1"/>
  <c r="Z496" i="4" a="1"/>
  <c r="Z496" i="4" s="1"/>
  <c r="X496" i="4" a="1"/>
  <c r="X496" i="4" s="1"/>
  <c r="V496" i="4" a="1"/>
  <c r="V496" i="4" s="1"/>
  <c r="T496" i="4" a="1"/>
  <c r="T496" i="4" s="1"/>
  <c r="Z495" i="4" a="1"/>
  <c r="Z495" i="4" s="1"/>
  <c r="X495" i="4" a="1"/>
  <c r="X495" i="4" s="1"/>
  <c r="V495" i="4" a="1"/>
  <c r="V495" i="4" s="1"/>
  <c r="T495" i="4" a="1"/>
  <c r="T495" i="4" s="1"/>
  <c r="Z494" i="4" a="1"/>
  <c r="Z494" i="4" s="1"/>
  <c r="X494" i="4" a="1"/>
  <c r="X494" i="4" s="1"/>
  <c r="V494" i="4" a="1"/>
  <c r="V494" i="4" s="1"/>
  <c r="T494" i="4" a="1"/>
  <c r="T494" i="4" s="1"/>
  <c r="Z493" i="4" a="1"/>
  <c r="Z493" i="4" s="1"/>
  <c r="X493" i="4" a="1"/>
  <c r="X493" i="4" s="1"/>
  <c r="V493" i="4" a="1"/>
  <c r="V493" i="4" s="1"/>
  <c r="T493" i="4" a="1"/>
  <c r="T493" i="4" s="1"/>
  <c r="Z492" i="4" a="1"/>
  <c r="Z492" i="4" s="1"/>
  <c r="X492" i="4" a="1"/>
  <c r="X492" i="4" s="1"/>
  <c r="V492" i="4" a="1"/>
  <c r="V492" i="4" s="1"/>
  <c r="T492" i="4" a="1"/>
  <c r="T492" i="4" s="1"/>
  <c r="Z491" i="4" a="1"/>
  <c r="Z491" i="4" s="1"/>
  <c r="X491" i="4" a="1"/>
  <c r="X491" i="4" s="1"/>
  <c r="V491" i="4" a="1"/>
  <c r="V491" i="4" s="1"/>
  <c r="T491" i="4" a="1"/>
  <c r="T491" i="4" s="1"/>
  <c r="Z490" i="4" a="1"/>
  <c r="Z490" i="4" s="1"/>
  <c r="X490" i="4" a="1"/>
  <c r="X490" i="4" s="1"/>
  <c r="V490" i="4"/>
  <c r="V490" i="4" a="1"/>
  <c r="T490" i="4" a="1"/>
  <c r="T490" i="4" s="1"/>
  <c r="Z489" i="4" a="1"/>
  <c r="Z489" i="4" s="1"/>
  <c r="X489" i="4" a="1"/>
  <c r="X489" i="4" s="1"/>
  <c r="V489" i="4" a="1"/>
  <c r="V489" i="4" s="1"/>
  <c r="T489" i="4" a="1"/>
  <c r="T489" i="4" s="1"/>
  <c r="Z488" i="4" a="1"/>
  <c r="Z488" i="4" s="1"/>
  <c r="X488" i="4" a="1"/>
  <c r="X488" i="4" s="1"/>
  <c r="V488" i="4" a="1"/>
  <c r="V488" i="4" s="1"/>
  <c r="T488" i="4" a="1"/>
  <c r="T488" i="4" s="1"/>
  <c r="Z487" i="4" a="1"/>
  <c r="Z487" i="4" s="1"/>
  <c r="X487" i="4" a="1"/>
  <c r="X487" i="4" s="1"/>
  <c r="V487" i="4" a="1"/>
  <c r="V487" i="4" s="1"/>
  <c r="T487" i="4" a="1"/>
  <c r="T487" i="4" s="1"/>
  <c r="Z486" i="4" a="1"/>
  <c r="Z486" i="4" s="1"/>
  <c r="X486" i="4" a="1"/>
  <c r="X486" i="4" s="1"/>
  <c r="V486" i="4" a="1"/>
  <c r="V486" i="4" s="1"/>
  <c r="T486" i="4" a="1"/>
  <c r="T486" i="4" s="1"/>
  <c r="Z485" i="4" a="1"/>
  <c r="Z485" i="4" s="1"/>
  <c r="X485" i="4" a="1"/>
  <c r="X485" i="4" s="1"/>
  <c r="V485" i="4" a="1"/>
  <c r="V485" i="4" s="1"/>
  <c r="T485" i="4" a="1"/>
  <c r="T485" i="4" s="1"/>
  <c r="Z484" i="4" a="1"/>
  <c r="Z484" i="4" s="1"/>
  <c r="X484" i="4" a="1"/>
  <c r="X484" i="4" s="1"/>
  <c r="V484" i="4" a="1"/>
  <c r="V484" i="4" s="1"/>
  <c r="T484" i="4" a="1"/>
  <c r="T484" i="4" s="1"/>
  <c r="Z483" i="4" a="1"/>
  <c r="Z483" i="4" s="1"/>
  <c r="X483" i="4" a="1"/>
  <c r="X483" i="4" s="1"/>
  <c r="V483" i="4"/>
  <c r="V483" i="4" a="1"/>
  <c r="T483" i="4" a="1"/>
  <c r="T483" i="4" s="1"/>
  <c r="Z482" i="4" a="1"/>
  <c r="Z482" i="4" s="1"/>
  <c r="X482" i="4" a="1"/>
  <c r="X482" i="4" s="1"/>
  <c r="V482" i="4" a="1"/>
  <c r="V482" i="4" s="1"/>
  <c r="T482" i="4" a="1"/>
  <c r="T482" i="4" s="1"/>
  <c r="Z481" i="4" a="1"/>
  <c r="Z481" i="4" s="1"/>
  <c r="X481" i="4" a="1"/>
  <c r="X481" i="4" s="1"/>
  <c r="V481" i="4" a="1"/>
  <c r="V481" i="4" s="1"/>
  <c r="T481" i="4" a="1"/>
  <c r="T481" i="4" s="1"/>
  <c r="Z480" i="4" a="1"/>
  <c r="Z480" i="4" s="1"/>
  <c r="X480" i="4" a="1"/>
  <c r="X480" i="4" s="1"/>
  <c r="V480" i="4" a="1"/>
  <c r="V480" i="4" s="1"/>
  <c r="T480" i="4" a="1"/>
  <c r="T480" i="4" s="1"/>
  <c r="Z479" i="4" a="1"/>
  <c r="Z479" i="4" s="1"/>
  <c r="X479" i="4" a="1"/>
  <c r="X479" i="4" s="1"/>
  <c r="V479" i="4" a="1"/>
  <c r="V479" i="4" s="1"/>
  <c r="T479" i="4" a="1"/>
  <c r="T479" i="4" s="1"/>
  <c r="Z478" i="4" a="1"/>
  <c r="Z478" i="4" s="1"/>
  <c r="X478" i="4" a="1"/>
  <c r="X478" i="4" s="1"/>
  <c r="V478" i="4" a="1"/>
  <c r="V478" i="4" s="1"/>
  <c r="T478" i="4" a="1"/>
  <c r="T478" i="4" s="1"/>
  <c r="Z477" i="4" a="1"/>
  <c r="Z477" i="4" s="1"/>
  <c r="X477" i="4" a="1"/>
  <c r="X477" i="4" s="1"/>
  <c r="V477" i="4" a="1"/>
  <c r="V477" i="4" s="1"/>
  <c r="T477" i="4" a="1"/>
  <c r="T477" i="4" s="1"/>
  <c r="Z476" i="4" a="1"/>
  <c r="Z476" i="4" s="1"/>
  <c r="X476" i="4" a="1"/>
  <c r="X476" i="4" s="1"/>
  <c r="V476" i="4" a="1"/>
  <c r="V476" i="4" s="1"/>
  <c r="T476" i="4" a="1"/>
  <c r="T476" i="4" s="1"/>
  <c r="Z475" i="4" a="1"/>
  <c r="Z475" i="4" s="1"/>
  <c r="X475" i="4" a="1"/>
  <c r="X475" i="4" s="1"/>
  <c r="V475" i="4" a="1"/>
  <c r="V475" i="4" s="1"/>
  <c r="T475" i="4" a="1"/>
  <c r="T475" i="4" s="1"/>
  <c r="Z474" i="4" a="1"/>
  <c r="Z474" i="4" s="1"/>
  <c r="X474" i="4" a="1"/>
  <c r="X474" i="4" s="1"/>
  <c r="V474" i="4" a="1"/>
  <c r="V474" i="4" s="1"/>
  <c r="T474" i="4" a="1"/>
  <c r="T474" i="4" s="1"/>
  <c r="Z473" i="4" a="1"/>
  <c r="Z473" i="4" s="1"/>
  <c r="X473" i="4" a="1"/>
  <c r="X473" i="4" s="1"/>
  <c r="V473" i="4" a="1"/>
  <c r="V473" i="4" s="1"/>
  <c r="T473" i="4" a="1"/>
  <c r="T473" i="4" s="1"/>
  <c r="Z472" i="4" a="1"/>
  <c r="Z472" i="4" s="1"/>
  <c r="X472" i="4" a="1"/>
  <c r="X472" i="4" s="1"/>
  <c r="V472" i="4" a="1"/>
  <c r="V472" i="4" s="1"/>
  <c r="T472" i="4" a="1"/>
  <c r="T472" i="4" s="1"/>
  <c r="Z471" i="4" a="1"/>
  <c r="Z471" i="4" s="1"/>
  <c r="X471" i="4" a="1"/>
  <c r="X471" i="4" s="1"/>
  <c r="V471" i="4" a="1"/>
  <c r="V471" i="4" s="1"/>
  <c r="T471" i="4" a="1"/>
  <c r="T471" i="4" s="1"/>
  <c r="Z470" i="4" a="1"/>
  <c r="Z470" i="4" s="1"/>
  <c r="X470" i="4" a="1"/>
  <c r="X470" i="4" s="1"/>
  <c r="V470" i="4" a="1"/>
  <c r="V470" i="4" s="1"/>
  <c r="T470" i="4" a="1"/>
  <c r="T470" i="4" s="1"/>
  <c r="Z469" i="4" a="1"/>
  <c r="Z469" i="4" s="1"/>
  <c r="X469" i="4" a="1"/>
  <c r="X469" i="4" s="1"/>
  <c r="V469" i="4" a="1"/>
  <c r="V469" i="4" s="1"/>
  <c r="T469" i="4" a="1"/>
  <c r="T469" i="4" s="1"/>
  <c r="Z468" i="4" a="1"/>
  <c r="Z468" i="4" s="1"/>
  <c r="X468" i="4" a="1"/>
  <c r="X468" i="4" s="1"/>
  <c r="V468" i="4" a="1"/>
  <c r="V468" i="4" s="1"/>
  <c r="T468" i="4" a="1"/>
  <c r="T468" i="4" s="1"/>
  <c r="Z467" i="4" a="1"/>
  <c r="Z467" i="4" s="1"/>
  <c r="X467" i="4" a="1"/>
  <c r="X467" i="4" s="1"/>
  <c r="V467" i="4"/>
  <c r="V467" i="4" a="1"/>
  <c r="T467" i="4" a="1"/>
  <c r="T467" i="4" s="1"/>
  <c r="Z466" i="4" a="1"/>
  <c r="Z466" i="4" s="1"/>
  <c r="X466" i="4" a="1"/>
  <c r="X466" i="4" s="1"/>
  <c r="V466" i="4" a="1"/>
  <c r="V466" i="4" s="1"/>
  <c r="T466" i="4" a="1"/>
  <c r="T466" i="4" s="1"/>
  <c r="Z465" i="4" a="1"/>
  <c r="Z465" i="4" s="1"/>
  <c r="X465" i="4" a="1"/>
  <c r="X465" i="4" s="1"/>
  <c r="V465" i="4" a="1"/>
  <c r="V465" i="4" s="1"/>
  <c r="T465" i="4" a="1"/>
  <c r="T465" i="4" s="1"/>
  <c r="Z464" i="4" a="1"/>
  <c r="Z464" i="4" s="1"/>
  <c r="X464" i="4" a="1"/>
  <c r="X464" i="4" s="1"/>
  <c r="V464" i="4" a="1"/>
  <c r="V464" i="4" s="1"/>
  <c r="T464" i="4" a="1"/>
  <c r="T464" i="4" s="1"/>
  <c r="Z463" i="4" a="1"/>
  <c r="Z463" i="4" s="1"/>
  <c r="X463" i="4" a="1"/>
  <c r="X463" i="4" s="1"/>
  <c r="V463" i="4" a="1"/>
  <c r="V463" i="4" s="1"/>
  <c r="T463" i="4" a="1"/>
  <c r="T463" i="4" s="1"/>
  <c r="Z462" i="4" a="1"/>
  <c r="Z462" i="4" s="1"/>
  <c r="X462" i="4" a="1"/>
  <c r="X462" i="4" s="1"/>
  <c r="V462" i="4" a="1"/>
  <c r="V462" i="4" s="1"/>
  <c r="T462" i="4" a="1"/>
  <c r="T462" i="4" s="1"/>
  <c r="Z461" i="4" a="1"/>
  <c r="Z461" i="4" s="1"/>
  <c r="X461" i="4"/>
  <c r="X461" i="4" a="1"/>
  <c r="V461" i="4" a="1"/>
  <c r="V461" i="4" s="1"/>
  <c r="T461" i="4" a="1"/>
  <c r="T461" i="4" s="1"/>
  <c r="Z460" i="4" a="1"/>
  <c r="Z460" i="4" s="1"/>
  <c r="X460" i="4" a="1"/>
  <c r="X460" i="4" s="1"/>
  <c r="V460" i="4" a="1"/>
  <c r="V460" i="4" s="1"/>
  <c r="T460" i="4" a="1"/>
  <c r="T460" i="4" s="1"/>
  <c r="Z459" i="4" a="1"/>
  <c r="Z459" i="4" s="1"/>
  <c r="X459" i="4" a="1"/>
  <c r="X459" i="4" s="1"/>
  <c r="V459" i="4" a="1"/>
  <c r="V459" i="4" s="1"/>
  <c r="T459" i="4" a="1"/>
  <c r="T459" i="4" s="1"/>
  <c r="Z458" i="4" a="1"/>
  <c r="Z458" i="4" s="1"/>
  <c r="X458" i="4" a="1"/>
  <c r="X458" i="4" s="1"/>
  <c r="V458" i="4"/>
  <c r="V458" i="4" a="1"/>
  <c r="T458" i="4" a="1"/>
  <c r="T458" i="4" s="1"/>
  <c r="Z457" i="4" a="1"/>
  <c r="Z457" i="4" s="1"/>
  <c r="X457" i="4" a="1"/>
  <c r="X457" i="4" s="1"/>
  <c r="V457" i="4" a="1"/>
  <c r="V457" i="4" s="1"/>
  <c r="T457" i="4" a="1"/>
  <c r="T457" i="4" s="1"/>
  <c r="Z456" i="4" a="1"/>
  <c r="Z456" i="4" s="1"/>
  <c r="X456" i="4" a="1"/>
  <c r="X456" i="4" s="1"/>
  <c r="V456" i="4"/>
  <c r="V456" i="4" a="1"/>
  <c r="T456" i="4" a="1"/>
  <c r="T456" i="4" s="1"/>
  <c r="Z455" i="4" a="1"/>
  <c r="Z455" i="4" s="1"/>
  <c r="X455" i="4"/>
  <c r="X455" i="4" a="1"/>
  <c r="V455" i="4" a="1"/>
  <c r="V455" i="4" s="1"/>
  <c r="T455" i="4" a="1"/>
  <c r="T455" i="4" s="1"/>
  <c r="Z454" i="4" a="1"/>
  <c r="Z454" i="4" s="1"/>
  <c r="X454" i="4" a="1"/>
  <c r="X454" i="4" s="1"/>
  <c r="V454" i="4" a="1"/>
  <c r="V454" i="4" s="1"/>
  <c r="T454" i="4" a="1"/>
  <c r="T454" i="4" s="1"/>
  <c r="Z453" i="4" a="1"/>
  <c r="Z453" i="4" s="1"/>
  <c r="X453" i="4" a="1"/>
  <c r="X453" i="4" s="1"/>
  <c r="V453" i="4"/>
  <c r="V453" i="4" a="1"/>
  <c r="T453" i="4" a="1"/>
  <c r="T453" i="4" s="1"/>
  <c r="Z452" i="4" a="1"/>
  <c r="Z452" i="4" s="1"/>
  <c r="X452" i="4" a="1"/>
  <c r="X452" i="4" s="1"/>
  <c r="V452" i="4" a="1"/>
  <c r="V452" i="4" s="1"/>
  <c r="T452" i="4" a="1"/>
  <c r="T452" i="4" s="1"/>
  <c r="Z451" i="4" a="1"/>
  <c r="Z451" i="4" s="1"/>
  <c r="X451" i="4" a="1"/>
  <c r="X451" i="4" s="1"/>
  <c r="V451" i="4" a="1"/>
  <c r="V451" i="4" s="1"/>
  <c r="T451" i="4" a="1"/>
  <c r="T451" i="4" s="1"/>
  <c r="Z450" i="4" a="1"/>
  <c r="Z450" i="4" s="1"/>
  <c r="X450" i="4"/>
  <c r="X450" i="4" a="1"/>
  <c r="V450" i="4" a="1"/>
  <c r="V450" i="4" s="1"/>
  <c r="T450" i="4" a="1"/>
  <c r="T450" i="4" s="1"/>
  <c r="Z449" i="4" a="1"/>
  <c r="Z449" i="4" s="1"/>
  <c r="X449" i="4" a="1"/>
  <c r="X449" i="4" s="1"/>
  <c r="V449" i="4" a="1"/>
  <c r="V449" i="4" s="1"/>
  <c r="T449" i="4" a="1"/>
  <c r="T449" i="4" s="1"/>
  <c r="Z448" i="4" a="1"/>
  <c r="Z448" i="4" s="1"/>
  <c r="X448" i="4" a="1"/>
  <c r="X448" i="4" s="1"/>
  <c r="V448" i="4" a="1"/>
  <c r="V448" i="4" s="1"/>
  <c r="T448" i="4" a="1"/>
  <c r="T448" i="4" s="1"/>
  <c r="Z447" i="4" a="1"/>
  <c r="Z447" i="4" s="1"/>
  <c r="X447" i="4" a="1"/>
  <c r="X447" i="4" s="1"/>
  <c r="V447" i="4" a="1"/>
  <c r="V447" i="4" s="1"/>
  <c r="T447" i="4" a="1"/>
  <c r="T447" i="4" s="1"/>
  <c r="Z446" i="4" a="1"/>
  <c r="Z446" i="4" s="1"/>
  <c r="X446" i="4" a="1"/>
  <c r="X446" i="4" s="1"/>
  <c r="V446" i="4" a="1"/>
  <c r="V446" i="4" s="1"/>
  <c r="T446" i="4" a="1"/>
  <c r="T446" i="4" s="1"/>
  <c r="Z445" i="4" a="1"/>
  <c r="Z445" i="4" s="1"/>
  <c r="X445" i="4" a="1"/>
  <c r="X445" i="4" s="1"/>
  <c r="V445" i="4" a="1"/>
  <c r="V445" i="4" s="1"/>
  <c r="T445" i="4" a="1"/>
  <c r="T445" i="4" s="1"/>
  <c r="Z444" i="4" a="1"/>
  <c r="Z444" i="4" s="1"/>
  <c r="X444" i="4" a="1"/>
  <c r="X444" i="4" s="1"/>
  <c r="V444" i="4" a="1"/>
  <c r="V444" i="4" s="1"/>
  <c r="T444" i="4" a="1"/>
  <c r="T444" i="4" s="1"/>
  <c r="Z443" i="4" a="1"/>
  <c r="Z443" i="4" s="1"/>
  <c r="X443" i="4" a="1"/>
  <c r="X443" i="4" s="1"/>
  <c r="V443" i="4" a="1"/>
  <c r="V443" i="4" s="1"/>
  <c r="T443" i="4" a="1"/>
  <c r="T443" i="4" s="1"/>
  <c r="Z442" i="4" a="1"/>
  <c r="Z442" i="4" s="1"/>
  <c r="X442" i="4" a="1"/>
  <c r="X442" i="4" s="1"/>
  <c r="V442" i="4" a="1"/>
  <c r="V442" i="4" s="1"/>
  <c r="T442" i="4" a="1"/>
  <c r="T442" i="4" s="1"/>
  <c r="Z441" i="4" a="1"/>
  <c r="Z441" i="4" s="1"/>
  <c r="X441" i="4" a="1"/>
  <c r="X441" i="4" s="1"/>
  <c r="V441" i="4" a="1"/>
  <c r="V441" i="4" s="1"/>
  <c r="T441" i="4" a="1"/>
  <c r="T441" i="4" s="1"/>
  <c r="Z440" i="4" a="1"/>
  <c r="Z440" i="4" s="1"/>
  <c r="X440" i="4" a="1"/>
  <c r="X440" i="4" s="1"/>
  <c r="V440" i="4" a="1"/>
  <c r="V440" i="4" s="1"/>
  <c r="T440" i="4" a="1"/>
  <c r="T440" i="4" s="1"/>
  <c r="Z439" i="4" a="1"/>
  <c r="Z439" i="4" s="1"/>
  <c r="X439" i="4" a="1"/>
  <c r="X439" i="4" s="1"/>
  <c r="V439" i="4" a="1"/>
  <c r="V439" i="4" s="1"/>
  <c r="T439" i="4" a="1"/>
  <c r="T439" i="4" s="1"/>
  <c r="Z438" i="4" a="1"/>
  <c r="Z438" i="4" s="1"/>
  <c r="X438" i="4" a="1"/>
  <c r="X438" i="4" s="1"/>
  <c r="V438" i="4" a="1"/>
  <c r="V438" i="4" s="1"/>
  <c r="T438" i="4" a="1"/>
  <c r="T438" i="4" s="1"/>
  <c r="Z437" i="4" a="1"/>
  <c r="Z437" i="4" s="1"/>
  <c r="X437" i="4" a="1"/>
  <c r="X437" i="4" s="1"/>
  <c r="V437" i="4" a="1"/>
  <c r="V437" i="4" s="1"/>
  <c r="T437" i="4" a="1"/>
  <c r="T437" i="4" s="1"/>
  <c r="Z436" i="4" a="1"/>
  <c r="Z436" i="4" s="1"/>
  <c r="X436" i="4" a="1"/>
  <c r="X436" i="4" s="1"/>
  <c r="V436" i="4" a="1"/>
  <c r="V436" i="4" s="1"/>
  <c r="T436" i="4" a="1"/>
  <c r="T436" i="4" s="1"/>
  <c r="Z435" i="4" a="1"/>
  <c r="Z435" i="4" s="1"/>
  <c r="X435" i="4" a="1"/>
  <c r="X435" i="4" s="1"/>
  <c r="V435" i="4" a="1"/>
  <c r="V435" i="4" s="1"/>
  <c r="T435" i="4" a="1"/>
  <c r="T435" i="4" s="1"/>
  <c r="Z434" i="4" a="1"/>
  <c r="Z434" i="4" s="1"/>
  <c r="X434" i="4" a="1"/>
  <c r="X434" i="4" s="1"/>
  <c r="V434" i="4" a="1"/>
  <c r="V434" i="4" s="1"/>
  <c r="T434" i="4" a="1"/>
  <c r="T434" i="4" s="1"/>
  <c r="Z433" i="4" a="1"/>
  <c r="Z433" i="4" s="1"/>
  <c r="X433" i="4" a="1"/>
  <c r="X433" i="4" s="1"/>
  <c r="V433" i="4" a="1"/>
  <c r="V433" i="4" s="1"/>
  <c r="T433" i="4" a="1"/>
  <c r="T433" i="4" s="1"/>
  <c r="Z432" i="4" a="1"/>
  <c r="Z432" i="4" s="1"/>
  <c r="X432" i="4" a="1"/>
  <c r="X432" i="4" s="1"/>
  <c r="V432" i="4" a="1"/>
  <c r="V432" i="4" s="1"/>
  <c r="T432" i="4" a="1"/>
  <c r="T432" i="4" s="1"/>
  <c r="Z431" i="4" a="1"/>
  <c r="Z431" i="4" s="1"/>
  <c r="X431" i="4" a="1"/>
  <c r="X431" i="4" s="1"/>
  <c r="V431" i="4" a="1"/>
  <c r="V431" i="4" s="1"/>
  <c r="T431" i="4" a="1"/>
  <c r="T431" i="4" s="1"/>
  <c r="Z430" i="4" a="1"/>
  <c r="Z430" i="4" s="1"/>
  <c r="X430" i="4" a="1"/>
  <c r="X430" i="4" s="1"/>
  <c r="V430" i="4" a="1"/>
  <c r="V430" i="4" s="1"/>
  <c r="T430" i="4" a="1"/>
  <c r="T430" i="4" s="1"/>
  <c r="Z429" i="4" a="1"/>
  <c r="Z429" i="4" s="1"/>
  <c r="X429" i="4" a="1"/>
  <c r="X429" i="4" s="1"/>
  <c r="V429" i="4" a="1"/>
  <c r="V429" i="4" s="1"/>
  <c r="T429" i="4" a="1"/>
  <c r="T429" i="4" s="1"/>
  <c r="Z428" i="4" a="1"/>
  <c r="Z428" i="4" s="1"/>
  <c r="X428" i="4" a="1"/>
  <c r="X428" i="4" s="1"/>
  <c r="V428" i="4" a="1"/>
  <c r="V428" i="4" s="1"/>
  <c r="T428" i="4" a="1"/>
  <c r="T428" i="4" s="1"/>
  <c r="Z427" i="4" a="1"/>
  <c r="Z427" i="4" s="1"/>
  <c r="X427" i="4" a="1"/>
  <c r="X427" i="4" s="1"/>
  <c r="V427" i="4" a="1"/>
  <c r="V427" i="4" s="1"/>
  <c r="T427" i="4" a="1"/>
  <c r="T427" i="4" s="1"/>
  <c r="Z426" i="4" a="1"/>
  <c r="Z426" i="4" s="1"/>
  <c r="X426" i="4" a="1"/>
  <c r="X426" i="4" s="1"/>
  <c r="V426" i="4" a="1"/>
  <c r="V426" i="4" s="1"/>
  <c r="T426" i="4" a="1"/>
  <c r="T426" i="4" s="1"/>
  <c r="Z425" i="4" a="1"/>
  <c r="Z425" i="4" s="1"/>
  <c r="X425" i="4" a="1"/>
  <c r="X425" i="4" s="1"/>
  <c r="V425" i="4" a="1"/>
  <c r="V425" i="4" s="1"/>
  <c r="T425" i="4" a="1"/>
  <c r="T425" i="4" s="1"/>
  <c r="Z424" i="4" a="1"/>
  <c r="Z424" i="4" s="1"/>
  <c r="X424" i="4" a="1"/>
  <c r="X424" i="4" s="1"/>
  <c r="V424" i="4" a="1"/>
  <c r="V424" i="4" s="1"/>
  <c r="T424" i="4" a="1"/>
  <c r="T424" i="4" s="1"/>
  <c r="Z423" i="4" a="1"/>
  <c r="Z423" i="4" s="1"/>
  <c r="X423" i="4" a="1"/>
  <c r="X423" i="4" s="1"/>
  <c r="V423" i="4" a="1"/>
  <c r="V423" i="4" s="1"/>
  <c r="T423" i="4" a="1"/>
  <c r="T423" i="4" s="1"/>
  <c r="Z422" i="4" a="1"/>
  <c r="Z422" i="4" s="1"/>
  <c r="X422" i="4" a="1"/>
  <c r="X422" i="4" s="1"/>
  <c r="V422" i="4" a="1"/>
  <c r="V422" i="4" s="1"/>
  <c r="T422" i="4" a="1"/>
  <c r="T422" i="4" s="1"/>
  <c r="Z421" i="4" a="1"/>
  <c r="Z421" i="4" s="1"/>
  <c r="X421" i="4" a="1"/>
  <c r="X421" i="4" s="1"/>
  <c r="V421" i="4" a="1"/>
  <c r="V421" i="4" s="1"/>
  <c r="T421" i="4" a="1"/>
  <c r="T421" i="4" s="1"/>
  <c r="Z420" i="4" a="1"/>
  <c r="Z420" i="4" s="1"/>
  <c r="X420" i="4" a="1"/>
  <c r="X420" i="4" s="1"/>
  <c r="V420" i="4" a="1"/>
  <c r="V420" i="4" s="1"/>
  <c r="T420" i="4" a="1"/>
  <c r="T420" i="4" s="1"/>
  <c r="Z419" i="4" a="1"/>
  <c r="Z419" i="4" s="1"/>
  <c r="X419" i="4" a="1"/>
  <c r="X419" i="4" s="1"/>
  <c r="V419" i="4" a="1"/>
  <c r="V419" i="4" s="1"/>
  <c r="T419" i="4" a="1"/>
  <c r="T419" i="4" s="1"/>
  <c r="Z418" i="4" a="1"/>
  <c r="Z418" i="4" s="1"/>
  <c r="X418" i="4" a="1"/>
  <c r="X418" i="4" s="1"/>
  <c r="V418" i="4" a="1"/>
  <c r="V418" i="4" s="1"/>
  <c r="T418" i="4" a="1"/>
  <c r="T418" i="4" s="1"/>
  <c r="Z417" i="4" a="1"/>
  <c r="Z417" i="4" s="1"/>
  <c r="X417" i="4" a="1"/>
  <c r="X417" i="4" s="1"/>
  <c r="V417" i="4" a="1"/>
  <c r="V417" i="4" s="1"/>
  <c r="T417" i="4" a="1"/>
  <c r="T417" i="4" s="1"/>
  <c r="Z416" i="4" a="1"/>
  <c r="Z416" i="4" s="1"/>
  <c r="X416" i="4" a="1"/>
  <c r="X416" i="4" s="1"/>
  <c r="V416" i="4" a="1"/>
  <c r="V416" i="4" s="1"/>
  <c r="T416" i="4" a="1"/>
  <c r="T416" i="4" s="1"/>
  <c r="Z415" i="4" a="1"/>
  <c r="Z415" i="4" s="1"/>
  <c r="X415" i="4" a="1"/>
  <c r="X415" i="4" s="1"/>
  <c r="V415" i="4" a="1"/>
  <c r="V415" i="4" s="1"/>
  <c r="T415" i="4" a="1"/>
  <c r="T415" i="4" s="1"/>
  <c r="Z414" i="4" a="1"/>
  <c r="Z414" i="4" s="1"/>
  <c r="X414" i="4" a="1"/>
  <c r="X414" i="4" s="1"/>
  <c r="V414" i="4" a="1"/>
  <c r="V414" i="4" s="1"/>
  <c r="T414" i="4" a="1"/>
  <c r="T414" i="4" s="1"/>
  <c r="Z413" i="4" a="1"/>
  <c r="Z413" i="4" s="1"/>
  <c r="X413" i="4" a="1"/>
  <c r="X413" i="4" s="1"/>
  <c r="V413" i="4" a="1"/>
  <c r="V413" i="4" s="1"/>
  <c r="T413" i="4" a="1"/>
  <c r="T413" i="4" s="1"/>
  <c r="Z412" i="4" a="1"/>
  <c r="Z412" i="4" s="1"/>
  <c r="X412" i="4" a="1"/>
  <c r="X412" i="4" s="1"/>
  <c r="V412" i="4" a="1"/>
  <c r="V412" i="4" s="1"/>
  <c r="T412" i="4" a="1"/>
  <c r="T412" i="4" s="1"/>
  <c r="Z411" i="4" a="1"/>
  <c r="Z411" i="4" s="1"/>
  <c r="X411" i="4" a="1"/>
  <c r="X411" i="4" s="1"/>
  <c r="V411" i="4" a="1"/>
  <c r="V411" i="4" s="1"/>
  <c r="T411" i="4" a="1"/>
  <c r="T411" i="4" s="1"/>
  <c r="Z410" i="4" a="1"/>
  <c r="Z410" i="4" s="1"/>
  <c r="X410" i="4" a="1"/>
  <c r="X410" i="4" s="1"/>
  <c r="V410" i="4" a="1"/>
  <c r="V410" i="4" s="1"/>
  <c r="T410" i="4" a="1"/>
  <c r="T410" i="4" s="1"/>
  <c r="Z409" i="4" a="1"/>
  <c r="Z409" i="4" s="1"/>
  <c r="X409" i="4" a="1"/>
  <c r="X409" i="4" s="1"/>
  <c r="V409" i="4" a="1"/>
  <c r="V409" i="4" s="1"/>
  <c r="T409" i="4" a="1"/>
  <c r="T409" i="4" s="1"/>
  <c r="Z408" i="4" a="1"/>
  <c r="Z408" i="4" s="1"/>
  <c r="X408" i="4" a="1"/>
  <c r="X408" i="4" s="1"/>
  <c r="V408" i="4" a="1"/>
  <c r="V408" i="4" s="1"/>
  <c r="T408" i="4" a="1"/>
  <c r="T408" i="4" s="1"/>
  <c r="Z407" i="4" a="1"/>
  <c r="Z407" i="4" s="1"/>
  <c r="X407" i="4" a="1"/>
  <c r="X407" i="4" s="1"/>
  <c r="V407" i="4" a="1"/>
  <c r="V407" i="4" s="1"/>
  <c r="T407" i="4" a="1"/>
  <c r="T407" i="4" s="1"/>
  <c r="Z406" i="4" a="1"/>
  <c r="Z406" i="4" s="1"/>
  <c r="X406" i="4" a="1"/>
  <c r="X406" i="4" s="1"/>
  <c r="V406" i="4" a="1"/>
  <c r="V406" i="4" s="1"/>
  <c r="T406" i="4" a="1"/>
  <c r="T406" i="4" s="1"/>
  <c r="Z405" i="4" a="1"/>
  <c r="Z405" i="4" s="1"/>
  <c r="X405" i="4" a="1"/>
  <c r="X405" i="4" s="1"/>
  <c r="V405" i="4" a="1"/>
  <c r="V405" i="4" s="1"/>
  <c r="T405" i="4" a="1"/>
  <c r="T405" i="4" s="1"/>
  <c r="Z404" i="4" a="1"/>
  <c r="Z404" i="4" s="1"/>
  <c r="X404" i="4" a="1"/>
  <c r="X404" i="4" s="1"/>
  <c r="V404" i="4" a="1"/>
  <c r="V404" i="4" s="1"/>
  <c r="T404" i="4" a="1"/>
  <c r="T404" i="4" s="1"/>
  <c r="Z403" i="4" a="1"/>
  <c r="Z403" i="4" s="1"/>
  <c r="X403" i="4" a="1"/>
  <c r="X403" i="4" s="1"/>
  <c r="V403" i="4" a="1"/>
  <c r="V403" i="4" s="1"/>
  <c r="T403" i="4" a="1"/>
  <c r="T403" i="4" s="1"/>
  <c r="Z402" i="4" a="1"/>
  <c r="Z402" i="4" s="1"/>
  <c r="X402" i="4" a="1"/>
  <c r="X402" i="4" s="1"/>
  <c r="V402" i="4" a="1"/>
  <c r="V402" i="4" s="1"/>
  <c r="T402" i="4" a="1"/>
  <c r="T402" i="4" s="1"/>
  <c r="Z401" i="4" a="1"/>
  <c r="Z401" i="4" s="1"/>
  <c r="X401" i="4" a="1"/>
  <c r="X401" i="4" s="1"/>
  <c r="V401" i="4" a="1"/>
  <c r="V401" i="4" s="1"/>
  <c r="T401" i="4" a="1"/>
  <c r="T401" i="4" s="1"/>
  <c r="Z400" i="4" a="1"/>
  <c r="Z400" i="4" s="1"/>
  <c r="X400" i="4" a="1"/>
  <c r="X400" i="4" s="1"/>
  <c r="V400" i="4" a="1"/>
  <c r="V400" i="4" s="1"/>
  <c r="T400" i="4" a="1"/>
  <c r="T400" i="4" s="1"/>
  <c r="Z399" i="4" a="1"/>
  <c r="Z399" i="4" s="1"/>
  <c r="X399" i="4" a="1"/>
  <c r="X399" i="4" s="1"/>
  <c r="V399" i="4" a="1"/>
  <c r="V399" i="4" s="1"/>
  <c r="T399" i="4" a="1"/>
  <c r="T399" i="4" s="1"/>
  <c r="Z398" i="4" a="1"/>
  <c r="Z398" i="4" s="1"/>
  <c r="X398" i="4" a="1"/>
  <c r="X398" i="4" s="1"/>
  <c r="V398" i="4" a="1"/>
  <c r="V398" i="4" s="1"/>
  <c r="T398" i="4" a="1"/>
  <c r="T398" i="4" s="1"/>
  <c r="Z397" i="4" a="1"/>
  <c r="Z397" i="4" s="1"/>
  <c r="X397" i="4" a="1"/>
  <c r="X397" i="4" s="1"/>
  <c r="V397" i="4" a="1"/>
  <c r="V397" i="4" s="1"/>
  <c r="T397" i="4" a="1"/>
  <c r="T397" i="4" s="1"/>
  <c r="Z396" i="4" a="1"/>
  <c r="Z396" i="4" s="1"/>
  <c r="X396" i="4" a="1"/>
  <c r="X396" i="4" s="1"/>
  <c r="V396" i="4" a="1"/>
  <c r="V396" i="4" s="1"/>
  <c r="T396" i="4" a="1"/>
  <c r="T396" i="4" s="1"/>
  <c r="Z395" i="4" a="1"/>
  <c r="Z395" i="4" s="1"/>
  <c r="X395" i="4" a="1"/>
  <c r="X395" i="4" s="1"/>
  <c r="V395" i="4" a="1"/>
  <c r="V395" i="4" s="1"/>
  <c r="T395" i="4" a="1"/>
  <c r="T395" i="4" s="1"/>
  <c r="Z394" i="4" a="1"/>
  <c r="Z394" i="4" s="1"/>
  <c r="X394" i="4" a="1"/>
  <c r="X394" i="4" s="1"/>
  <c r="V394" i="4" a="1"/>
  <c r="V394" i="4" s="1"/>
  <c r="T394" i="4" a="1"/>
  <c r="T394" i="4" s="1"/>
  <c r="Z393" i="4" a="1"/>
  <c r="Z393" i="4" s="1"/>
  <c r="X393" i="4" a="1"/>
  <c r="X393" i="4" s="1"/>
  <c r="V393" i="4" a="1"/>
  <c r="V393" i="4" s="1"/>
  <c r="T393" i="4" a="1"/>
  <c r="T393" i="4" s="1"/>
  <c r="Z392" i="4" a="1"/>
  <c r="Z392" i="4" s="1"/>
  <c r="X392" i="4" a="1"/>
  <c r="X392" i="4" s="1"/>
  <c r="V392" i="4" a="1"/>
  <c r="V392" i="4" s="1"/>
  <c r="T392" i="4" a="1"/>
  <c r="T392" i="4" s="1"/>
  <c r="Z391" i="4" a="1"/>
  <c r="Z391" i="4" s="1"/>
  <c r="X391" i="4" a="1"/>
  <c r="X391" i="4" s="1"/>
  <c r="V391" i="4" a="1"/>
  <c r="V391" i="4" s="1"/>
  <c r="T391" i="4" a="1"/>
  <c r="T391" i="4" s="1"/>
  <c r="Z390" i="4" a="1"/>
  <c r="Z390" i="4" s="1"/>
  <c r="X390" i="4" a="1"/>
  <c r="X390" i="4" s="1"/>
  <c r="V390" i="4" a="1"/>
  <c r="V390" i="4" s="1"/>
  <c r="T390" i="4" a="1"/>
  <c r="T390" i="4" s="1"/>
  <c r="Z389" i="4" a="1"/>
  <c r="Z389" i="4" s="1"/>
  <c r="X389" i="4" a="1"/>
  <c r="X389" i="4" s="1"/>
  <c r="V389" i="4" a="1"/>
  <c r="V389" i="4" s="1"/>
  <c r="T389" i="4" a="1"/>
  <c r="T389" i="4" s="1"/>
  <c r="Z388" i="4" a="1"/>
  <c r="Z388" i="4" s="1"/>
  <c r="X388" i="4"/>
  <c r="X388" i="4" a="1"/>
  <c r="V388" i="4" a="1"/>
  <c r="V388" i="4" s="1"/>
  <c r="T388" i="4"/>
  <c r="T388" i="4" a="1"/>
  <c r="Z387" i="4" a="1"/>
  <c r="Z387" i="4" s="1"/>
  <c r="X387" i="4" a="1"/>
  <c r="X387" i="4" s="1"/>
  <c r="V387" i="4" a="1"/>
  <c r="V387" i="4" s="1"/>
  <c r="T387" i="4" a="1"/>
  <c r="T387" i="4" s="1"/>
  <c r="Z386" i="4" a="1"/>
  <c r="Z386" i="4" s="1"/>
  <c r="X386" i="4" a="1"/>
  <c r="X386" i="4" s="1"/>
  <c r="V386" i="4" a="1"/>
  <c r="V386" i="4" s="1"/>
  <c r="T386" i="4"/>
  <c r="T386" i="4" a="1"/>
  <c r="Z385" i="4" a="1"/>
  <c r="Z385" i="4" s="1"/>
  <c r="X385" i="4" a="1"/>
  <c r="X385" i="4" s="1"/>
  <c r="V385" i="4" a="1"/>
  <c r="V385" i="4" s="1"/>
  <c r="T385" i="4" a="1"/>
  <c r="T385" i="4" s="1"/>
  <c r="Z384" i="4" a="1"/>
  <c r="Z384" i="4" s="1"/>
  <c r="X384" i="4"/>
  <c r="X384" i="4" a="1"/>
  <c r="V384" i="4" a="1"/>
  <c r="V384" i="4" s="1"/>
  <c r="T384" i="4" a="1"/>
  <c r="T384" i="4" s="1"/>
  <c r="Z383" i="4" a="1"/>
  <c r="Z383" i="4" s="1"/>
  <c r="X383" i="4" a="1"/>
  <c r="X383" i="4" s="1"/>
  <c r="V383" i="4" a="1"/>
  <c r="V383" i="4" s="1"/>
  <c r="T383" i="4" a="1"/>
  <c r="T383" i="4" s="1"/>
  <c r="Z382" i="4" a="1"/>
  <c r="Z382" i="4" s="1"/>
  <c r="X382" i="4" a="1"/>
  <c r="X382" i="4" s="1"/>
  <c r="V382" i="4" a="1"/>
  <c r="V382" i="4" s="1"/>
  <c r="T382" i="4" a="1"/>
  <c r="T382" i="4" s="1"/>
  <c r="Z381" i="4" a="1"/>
  <c r="Z381" i="4" s="1"/>
  <c r="X381" i="4" a="1"/>
  <c r="X381" i="4" s="1"/>
  <c r="V381" i="4" a="1"/>
  <c r="V381" i="4" s="1"/>
  <c r="T381" i="4" a="1"/>
  <c r="T381" i="4" s="1"/>
  <c r="Z380" i="4" a="1"/>
  <c r="Z380" i="4" s="1"/>
  <c r="X380" i="4" a="1"/>
  <c r="X380" i="4" s="1"/>
  <c r="V380" i="4" a="1"/>
  <c r="V380" i="4" s="1"/>
  <c r="T380" i="4" a="1"/>
  <c r="T380" i="4" s="1"/>
  <c r="Z379" i="4" a="1"/>
  <c r="Z379" i="4" s="1"/>
  <c r="X379" i="4" a="1"/>
  <c r="X379" i="4" s="1"/>
  <c r="V379" i="4" a="1"/>
  <c r="V379" i="4" s="1"/>
  <c r="T379" i="4" a="1"/>
  <c r="T379" i="4" s="1"/>
  <c r="Z378" i="4" a="1"/>
  <c r="Z378" i="4" s="1"/>
  <c r="X378" i="4" a="1"/>
  <c r="X378" i="4" s="1"/>
  <c r="V378" i="4" a="1"/>
  <c r="V378" i="4" s="1"/>
  <c r="T378" i="4" a="1"/>
  <c r="T378" i="4" s="1"/>
  <c r="Z377" i="4" a="1"/>
  <c r="Z377" i="4" s="1"/>
  <c r="X377" i="4" a="1"/>
  <c r="X377" i="4" s="1"/>
  <c r="V377" i="4" a="1"/>
  <c r="V377" i="4" s="1"/>
  <c r="T377" i="4" a="1"/>
  <c r="T377" i="4" s="1"/>
  <c r="Z376" i="4" a="1"/>
  <c r="Z376" i="4" s="1"/>
  <c r="X376" i="4" a="1"/>
  <c r="X376" i="4" s="1"/>
  <c r="V376" i="4" a="1"/>
  <c r="V376" i="4" s="1"/>
  <c r="T376" i="4"/>
  <c r="T376" i="4" a="1"/>
  <c r="Z375" i="4" a="1"/>
  <c r="Z375" i="4" s="1"/>
  <c r="X375" i="4" a="1"/>
  <c r="X375" i="4" s="1"/>
  <c r="V375" i="4" a="1"/>
  <c r="V375" i="4" s="1"/>
  <c r="T375" i="4" a="1"/>
  <c r="T375" i="4" s="1"/>
  <c r="Z374" i="4" a="1"/>
  <c r="Z374" i="4" s="1"/>
  <c r="X374" i="4" a="1"/>
  <c r="X374" i="4" s="1"/>
  <c r="V374" i="4" a="1"/>
  <c r="V374" i="4" s="1"/>
  <c r="T374" i="4"/>
  <c r="T374" i="4" a="1"/>
  <c r="Z373" i="4" a="1"/>
  <c r="Z373" i="4" s="1"/>
  <c r="X373" i="4" a="1"/>
  <c r="X373" i="4" s="1"/>
  <c r="V373" i="4" a="1"/>
  <c r="V373" i="4" s="1"/>
  <c r="T373" i="4" a="1"/>
  <c r="T373" i="4" s="1"/>
  <c r="Z372" i="4" a="1"/>
  <c r="Z372" i="4" s="1"/>
  <c r="X372" i="4"/>
  <c r="X372" i="4" a="1"/>
  <c r="V372" i="4" a="1"/>
  <c r="V372" i="4" s="1"/>
  <c r="T372" i="4"/>
  <c r="T372" i="4" a="1"/>
  <c r="Z371" i="4" a="1"/>
  <c r="Z371" i="4" s="1"/>
  <c r="X371" i="4" a="1"/>
  <c r="X371" i="4" s="1"/>
  <c r="V371" i="4" a="1"/>
  <c r="V371" i="4" s="1"/>
  <c r="T371" i="4"/>
  <c r="T371" i="4" a="1"/>
  <c r="Z370" i="4" a="1"/>
  <c r="Z370" i="4" s="1"/>
  <c r="X370" i="4"/>
  <c r="X370" i="4" a="1"/>
  <c r="V370" i="4" a="1"/>
  <c r="V370" i="4" s="1"/>
  <c r="T370" i="4" a="1"/>
  <c r="T370" i="4" s="1"/>
  <c r="Z369" i="4" a="1"/>
  <c r="Z369" i="4" s="1"/>
  <c r="X369" i="4" a="1"/>
  <c r="X369" i="4" s="1"/>
  <c r="V369" i="4" a="1"/>
  <c r="V369" i="4" s="1"/>
  <c r="T369" i="4" a="1"/>
  <c r="T369" i="4" s="1"/>
  <c r="Z368" i="4" a="1"/>
  <c r="Z368" i="4" s="1"/>
  <c r="X368" i="4" a="1"/>
  <c r="X368" i="4" s="1"/>
  <c r="V368" i="4" a="1"/>
  <c r="V368" i="4" s="1"/>
  <c r="T368" i="4"/>
  <c r="T368" i="4" a="1"/>
  <c r="Z367" i="4" a="1"/>
  <c r="Z367" i="4" s="1"/>
  <c r="X367" i="4" a="1"/>
  <c r="X367" i="4" s="1"/>
  <c r="V367" i="4" a="1"/>
  <c r="V367" i="4" s="1"/>
  <c r="T367" i="4" a="1"/>
  <c r="T367" i="4" s="1"/>
  <c r="Z366" i="4" a="1"/>
  <c r="Z366" i="4" s="1"/>
  <c r="X366" i="4" a="1"/>
  <c r="X366" i="4" s="1"/>
  <c r="V366" i="4" a="1"/>
  <c r="V366" i="4" s="1"/>
  <c r="T366" i="4"/>
  <c r="T366" i="4" a="1"/>
  <c r="Z365" i="4" a="1"/>
  <c r="Z365" i="4" s="1"/>
  <c r="X365" i="4" a="1"/>
  <c r="X365" i="4" s="1"/>
  <c r="V365" i="4" a="1"/>
  <c r="V365" i="4" s="1"/>
  <c r="T365" i="4" a="1"/>
  <c r="T365" i="4" s="1"/>
  <c r="Z364" i="4" a="1"/>
  <c r="Z364" i="4" s="1"/>
  <c r="X364" i="4" a="1"/>
  <c r="X364" i="4" s="1"/>
  <c r="V364" i="4" a="1"/>
  <c r="V364" i="4" s="1"/>
  <c r="T364" i="4" a="1"/>
  <c r="T364" i="4" s="1"/>
  <c r="Z363" i="4" a="1"/>
  <c r="Z363" i="4" s="1"/>
  <c r="X363" i="4" a="1"/>
  <c r="X363" i="4" s="1"/>
  <c r="V363" i="4" a="1"/>
  <c r="V363" i="4" s="1"/>
  <c r="T363" i="4" a="1"/>
  <c r="T363" i="4" s="1"/>
  <c r="Z362" i="4" a="1"/>
  <c r="Z362" i="4" s="1"/>
  <c r="X362" i="4" a="1"/>
  <c r="X362" i="4" s="1"/>
  <c r="V362" i="4" a="1"/>
  <c r="V362" i="4" s="1"/>
  <c r="T362" i="4" a="1"/>
  <c r="T362" i="4" s="1"/>
  <c r="Z361" i="4" a="1"/>
  <c r="Z361" i="4" s="1"/>
  <c r="X361" i="4" a="1"/>
  <c r="X361" i="4" s="1"/>
  <c r="V361" i="4" a="1"/>
  <c r="V361" i="4" s="1"/>
  <c r="T361" i="4" a="1"/>
  <c r="T361" i="4" s="1"/>
  <c r="Z360" i="4" a="1"/>
  <c r="Z360" i="4" s="1"/>
  <c r="X360" i="4" a="1"/>
  <c r="X360" i="4" s="1"/>
  <c r="V360" i="4" a="1"/>
  <c r="V360" i="4" s="1"/>
  <c r="T360" i="4" a="1"/>
  <c r="T360" i="4" s="1"/>
  <c r="Z359" i="4" a="1"/>
  <c r="Z359" i="4" s="1"/>
  <c r="X359" i="4" a="1"/>
  <c r="X359" i="4" s="1"/>
  <c r="V359" i="4" a="1"/>
  <c r="V359" i="4" s="1"/>
  <c r="T359" i="4" a="1"/>
  <c r="T359" i="4" s="1"/>
  <c r="Z358" i="4" a="1"/>
  <c r="Z358" i="4" s="1"/>
  <c r="X358" i="4" a="1"/>
  <c r="X358" i="4" s="1"/>
  <c r="V358" i="4" a="1"/>
  <c r="V358" i="4" s="1"/>
  <c r="T358" i="4"/>
  <c r="T358" i="4" a="1"/>
  <c r="Z357" i="4" a="1"/>
  <c r="Z357" i="4" s="1"/>
  <c r="X357" i="4" a="1"/>
  <c r="X357" i="4" s="1"/>
  <c r="V357" i="4" a="1"/>
  <c r="V357" i="4" s="1"/>
  <c r="T357" i="4"/>
  <c r="T357" i="4" a="1"/>
  <c r="Z356" i="4" a="1"/>
  <c r="Z356" i="4" s="1"/>
  <c r="X356" i="4" a="1"/>
  <c r="X356" i="4" s="1"/>
  <c r="V356" i="4" a="1"/>
  <c r="V356" i="4" s="1"/>
  <c r="T356" i="4"/>
  <c r="T356" i="4" a="1"/>
  <c r="Z355" i="4" a="1"/>
  <c r="Z355" i="4" s="1"/>
  <c r="X355" i="4" a="1"/>
  <c r="X355" i="4" s="1"/>
  <c r="V355" i="4" a="1"/>
  <c r="V355" i="4" s="1"/>
  <c r="T355" i="4" a="1"/>
  <c r="T355" i="4" s="1"/>
  <c r="Z354" i="4" a="1"/>
  <c r="Z354" i="4" s="1"/>
  <c r="X354" i="4" a="1"/>
  <c r="X354" i="4" s="1"/>
  <c r="V354" i="4" a="1"/>
  <c r="V354" i="4" s="1"/>
  <c r="T354" i="4" a="1"/>
  <c r="T354" i="4" s="1"/>
  <c r="Z353" i="4" a="1"/>
  <c r="Z353" i="4" s="1"/>
  <c r="X353" i="4" a="1"/>
  <c r="X353" i="4" s="1"/>
  <c r="V353" i="4" a="1"/>
  <c r="V353" i="4" s="1"/>
  <c r="T353" i="4" a="1"/>
  <c r="T353" i="4" s="1"/>
  <c r="Z352" i="4" a="1"/>
  <c r="Z352" i="4" s="1"/>
  <c r="X352" i="4" a="1"/>
  <c r="X352" i="4" s="1"/>
  <c r="V352" i="4" a="1"/>
  <c r="V352" i="4" s="1"/>
  <c r="T352" i="4" a="1"/>
  <c r="T352" i="4" s="1"/>
  <c r="Z351" i="4" a="1"/>
  <c r="Z351" i="4" s="1"/>
  <c r="X351" i="4" a="1"/>
  <c r="X351" i="4" s="1"/>
  <c r="V351" i="4" a="1"/>
  <c r="V351" i="4" s="1"/>
  <c r="T351" i="4" a="1"/>
  <c r="T351" i="4" s="1"/>
  <c r="Z350" i="4" a="1"/>
  <c r="Z350" i="4" s="1"/>
  <c r="X350" i="4" a="1"/>
  <c r="X350" i="4" s="1"/>
  <c r="V350" i="4" a="1"/>
  <c r="V350" i="4" s="1"/>
  <c r="T350" i="4"/>
  <c r="T350" i="4" a="1"/>
  <c r="Z349" i="4" a="1"/>
  <c r="Z349" i="4" s="1"/>
  <c r="X349" i="4" a="1"/>
  <c r="X349" i="4" s="1"/>
  <c r="V349" i="4" a="1"/>
  <c r="V349" i="4" s="1"/>
  <c r="T349" i="4"/>
  <c r="T349" i="4" a="1"/>
  <c r="Z348" i="4" a="1"/>
  <c r="Z348" i="4" s="1"/>
  <c r="X348" i="4" a="1"/>
  <c r="X348" i="4" s="1"/>
  <c r="V348" i="4" a="1"/>
  <c r="V348" i="4" s="1"/>
  <c r="T348" i="4"/>
  <c r="T348" i="4" a="1"/>
  <c r="Z347" i="4" a="1"/>
  <c r="Z347" i="4" s="1"/>
  <c r="X347" i="4" a="1"/>
  <c r="X347" i="4" s="1"/>
  <c r="V347" i="4" a="1"/>
  <c r="V347" i="4" s="1"/>
  <c r="T347" i="4" a="1"/>
  <c r="T347" i="4" s="1"/>
  <c r="Z346" i="4" a="1"/>
  <c r="Z346" i="4" s="1"/>
  <c r="X346" i="4" a="1"/>
  <c r="X346" i="4" s="1"/>
  <c r="V346" i="4" a="1"/>
  <c r="V346" i="4" s="1"/>
  <c r="T346" i="4" a="1"/>
  <c r="T346" i="4" s="1"/>
  <c r="Z345" i="4" a="1"/>
  <c r="Z345" i="4" s="1"/>
  <c r="X345" i="4" a="1"/>
  <c r="X345" i="4" s="1"/>
  <c r="V345" i="4" a="1"/>
  <c r="V345" i="4" s="1"/>
  <c r="T345" i="4" a="1"/>
  <c r="T345" i="4" s="1"/>
  <c r="Z344" i="4" a="1"/>
  <c r="Z344" i="4" s="1"/>
  <c r="X344" i="4" a="1"/>
  <c r="X344" i="4" s="1"/>
  <c r="V344" i="4" a="1"/>
  <c r="V344" i="4" s="1"/>
  <c r="T344" i="4" a="1"/>
  <c r="T344" i="4" s="1"/>
  <c r="Z343" i="4" a="1"/>
  <c r="Z343" i="4" s="1"/>
  <c r="X343" i="4" a="1"/>
  <c r="X343" i="4" s="1"/>
  <c r="V343" i="4" a="1"/>
  <c r="V343" i="4" s="1"/>
  <c r="T343" i="4" a="1"/>
  <c r="T343" i="4" s="1"/>
  <c r="Z342" i="4" a="1"/>
  <c r="Z342" i="4" s="1"/>
  <c r="X342" i="4" a="1"/>
  <c r="X342" i="4" s="1"/>
  <c r="V342" i="4" a="1"/>
  <c r="V342" i="4" s="1"/>
  <c r="T342" i="4" a="1"/>
  <c r="T342" i="4" s="1"/>
  <c r="Z341" i="4" a="1"/>
  <c r="Z341" i="4" s="1"/>
  <c r="X341" i="4" a="1"/>
  <c r="X341" i="4" s="1"/>
  <c r="V341" i="4" a="1"/>
  <c r="V341" i="4" s="1"/>
  <c r="T341" i="4"/>
  <c r="T341" i="4" a="1"/>
  <c r="Z340" i="4" a="1"/>
  <c r="Z340" i="4" s="1"/>
  <c r="X340" i="4" a="1"/>
  <c r="X340" i="4" s="1"/>
  <c r="V340" i="4" a="1"/>
  <c r="V340" i="4" s="1"/>
  <c r="T340" i="4"/>
  <c r="T340" i="4" a="1"/>
  <c r="Z339" i="4" a="1"/>
  <c r="Z339" i="4" s="1"/>
  <c r="X339" i="4" a="1"/>
  <c r="X339" i="4" s="1"/>
  <c r="V339" i="4" a="1"/>
  <c r="V339" i="4" s="1"/>
  <c r="T339" i="4" a="1"/>
  <c r="T339" i="4" s="1"/>
  <c r="Z338" i="4" a="1"/>
  <c r="Z338" i="4" s="1"/>
  <c r="X338" i="4" a="1"/>
  <c r="X338" i="4" s="1"/>
  <c r="V338" i="4" a="1"/>
  <c r="V338" i="4" s="1"/>
  <c r="T338" i="4" a="1"/>
  <c r="T338" i="4" s="1"/>
  <c r="Z337" i="4" a="1"/>
  <c r="Z337" i="4" s="1"/>
  <c r="X337" i="4" a="1"/>
  <c r="X337" i="4" s="1"/>
  <c r="V337" i="4" a="1"/>
  <c r="V337" i="4" s="1"/>
  <c r="T337" i="4" a="1"/>
  <c r="T337" i="4" s="1"/>
  <c r="Z336" i="4" a="1"/>
  <c r="Z336" i="4" s="1"/>
  <c r="X336" i="4" a="1"/>
  <c r="X336" i="4" s="1"/>
  <c r="V336" i="4" a="1"/>
  <c r="V336" i="4" s="1"/>
  <c r="T336" i="4" a="1"/>
  <c r="T336" i="4" s="1"/>
  <c r="Z335" i="4" a="1"/>
  <c r="Z335" i="4" s="1"/>
  <c r="X335" i="4" a="1"/>
  <c r="X335" i="4" s="1"/>
  <c r="V335" i="4" a="1"/>
  <c r="V335" i="4" s="1"/>
  <c r="T335" i="4" a="1"/>
  <c r="T335" i="4" s="1"/>
  <c r="Z334" i="4" a="1"/>
  <c r="Z334" i="4" s="1"/>
  <c r="X334" i="4" a="1"/>
  <c r="X334" i="4" s="1"/>
  <c r="V334" i="4" a="1"/>
  <c r="V334" i="4" s="1"/>
  <c r="T334" i="4" a="1"/>
  <c r="T334" i="4" s="1"/>
  <c r="Z333" i="4" a="1"/>
  <c r="Z333" i="4" s="1"/>
  <c r="X333" i="4" a="1"/>
  <c r="X333" i="4" s="1"/>
  <c r="V333" i="4" a="1"/>
  <c r="V333" i="4" s="1"/>
  <c r="T333" i="4" a="1"/>
  <c r="T333" i="4" s="1"/>
  <c r="Z332" i="4" a="1"/>
  <c r="Z332" i="4" s="1"/>
  <c r="X332" i="4" a="1"/>
  <c r="X332" i="4" s="1"/>
  <c r="V332" i="4" a="1"/>
  <c r="V332" i="4" s="1"/>
  <c r="T332" i="4"/>
  <c r="T332" i="4" a="1"/>
  <c r="Z331" i="4" a="1"/>
  <c r="Z331" i="4" s="1"/>
  <c r="X331" i="4" a="1"/>
  <c r="X331" i="4" s="1"/>
  <c r="V331" i="4" a="1"/>
  <c r="V331" i="4" s="1"/>
  <c r="T331" i="4" a="1"/>
  <c r="T331" i="4" s="1"/>
  <c r="Z330" i="4" a="1"/>
  <c r="Z330" i="4" s="1"/>
  <c r="X330" i="4" a="1"/>
  <c r="X330" i="4" s="1"/>
  <c r="V330" i="4" a="1"/>
  <c r="V330" i="4" s="1"/>
  <c r="T330" i="4" a="1"/>
  <c r="T330" i="4" s="1"/>
  <c r="Z329" i="4" a="1"/>
  <c r="Z329" i="4" s="1"/>
  <c r="X329" i="4" a="1"/>
  <c r="X329" i="4" s="1"/>
  <c r="V329" i="4" a="1"/>
  <c r="V329" i="4" s="1"/>
  <c r="T329" i="4" a="1"/>
  <c r="T329" i="4" s="1"/>
  <c r="Z328" i="4" a="1"/>
  <c r="Z328" i="4" s="1"/>
  <c r="X328" i="4" a="1"/>
  <c r="X328" i="4" s="1"/>
  <c r="V328" i="4" a="1"/>
  <c r="V328" i="4" s="1"/>
  <c r="T328" i="4" a="1"/>
  <c r="T328" i="4" s="1"/>
  <c r="Z327" i="4" a="1"/>
  <c r="Z327" i="4" s="1"/>
  <c r="X327" i="4" a="1"/>
  <c r="X327" i="4" s="1"/>
  <c r="V327" i="4" a="1"/>
  <c r="V327" i="4" s="1"/>
  <c r="T327" i="4" a="1"/>
  <c r="T327" i="4" s="1"/>
  <c r="Z326" i="4" a="1"/>
  <c r="Z326" i="4" s="1"/>
  <c r="X326" i="4" a="1"/>
  <c r="X326" i="4" s="1"/>
  <c r="V326" i="4" a="1"/>
  <c r="V326" i="4" s="1"/>
  <c r="T326" i="4"/>
  <c r="T326" i="4" a="1"/>
  <c r="Z325" i="4" a="1"/>
  <c r="Z325" i="4" s="1"/>
  <c r="X325" i="4" a="1"/>
  <c r="X325" i="4" s="1"/>
  <c r="V325" i="4" a="1"/>
  <c r="V325" i="4" s="1"/>
  <c r="T325" i="4" a="1"/>
  <c r="T325" i="4" s="1"/>
  <c r="Z324" i="4" a="1"/>
  <c r="Z324" i="4" s="1"/>
  <c r="X324" i="4" a="1"/>
  <c r="X324" i="4" s="1"/>
  <c r="V324" i="4" a="1"/>
  <c r="V324" i="4" s="1"/>
  <c r="T324" i="4" a="1"/>
  <c r="T324" i="4" s="1"/>
  <c r="Z323" i="4" a="1"/>
  <c r="Z323" i="4" s="1"/>
  <c r="X323" i="4" a="1"/>
  <c r="X323" i="4" s="1"/>
  <c r="V323" i="4" a="1"/>
  <c r="V323" i="4" s="1"/>
  <c r="T323" i="4" a="1"/>
  <c r="T323" i="4" s="1"/>
  <c r="Z322" i="4" a="1"/>
  <c r="Z322" i="4" s="1"/>
  <c r="X322" i="4" a="1"/>
  <c r="X322" i="4" s="1"/>
  <c r="V322" i="4" a="1"/>
  <c r="V322" i="4" s="1"/>
  <c r="T322" i="4" a="1"/>
  <c r="T322" i="4" s="1"/>
  <c r="Z321" i="4" a="1"/>
  <c r="Z321" i="4" s="1"/>
  <c r="X321" i="4" a="1"/>
  <c r="X321" i="4" s="1"/>
  <c r="V321" i="4" a="1"/>
  <c r="V321" i="4" s="1"/>
  <c r="T321" i="4" a="1"/>
  <c r="T321" i="4" s="1"/>
  <c r="Z320" i="4" a="1"/>
  <c r="Z320" i="4" s="1"/>
  <c r="X320" i="4" a="1"/>
  <c r="X320" i="4" s="1"/>
  <c r="V320" i="4" a="1"/>
  <c r="V320" i="4" s="1"/>
  <c r="T320" i="4" a="1"/>
  <c r="T320" i="4" s="1"/>
  <c r="Z319" i="4" a="1"/>
  <c r="Z319" i="4" s="1"/>
  <c r="X319" i="4" a="1"/>
  <c r="X319" i="4" s="1"/>
  <c r="V319" i="4" a="1"/>
  <c r="V319" i="4" s="1"/>
  <c r="T319" i="4" a="1"/>
  <c r="T319" i="4" s="1"/>
  <c r="Z318" i="4" a="1"/>
  <c r="Z318" i="4" s="1"/>
  <c r="X318" i="4" a="1"/>
  <c r="X318" i="4" s="1"/>
  <c r="V318" i="4" a="1"/>
  <c r="V318" i="4" s="1"/>
  <c r="T318" i="4" a="1"/>
  <c r="T318" i="4" s="1"/>
  <c r="Z317" i="4" a="1"/>
  <c r="Z317" i="4" s="1"/>
  <c r="X317" i="4" a="1"/>
  <c r="X317" i="4" s="1"/>
  <c r="V317" i="4" a="1"/>
  <c r="V317" i="4" s="1"/>
  <c r="T317" i="4"/>
  <c r="T317" i="4" a="1"/>
  <c r="Z316" i="4" a="1"/>
  <c r="Z316" i="4" s="1"/>
  <c r="X316" i="4" a="1"/>
  <c r="X316" i="4" s="1"/>
  <c r="V316" i="4" a="1"/>
  <c r="V316" i="4" s="1"/>
  <c r="T316" i="4" a="1"/>
  <c r="T316" i="4" s="1"/>
  <c r="Z315" i="4" a="1"/>
  <c r="Z315" i="4" s="1"/>
  <c r="X315" i="4" a="1"/>
  <c r="X315" i="4" s="1"/>
  <c r="V315" i="4" a="1"/>
  <c r="V315" i="4" s="1"/>
  <c r="T315" i="4" a="1"/>
  <c r="T315" i="4" s="1"/>
  <c r="Z314" i="4" a="1"/>
  <c r="Z314" i="4" s="1"/>
  <c r="X314" i="4" a="1"/>
  <c r="X314" i="4" s="1"/>
  <c r="V314" i="4" a="1"/>
  <c r="V314" i="4" s="1"/>
  <c r="T314" i="4" a="1"/>
  <c r="T314" i="4" s="1"/>
  <c r="Z313" i="4" a="1"/>
  <c r="Z313" i="4" s="1"/>
  <c r="X313" i="4" a="1"/>
  <c r="X313" i="4" s="1"/>
  <c r="V313" i="4" a="1"/>
  <c r="V313" i="4" s="1"/>
  <c r="T313" i="4" a="1"/>
  <c r="T313" i="4" s="1"/>
  <c r="Z312" i="4" a="1"/>
  <c r="Z312" i="4" s="1"/>
  <c r="X312" i="4" a="1"/>
  <c r="X312" i="4" s="1"/>
  <c r="V312" i="4" a="1"/>
  <c r="V312" i="4" s="1"/>
  <c r="T312" i="4" a="1"/>
  <c r="T312" i="4" s="1"/>
  <c r="Z311" i="4" a="1"/>
  <c r="Z311" i="4" s="1"/>
  <c r="X311" i="4" a="1"/>
  <c r="X311" i="4" s="1"/>
  <c r="V311" i="4" a="1"/>
  <c r="V311" i="4" s="1"/>
  <c r="T311" i="4" a="1"/>
  <c r="T311" i="4" s="1"/>
  <c r="Z310" i="4" a="1"/>
  <c r="Z310" i="4" s="1"/>
  <c r="X310" i="4" a="1"/>
  <c r="X310" i="4" s="1"/>
  <c r="V310" i="4" a="1"/>
  <c r="V310" i="4" s="1"/>
  <c r="T310" i="4"/>
  <c r="T310" i="4" a="1"/>
  <c r="Z309" i="4" a="1"/>
  <c r="Z309" i="4" s="1"/>
  <c r="X309" i="4" a="1"/>
  <c r="X309" i="4" s="1"/>
  <c r="V309" i="4" a="1"/>
  <c r="V309" i="4" s="1"/>
  <c r="T309" i="4" a="1"/>
  <c r="T309" i="4" s="1"/>
  <c r="Z308" i="4" a="1"/>
  <c r="Z308" i="4" s="1"/>
  <c r="X308" i="4" a="1"/>
  <c r="X308" i="4" s="1"/>
  <c r="V308" i="4" a="1"/>
  <c r="V308" i="4" s="1"/>
  <c r="T308" i="4"/>
  <c r="T308" i="4" a="1"/>
  <c r="Z307" i="4" a="1"/>
  <c r="Z307" i="4" s="1"/>
  <c r="X307" i="4" a="1"/>
  <c r="X307" i="4" s="1"/>
  <c r="V307" i="4" a="1"/>
  <c r="V307" i="4" s="1"/>
  <c r="T307" i="4" a="1"/>
  <c r="T307" i="4" s="1"/>
  <c r="Z306" i="4" a="1"/>
  <c r="Z306" i="4" s="1"/>
  <c r="X306" i="4" a="1"/>
  <c r="X306" i="4" s="1"/>
  <c r="V306" i="4" a="1"/>
  <c r="V306" i="4" s="1"/>
  <c r="T306" i="4" a="1"/>
  <c r="T306" i="4" s="1"/>
  <c r="Z305" i="4" a="1"/>
  <c r="Z305" i="4" s="1"/>
  <c r="X305" i="4" a="1"/>
  <c r="X305" i="4" s="1"/>
  <c r="V305" i="4" a="1"/>
  <c r="V305" i="4" s="1"/>
  <c r="T305" i="4" a="1"/>
  <c r="T305" i="4" s="1"/>
  <c r="Z304" i="4" a="1"/>
  <c r="Z304" i="4" s="1"/>
  <c r="X304" i="4" a="1"/>
  <c r="X304" i="4" s="1"/>
  <c r="V304" i="4" a="1"/>
  <c r="V304" i="4" s="1"/>
  <c r="T304" i="4" a="1"/>
  <c r="T304" i="4" s="1"/>
  <c r="Z303" i="4" a="1"/>
  <c r="Z303" i="4" s="1"/>
  <c r="X303" i="4" a="1"/>
  <c r="X303" i="4" s="1"/>
  <c r="V303" i="4" a="1"/>
  <c r="V303" i="4" s="1"/>
  <c r="T303" i="4" a="1"/>
  <c r="T303" i="4" s="1"/>
  <c r="Z302" i="4" a="1"/>
  <c r="Z302" i="4" s="1"/>
  <c r="X302" i="4" a="1"/>
  <c r="X302" i="4" s="1"/>
  <c r="V302" i="4" a="1"/>
  <c r="V302" i="4" s="1"/>
  <c r="T302" i="4"/>
  <c r="T302" i="4" a="1"/>
  <c r="Z301" i="4" a="1"/>
  <c r="Z301" i="4" s="1"/>
  <c r="X301" i="4" a="1"/>
  <c r="X301" i="4" s="1"/>
  <c r="V301" i="4" a="1"/>
  <c r="V301" i="4" s="1"/>
  <c r="T301" i="4"/>
  <c r="T301" i="4" a="1"/>
  <c r="Z300" i="4" a="1"/>
  <c r="Z300" i="4" s="1"/>
  <c r="X300" i="4" a="1"/>
  <c r="X300" i="4" s="1"/>
  <c r="V300" i="4" a="1"/>
  <c r="V300" i="4" s="1"/>
  <c r="T300" i="4" a="1"/>
  <c r="T300" i="4" s="1"/>
  <c r="Z299" i="4" a="1"/>
  <c r="Z299" i="4" s="1"/>
  <c r="X299" i="4" a="1"/>
  <c r="X299" i="4" s="1"/>
  <c r="V299" i="4" a="1"/>
  <c r="V299" i="4" s="1"/>
  <c r="T299" i="4" a="1"/>
  <c r="T299" i="4" s="1"/>
  <c r="Z298" i="4" a="1"/>
  <c r="Z298" i="4" s="1"/>
  <c r="X298" i="4" a="1"/>
  <c r="X298" i="4" s="1"/>
  <c r="V298" i="4" a="1"/>
  <c r="V298" i="4" s="1"/>
  <c r="T298" i="4" a="1"/>
  <c r="T298" i="4" s="1"/>
  <c r="Z297" i="4" a="1"/>
  <c r="Z297" i="4" s="1"/>
  <c r="X297" i="4" a="1"/>
  <c r="X297" i="4" s="1"/>
  <c r="V297" i="4" a="1"/>
  <c r="V297" i="4" s="1"/>
  <c r="T297" i="4" a="1"/>
  <c r="T297" i="4" s="1"/>
  <c r="Z296" i="4" a="1"/>
  <c r="Z296" i="4" s="1"/>
  <c r="X296" i="4" a="1"/>
  <c r="X296" i="4" s="1"/>
  <c r="V296" i="4" a="1"/>
  <c r="V296" i="4" s="1"/>
  <c r="T296" i="4" a="1"/>
  <c r="T296" i="4" s="1"/>
  <c r="Z295" i="4" a="1"/>
  <c r="Z295" i="4" s="1"/>
  <c r="X295" i="4" a="1"/>
  <c r="X295" i="4" s="1"/>
  <c r="V295" i="4" a="1"/>
  <c r="V295" i="4" s="1"/>
  <c r="T295" i="4" a="1"/>
  <c r="T295" i="4" s="1"/>
  <c r="Z294" i="4" a="1"/>
  <c r="Z294" i="4" s="1"/>
  <c r="X294" i="4" a="1"/>
  <c r="X294" i="4" s="1"/>
  <c r="V294" i="4" a="1"/>
  <c r="V294" i="4" s="1"/>
  <c r="T294" i="4"/>
  <c r="T294" i="4" a="1"/>
  <c r="Z293" i="4" a="1"/>
  <c r="Z293" i="4" s="1"/>
  <c r="X293" i="4" a="1"/>
  <c r="X293" i="4" s="1"/>
  <c r="V293" i="4" a="1"/>
  <c r="V293" i="4" s="1"/>
  <c r="T293" i="4"/>
  <c r="T293" i="4" a="1"/>
  <c r="Z292" i="4" a="1"/>
  <c r="Z292" i="4" s="1"/>
  <c r="X292" i="4" a="1"/>
  <c r="X292" i="4" s="1"/>
  <c r="V292" i="4" a="1"/>
  <c r="V292" i="4" s="1"/>
  <c r="T292" i="4"/>
  <c r="T292" i="4" a="1"/>
  <c r="Z291" i="4" a="1"/>
  <c r="Z291" i="4" s="1"/>
  <c r="X291" i="4" a="1"/>
  <c r="X291" i="4" s="1"/>
  <c r="V291" i="4" a="1"/>
  <c r="V291" i="4" s="1"/>
  <c r="T291" i="4" a="1"/>
  <c r="T291" i="4" s="1"/>
  <c r="Z290" i="4" a="1"/>
  <c r="Z290" i="4" s="1"/>
  <c r="X290" i="4" a="1"/>
  <c r="X290" i="4" s="1"/>
  <c r="V290" i="4" a="1"/>
  <c r="V290" i="4" s="1"/>
  <c r="T290" i="4" a="1"/>
  <c r="T290" i="4" s="1"/>
  <c r="Z289" i="4" a="1"/>
  <c r="Z289" i="4" s="1"/>
  <c r="X289" i="4" a="1"/>
  <c r="X289" i="4" s="1"/>
  <c r="V289" i="4" a="1"/>
  <c r="V289" i="4" s="1"/>
  <c r="T289" i="4" a="1"/>
  <c r="T289" i="4" s="1"/>
  <c r="Z288" i="4" a="1"/>
  <c r="Z288" i="4" s="1"/>
  <c r="X288" i="4" a="1"/>
  <c r="X288" i="4" s="1"/>
  <c r="V288" i="4" a="1"/>
  <c r="V288" i="4" s="1"/>
  <c r="T288" i="4" a="1"/>
  <c r="T288" i="4" s="1"/>
  <c r="Z287" i="4" a="1"/>
  <c r="Z287" i="4" s="1"/>
  <c r="X287" i="4" a="1"/>
  <c r="X287" i="4" s="1"/>
  <c r="V287" i="4" a="1"/>
  <c r="V287" i="4" s="1"/>
  <c r="T287" i="4" a="1"/>
  <c r="T287" i="4" s="1"/>
  <c r="Z286" i="4" a="1"/>
  <c r="Z286" i="4" s="1"/>
  <c r="X286" i="4" a="1"/>
  <c r="X286" i="4" s="1"/>
  <c r="V286" i="4" a="1"/>
  <c r="V286" i="4" s="1"/>
  <c r="T286" i="4"/>
  <c r="T286" i="4" a="1"/>
  <c r="Z285" i="4" a="1"/>
  <c r="Z285" i="4" s="1"/>
  <c r="X285" i="4" a="1"/>
  <c r="X285" i="4" s="1"/>
  <c r="V285" i="4" a="1"/>
  <c r="V285" i="4" s="1"/>
  <c r="T285" i="4"/>
  <c r="T285" i="4" a="1"/>
  <c r="Z284" i="4" a="1"/>
  <c r="Z284" i="4" s="1"/>
  <c r="X284" i="4" a="1"/>
  <c r="X284" i="4" s="1"/>
  <c r="V284" i="4" a="1"/>
  <c r="V284" i="4" s="1"/>
  <c r="T284" i="4"/>
  <c r="T284" i="4" a="1"/>
  <c r="Z283" i="4" a="1"/>
  <c r="Z283" i="4" s="1"/>
  <c r="X283" i="4" a="1"/>
  <c r="X283" i="4" s="1"/>
  <c r="V283" i="4" a="1"/>
  <c r="V283" i="4" s="1"/>
  <c r="T283" i="4" a="1"/>
  <c r="T283" i="4" s="1"/>
  <c r="Z282" i="4" a="1"/>
  <c r="Z282" i="4" s="1"/>
  <c r="X282" i="4" a="1"/>
  <c r="X282" i="4" s="1"/>
  <c r="V282" i="4" a="1"/>
  <c r="V282" i="4" s="1"/>
  <c r="T282" i="4" a="1"/>
  <c r="T282" i="4" s="1"/>
  <c r="Z281" i="4" a="1"/>
  <c r="Z281" i="4" s="1"/>
  <c r="X281" i="4" a="1"/>
  <c r="X281" i="4" s="1"/>
  <c r="V281" i="4" a="1"/>
  <c r="V281" i="4" s="1"/>
  <c r="T281" i="4" a="1"/>
  <c r="T281" i="4" s="1"/>
  <c r="Z280" i="4" a="1"/>
  <c r="Z280" i="4" s="1"/>
  <c r="X280" i="4" a="1"/>
  <c r="X280" i="4" s="1"/>
  <c r="V280" i="4" a="1"/>
  <c r="V280" i="4" s="1"/>
  <c r="T280" i="4" a="1"/>
  <c r="T280" i="4" s="1"/>
  <c r="Z279" i="4" a="1"/>
  <c r="Z279" i="4" s="1"/>
  <c r="X279" i="4" a="1"/>
  <c r="X279" i="4" s="1"/>
  <c r="V279" i="4" a="1"/>
  <c r="V279" i="4" s="1"/>
  <c r="T279" i="4" a="1"/>
  <c r="T279" i="4" s="1"/>
  <c r="Z278" i="4" a="1"/>
  <c r="Z278" i="4" s="1"/>
  <c r="X278" i="4" a="1"/>
  <c r="X278" i="4" s="1"/>
  <c r="V278" i="4" a="1"/>
  <c r="V278" i="4" s="1"/>
  <c r="T278" i="4" a="1"/>
  <c r="T278" i="4" s="1"/>
  <c r="Z277" i="4" a="1"/>
  <c r="Z277" i="4" s="1"/>
  <c r="X277" i="4" a="1"/>
  <c r="X277" i="4" s="1"/>
  <c r="V277" i="4" a="1"/>
  <c r="V277" i="4" s="1"/>
  <c r="T277" i="4"/>
  <c r="T277" i="4" a="1"/>
  <c r="Z276" i="4" a="1"/>
  <c r="Z276" i="4" s="1"/>
  <c r="X276" i="4" a="1"/>
  <c r="X276" i="4" s="1"/>
  <c r="V276" i="4" a="1"/>
  <c r="V276" i="4" s="1"/>
  <c r="T276" i="4"/>
  <c r="T276" i="4" a="1"/>
  <c r="Z275" i="4" a="1"/>
  <c r="Z275" i="4" s="1"/>
  <c r="X275" i="4" a="1"/>
  <c r="X275" i="4" s="1"/>
  <c r="V275" i="4" a="1"/>
  <c r="V275" i="4" s="1"/>
  <c r="T275" i="4" a="1"/>
  <c r="T275" i="4" s="1"/>
  <c r="Z274" i="4" a="1"/>
  <c r="Z274" i="4" s="1"/>
  <c r="X274" i="4" a="1"/>
  <c r="X274" i="4" s="1"/>
  <c r="V274" i="4" a="1"/>
  <c r="V274" i="4" s="1"/>
  <c r="T274" i="4" a="1"/>
  <c r="T274" i="4" s="1"/>
  <c r="Z273" i="4" a="1"/>
  <c r="Z273" i="4" s="1"/>
  <c r="X273" i="4" a="1"/>
  <c r="X273" i="4" s="1"/>
  <c r="V273" i="4" a="1"/>
  <c r="V273" i="4" s="1"/>
  <c r="T273" i="4" a="1"/>
  <c r="T273" i="4" s="1"/>
  <c r="Z272" i="4" a="1"/>
  <c r="Z272" i="4" s="1"/>
  <c r="X272" i="4" a="1"/>
  <c r="X272" i="4" s="1"/>
  <c r="V272" i="4" a="1"/>
  <c r="V272" i="4" s="1"/>
  <c r="T272" i="4" a="1"/>
  <c r="T272" i="4" s="1"/>
  <c r="Z271" i="4" a="1"/>
  <c r="Z271" i="4" s="1"/>
  <c r="X271" i="4" a="1"/>
  <c r="X271" i="4" s="1"/>
  <c r="V271" i="4" a="1"/>
  <c r="V271" i="4" s="1"/>
  <c r="T271" i="4" a="1"/>
  <c r="T271" i="4" s="1"/>
  <c r="Z270" i="4" a="1"/>
  <c r="Z270" i="4" s="1"/>
  <c r="X270" i="4" a="1"/>
  <c r="X270" i="4" s="1"/>
  <c r="V270" i="4" a="1"/>
  <c r="V270" i="4" s="1"/>
  <c r="T270" i="4" a="1"/>
  <c r="T270" i="4" s="1"/>
  <c r="Z269" i="4" a="1"/>
  <c r="Z269" i="4" s="1"/>
  <c r="X269" i="4" a="1"/>
  <c r="X269" i="4" s="1"/>
  <c r="V269" i="4" a="1"/>
  <c r="V269" i="4" s="1"/>
  <c r="T269" i="4" a="1"/>
  <c r="T269" i="4" s="1"/>
  <c r="Z268" i="4" a="1"/>
  <c r="Z268" i="4" s="1"/>
  <c r="X268" i="4" a="1"/>
  <c r="X268" i="4" s="1"/>
  <c r="V268" i="4" a="1"/>
  <c r="V268" i="4" s="1"/>
  <c r="T268" i="4"/>
  <c r="T268" i="4" a="1"/>
  <c r="Z267" i="4" a="1"/>
  <c r="Z267" i="4" s="1"/>
  <c r="X267" i="4" a="1"/>
  <c r="X267" i="4" s="1"/>
  <c r="V267" i="4" a="1"/>
  <c r="V267" i="4" s="1"/>
  <c r="T267" i="4" a="1"/>
  <c r="T267" i="4" s="1"/>
  <c r="Z266" i="4" a="1"/>
  <c r="Z266" i="4" s="1"/>
  <c r="X266" i="4" a="1"/>
  <c r="X266" i="4" s="1"/>
  <c r="V266" i="4" a="1"/>
  <c r="V266" i="4" s="1"/>
  <c r="T266" i="4" a="1"/>
  <c r="T266" i="4" s="1"/>
  <c r="Z265" i="4" a="1"/>
  <c r="Z265" i="4" s="1"/>
  <c r="X265" i="4" a="1"/>
  <c r="X265" i="4" s="1"/>
  <c r="V265" i="4" a="1"/>
  <c r="V265" i="4" s="1"/>
  <c r="T265" i="4" a="1"/>
  <c r="T265" i="4" s="1"/>
  <c r="Z264" i="4" a="1"/>
  <c r="Z264" i="4" s="1"/>
  <c r="X264" i="4" a="1"/>
  <c r="X264" i="4" s="1"/>
  <c r="V264" i="4" a="1"/>
  <c r="V264" i="4" s="1"/>
  <c r="T264" i="4" a="1"/>
  <c r="T264" i="4" s="1"/>
  <c r="Z263" i="4" a="1"/>
  <c r="Z263" i="4" s="1"/>
  <c r="X263" i="4" a="1"/>
  <c r="X263" i="4" s="1"/>
  <c r="V263" i="4" a="1"/>
  <c r="V263" i="4" s="1"/>
  <c r="T263" i="4" a="1"/>
  <c r="T263" i="4" s="1"/>
  <c r="Z262" i="4" a="1"/>
  <c r="Z262" i="4" s="1"/>
  <c r="X262" i="4" a="1"/>
  <c r="X262" i="4" s="1"/>
  <c r="V262" i="4" a="1"/>
  <c r="V262" i="4" s="1"/>
  <c r="T262" i="4"/>
  <c r="T262" i="4" a="1"/>
  <c r="Z261" i="4" a="1"/>
  <c r="Z261" i="4" s="1"/>
  <c r="X261" i="4" a="1"/>
  <c r="X261" i="4" s="1"/>
  <c r="V261" i="4" a="1"/>
  <c r="V261" i="4" s="1"/>
  <c r="T261" i="4" a="1"/>
  <c r="T261" i="4" s="1"/>
  <c r="Z260" i="4" a="1"/>
  <c r="Z260" i="4" s="1"/>
  <c r="X260" i="4" a="1"/>
  <c r="X260" i="4" s="1"/>
  <c r="V260" i="4" a="1"/>
  <c r="V260" i="4" s="1"/>
  <c r="T260" i="4" a="1"/>
  <c r="T260" i="4" s="1"/>
  <c r="Z259" i="4" a="1"/>
  <c r="Z259" i="4" s="1"/>
  <c r="X259" i="4" a="1"/>
  <c r="X259" i="4" s="1"/>
  <c r="V259" i="4" a="1"/>
  <c r="V259" i="4" s="1"/>
  <c r="T259" i="4" a="1"/>
  <c r="T259" i="4" s="1"/>
  <c r="Z258" i="4" a="1"/>
  <c r="Z258" i="4" s="1"/>
  <c r="X258" i="4" a="1"/>
  <c r="X258" i="4" s="1"/>
  <c r="V258" i="4" a="1"/>
  <c r="V258" i="4" s="1"/>
  <c r="T258" i="4" a="1"/>
  <c r="T258" i="4" s="1"/>
  <c r="Z257" i="4" a="1"/>
  <c r="Z257" i="4" s="1"/>
  <c r="X257" i="4" a="1"/>
  <c r="X257" i="4" s="1"/>
  <c r="V257" i="4" a="1"/>
  <c r="V257" i="4" s="1"/>
  <c r="T257" i="4" a="1"/>
  <c r="T257" i="4" s="1"/>
  <c r="Z256" i="4" a="1"/>
  <c r="Z256" i="4" s="1"/>
  <c r="X256" i="4" a="1"/>
  <c r="X256" i="4" s="1"/>
  <c r="V256" i="4" a="1"/>
  <c r="V256" i="4" s="1"/>
  <c r="T256" i="4" a="1"/>
  <c r="T256" i="4" s="1"/>
  <c r="Z255" i="4" a="1"/>
  <c r="Z255" i="4" s="1"/>
  <c r="X255" i="4" a="1"/>
  <c r="X255" i="4" s="1"/>
  <c r="V255" i="4" a="1"/>
  <c r="V255" i="4" s="1"/>
  <c r="T255" i="4" a="1"/>
  <c r="T255" i="4" s="1"/>
  <c r="Z254" i="4" a="1"/>
  <c r="Z254" i="4" s="1"/>
  <c r="X254" i="4" a="1"/>
  <c r="X254" i="4" s="1"/>
  <c r="V254" i="4" a="1"/>
  <c r="V254" i="4" s="1"/>
  <c r="T254" i="4" a="1"/>
  <c r="T254" i="4" s="1"/>
  <c r="Z253" i="4" a="1"/>
  <c r="Z253" i="4" s="1"/>
  <c r="X253" i="4" a="1"/>
  <c r="X253" i="4" s="1"/>
  <c r="V253" i="4" a="1"/>
  <c r="V253" i="4" s="1"/>
  <c r="T253" i="4"/>
  <c r="T253" i="4" a="1"/>
  <c r="Z252" i="4" a="1"/>
  <c r="Z252" i="4" s="1"/>
  <c r="X252" i="4" a="1"/>
  <c r="X252" i="4" s="1"/>
  <c r="V252" i="4" a="1"/>
  <c r="V252" i="4" s="1"/>
  <c r="T252" i="4" a="1"/>
  <c r="T252" i="4" s="1"/>
  <c r="Z251" i="4" a="1"/>
  <c r="Z251" i="4" s="1"/>
  <c r="X251" i="4" a="1"/>
  <c r="X251" i="4" s="1"/>
  <c r="V251" i="4" a="1"/>
  <c r="V251" i="4" s="1"/>
  <c r="T251" i="4" a="1"/>
  <c r="T251" i="4" s="1"/>
  <c r="Z250" i="4" a="1"/>
  <c r="Z250" i="4" s="1"/>
  <c r="X250" i="4" a="1"/>
  <c r="X250" i="4" s="1"/>
  <c r="V250" i="4" a="1"/>
  <c r="V250" i="4" s="1"/>
  <c r="T250" i="4" a="1"/>
  <c r="T250" i="4" s="1"/>
  <c r="Z249" i="4" a="1"/>
  <c r="Z249" i="4" s="1"/>
  <c r="X249" i="4" a="1"/>
  <c r="X249" i="4" s="1"/>
  <c r="V249" i="4" a="1"/>
  <c r="V249" i="4" s="1"/>
  <c r="T249" i="4" a="1"/>
  <c r="T249" i="4" s="1"/>
  <c r="Z248" i="4" a="1"/>
  <c r="Z248" i="4" s="1"/>
  <c r="X248" i="4" a="1"/>
  <c r="X248" i="4" s="1"/>
  <c r="V248" i="4" a="1"/>
  <c r="V248" i="4" s="1"/>
  <c r="T248" i="4" a="1"/>
  <c r="T248" i="4" s="1"/>
  <c r="Z247" i="4" a="1"/>
  <c r="Z247" i="4" s="1"/>
  <c r="X247" i="4" a="1"/>
  <c r="X247" i="4" s="1"/>
  <c r="V247" i="4" a="1"/>
  <c r="V247" i="4" s="1"/>
  <c r="T247" i="4" a="1"/>
  <c r="T247" i="4" s="1"/>
  <c r="Z246" i="4" a="1"/>
  <c r="Z246" i="4" s="1"/>
  <c r="X246" i="4" a="1"/>
  <c r="X246" i="4" s="1"/>
  <c r="V246" i="4" a="1"/>
  <c r="V246" i="4" s="1"/>
  <c r="T246" i="4"/>
  <c r="T246" i="4" a="1"/>
  <c r="Z245" i="4" a="1"/>
  <c r="Z245" i="4" s="1"/>
  <c r="X245" i="4" a="1"/>
  <c r="X245" i="4" s="1"/>
  <c r="V245" i="4" a="1"/>
  <c r="V245" i="4" s="1"/>
  <c r="T245" i="4" a="1"/>
  <c r="T245" i="4" s="1"/>
  <c r="Z244" i="4" a="1"/>
  <c r="Z244" i="4" s="1"/>
  <c r="X244" i="4" a="1"/>
  <c r="X244" i="4" s="1"/>
  <c r="V244" i="4" a="1"/>
  <c r="V244" i="4" s="1"/>
  <c r="T244" i="4"/>
  <c r="T244" i="4" a="1"/>
  <c r="Z243" i="4" a="1"/>
  <c r="Z243" i="4" s="1"/>
  <c r="X243" i="4" a="1"/>
  <c r="X243" i="4" s="1"/>
  <c r="V243" i="4" a="1"/>
  <c r="V243" i="4" s="1"/>
  <c r="T243" i="4" a="1"/>
  <c r="T243" i="4" s="1"/>
  <c r="Z242" i="4" a="1"/>
  <c r="Z242" i="4" s="1"/>
  <c r="X242" i="4" a="1"/>
  <c r="X242" i="4" s="1"/>
  <c r="V242" i="4" a="1"/>
  <c r="V242" i="4" s="1"/>
  <c r="T242" i="4" a="1"/>
  <c r="T242" i="4" s="1"/>
  <c r="Z241" i="4" a="1"/>
  <c r="Z241" i="4" s="1"/>
  <c r="X241" i="4" a="1"/>
  <c r="X241" i="4" s="1"/>
  <c r="V241" i="4" a="1"/>
  <c r="V241" i="4" s="1"/>
  <c r="T241" i="4" a="1"/>
  <c r="T241" i="4" s="1"/>
  <c r="Z240" i="4" a="1"/>
  <c r="Z240" i="4" s="1"/>
  <c r="X240" i="4" a="1"/>
  <c r="X240" i="4" s="1"/>
  <c r="V240" i="4" a="1"/>
  <c r="V240" i="4" s="1"/>
  <c r="T240" i="4" a="1"/>
  <c r="T240" i="4" s="1"/>
  <c r="Z239" i="4" a="1"/>
  <c r="Z239" i="4" s="1"/>
  <c r="X239" i="4" a="1"/>
  <c r="X239" i="4" s="1"/>
  <c r="V239" i="4" a="1"/>
  <c r="V239" i="4" s="1"/>
  <c r="T239" i="4" a="1"/>
  <c r="T239" i="4" s="1"/>
  <c r="Z238" i="4" a="1"/>
  <c r="Z238" i="4" s="1"/>
  <c r="X238" i="4" a="1"/>
  <c r="X238" i="4" s="1"/>
  <c r="V238" i="4" a="1"/>
  <c r="V238" i="4" s="1"/>
  <c r="T238" i="4"/>
  <c r="T238" i="4" a="1"/>
  <c r="Z237" i="4" a="1"/>
  <c r="Z237" i="4" s="1"/>
  <c r="X237" i="4" a="1"/>
  <c r="X237" i="4" s="1"/>
  <c r="V237" i="4" a="1"/>
  <c r="V237" i="4" s="1"/>
  <c r="T237" i="4"/>
  <c r="T237" i="4" a="1"/>
  <c r="Z236" i="4" a="1"/>
  <c r="Z236" i="4" s="1"/>
  <c r="X236" i="4" a="1"/>
  <c r="X236" i="4" s="1"/>
  <c r="V236" i="4" a="1"/>
  <c r="V236" i="4" s="1"/>
  <c r="T236" i="4" a="1"/>
  <c r="T236" i="4" s="1"/>
  <c r="Z235" i="4" a="1"/>
  <c r="Z235" i="4" s="1"/>
  <c r="X235" i="4" a="1"/>
  <c r="X235" i="4" s="1"/>
  <c r="V235" i="4" a="1"/>
  <c r="V235" i="4" s="1"/>
  <c r="T235" i="4" a="1"/>
  <c r="T235" i="4" s="1"/>
  <c r="Z234" i="4" a="1"/>
  <c r="Z234" i="4" s="1"/>
  <c r="X234" i="4" a="1"/>
  <c r="X234" i="4" s="1"/>
  <c r="V234" i="4" a="1"/>
  <c r="V234" i="4" s="1"/>
  <c r="T234" i="4" a="1"/>
  <c r="T234" i="4" s="1"/>
  <c r="Z233" i="4" a="1"/>
  <c r="Z233" i="4" s="1"/>
  <c r="X233" i="4" a="1"/>
  <c r="X233" i="4" s="1"/>
  <c r="V233" i="4" a="1"/>
  <c r="V233" i="4" s="1"/>
  <c r="T233" i="4" a="1"/>
  <c r="T233" i="4" s="1"/>
  <c r="Z232" i="4" a="1"/>
  <c r="Z232" i="4" s="1"/>
  <c r="X232" i="4" a="1"/>
  <c r="X232" i="4" s="1"/>
  <c r="V232" i="4" a="1"/>
  <c r="V232" i="4" s="1"/>
  <c r="T232" i="4" a="1"/>
  <c r="T232" i="4" s="1"/>
  <c r="Z231" i="4" a="1"/>
  <c r="Z231" i="4" s="1"/>
  <c r="X231" i="4" a="1"/>
  <c r="X231" i="4" s="1"/>
  <c r="V231" i="4" a="1"/>
  <c r="V231" i="4" s="1"/>
  <c r="T231" i="4" a="1"/>
  <c r="T231" i="4" s="1"/>
  <c r="Z230" i="4" a="1"/>
  <c r="Z230" i="4" s="1"/>
  <c r="X230" i="4" a="1"/>
  <c r="X230" i="4" s="1"/>
  <c r="V230" i="4" a="1"/>
  <c r="V230" i="4" s="1"/>
  <c r="T230" i="4"/>
  <c r="T230" i="4" a="1"/>
  <c r="Z229" i="4" a="1"/>
  <c r="Z229" i="4" s="1"/>
  <c r="X229" i="4" a="1"/>
  <c r="X229" i="4" s="1"/>
  <c r="V229" i="4" a="1"/>
  <c r="V229" i="4" s="1"/>
  <c r="T229" i="4"/>
  <c r="T229" i="4" a="1"/>
  <c r="Z228" i="4" a="1"/>
  <c r="Z228" i="4" s="1"/>
  <c r="X228" i="4" a="1"/>
  <c r="X228" i="4" s="1"/>
  <c r="V228" i="4" a="1"/>
  <c r="V228" i="4" s="1"/>
  <c r="T228" i="4"/>
  <c r="T228" i="4" a="1"/>
  <c r="Z227" i="4" a="1"/>
  <c r="Z227" i="4" s="1"/>
  <c r="X227" i="4" a="1"/>
  <c r="X227" i="4" s="1"/>
  <c r="V227" i="4" a="1"/>
  <c r="V227" i="4" s="1"/>
  <c r="T227" i="4" a="1"/>
  <c r="T227" i="4" s="1"/>
  <c r="Z226" i="4" a="1"/>
  <c r="Z226" i="4" s="1"/>
  <c r="X226" i="4" a="1"/>
  <c r="X226" i="4" s="1"/>
  <c r="V226" i="4" a="1"/>
  <c r="V226" i="4" s="1"/>
  <c r="T226" i="4" a="1"/>
  <c r="T226" i="4" s="1"/>
  <c r="Z225" i="4" a="1"/>
  <c r="Z225" i="4" s="1"/>
  <c r="X225" i="4" a="1"/>
  <c r="X225" i="4" s="1"/>
  <c r="V225" i="4" a="1"/>
  <c r="V225" i="4" s="1"/>
  <c r="T225" i="4" a="1"/>
  <c r="T225" i="4" s="1"/>
  <c r="Z224" i="4" a="1"/>
  <c r="Z224" i="4" s="1"/>
  <c r="X224" i="4" a="1"/>
  <c r="X224" i="4" s="1"/>
  <c r="V224" i="4" a="1"/>
  <c r="V224" i="4" s="1"/>
  <c r="T224" i="4" a="1"/>
  <c r="T224" i="4" s="1"/>
  <c r="Z223" i="4" a="1"/>
  <c r="Z223" i="4" s="1"/>
  <c r="X223" i="4" a="1"/>
  <c r="X223" i="4" s="1"/>
  <c r="V223" i="4" a="1"/>
  <c r="V223" i="4" s="1"/>
  <c r="T223" i="4" a="1"/>
  <c r="T223" i="4" s="1"/>
  <c r="Z222" i="4" a="1"/>
  <c r="Z222" i="4" s="1"/>
  <c r="X222" i="4" a="1"/>
  <c r="X222" i="4" s="1"/>
  <c r="V222" i="4" a="1"/>
  <c r="V222" i="4" s="1"/>
  <c r="T222" i="4" a="1"/>
  <c r="T222" i="4" s="1"/>
  <c r="Z221" i="4" a="1"/>
  <c r="Z221" i="4" s="1"/>
  <c r="X221" i="4" a="1"/>
  <c r="X221" i="4" s="1"/>
  <c r="V221" i="4" a="1"/>
  <c r="V221" i="4" s="1"/>
  <c r="T221" i="4" a="1"/>
  <c r="T221" i="4" s="1"/>
  <c r="Z220" i="4" a="1"/>
  <c r="Z220" i="4" s="1"/>
  <c r="X220" i="4" a="1"/>
  <c r="X220" i="4" s="1"/>
  <c r="V220" i="4" a="1"/>
  <c r="V220" i="4" s="1"/>
  <c r="T220" i="4" a="1"/>
  <c r="T220" i="4" s="1"/>
  <c r="Z219" i="4" a="1"/>
  <c r="Z219" i="4" s="1"/>
  <c r="X219" i="4" a="1"/>
  <c r="X219" i="4" s="1"/>
  <c r="V219" i="4" a="1"/>
  <c r="V219" i="4" s="1"/>
  <c r="T219" i="4" a="1"/>
  <c r="T219" i="4" s="1"/>
  <c r="Z218" i="4" a="1"/>
  <c r="Z218" i="4" s="1"/>
  <c r="X218" i="4" a="1"/>
  <c r="X218" i="4" s="1"/>
  <c r="V218" i="4" a="1"/>
  <c r="V218" i="4" s="1"/>
  <c r="T218" i="4" a="1"/>
  <c r="T218" i="4" s="1"/>
  <c r="Z217" i="4" a="1"/>
  <c r="Z217" i="4" s="1"/>
  <c r="X217" i="4"/>
  <c r="X217" i="4" a="1"/>
  <c r="V217" i="4" a="1"/>
  <c r="V217" i="4" s="1"/>
  <c r="T217" i="4"/>
  <c r="T217" i="4" a="1"/>
  <c r="Z216" i="4" a="1"/>
  <c r="Z216" i="4" s="1"/>
  <c r="X216" i="4" a="1"/>
  <c r="X216" i="4" s="1"/>
  <c r="V216" i="4" a="1"/>
  <c r="V216" i="4" s="1"/>
  <c r="T216" i="4" a="1"/>
  <c r="T216" i="4" s="1"/>
  <c r="Z215" i="4" a="1"/>
  <c r="Z215" i="4" s="1"/>
  <c r="X215" i="4" a="1"/>
  <c r="X215" i="4" s="1"/>
  <c r="V215" i="4" a="1"/>
  <c r="V215" i="4" s="1"/>
  <c r="T215" i="4" a="1"/>
  <c r="T215" i="4" s="1"/>
  <c r="Z214" i="4" a="1"/>
  <c r="Z214" i="4" s="1"/>
  <c r="X214" i="4" a="1"/>
  <c r="X214" i="4" s="1"/>
  <c r="V214" i="4" a="1"/>
  <c r="V214" i="4" s="1"/>
  <c r="T214" i="4" a="1"/>
  <c r="T214" i="4" s="1"/>
  <c r="Z213" i="4" a="1"/>
  <c r="Z213" i="4" s="1"/>
  <c r="X213" i="4" a="1"/>
  <c r="X213" i="4" s="1"/>
  <c r="V213" i="4" a="1"/>
  <c r="V213" i="4" s="1"/>
  <c r="T213" i="4" a="1"/>
  <c r="T213" i="4" s="1"/>
  <c r="Z212" i="4" a="1"/>
  <c r="Z212" i="4" s="1"/>
  <c r="X212" i="4" a="1"/>
  <c r="X212" i="4" s="1"/>
  <c r="V212" i="4" a="1"/>
  <c r="V212" i="4" s="1"/>
  <c r="T212" i="4" a="1"/>
  <c r="T212" i="4" s="1"/>
  <c r="Z211" i="4" a="1"/>
  <c r="Z211" i="4" s="1"/>
  <c r="X211" i="4" a="1"/>
  <c r="X211" i="4" s="1"/>
  <c r="V211" i="4" a="1"/>
  <c r="V211" i="4" s="1"/>
  <c r="T211" i="4" a="1"/>
  <c r="T211" i="4" s="1"/>
  <c r="Z210" i="4" a="1"/>
  <c r="Z210" i="4" s="1"/>
  <c r="X210" i="4" a="1"/>
  <c r="X210" i="4" s="1"/>
  <c r="V210" i="4" a="1"/>
  <c r="V210" i="4" s="1"/>
  <c r="T210" i="4" a="1"/>
  <c r="T210" i="4" s="1"/>
  <c r="Z209" i="4" a="1"/>
  <c r="Z209" i="4" s="1"/>
  <c r="X209" i="4"/>
  <c r="X209" i="4" a="1"/>
  <c r="V209" i="4" a="1"/>
  <c r="V209" i="4" s="1"/>
  <c r="T209" i="4"/>
  <c r="T209" i="4" a="1"/>
  <c r="Z208" i="4" a="1"/>
  <c r="Z208" i="4" s="1"/>
  <c r="X208" i="4" a="1"/>
  <c r="X208" i="4" s="1"/>
  <c r="V208" i="4" a="1"/>
  <c r="V208" i="4" s="1"/>
  <c r="T208" i="4" a="1"/>
  <c r="T208" i="4" s="1"/>
  <c r="Z207" i="4" a="1"/>
  <c r="Z207" i="4" s="1"/>
  <c r="X207" i="4"/>
  <c r="X207" i="4" a="1"/>
  <c r="V207" i="4" a="1"/>
  <c r="V207" i="4" s="1"/>
  <c r="T207" i="4" a="1"/>
  <c r="T207" i="4" s="1"/>
  <c r="Z206" i="4" a="1"/>
  <c r="Z206" i="4" s="1"/>
  <c r="X206" i="4" a="1"/>
  <c r="X206" i="4" s="1"/>
  <c r="V206" i="4" a="1"/>
  <c r="V206" i="4" s="1"/>
  <c r="T206" i="4" a="1"/>
  <c r="T206" i="4" s="1"/>
  <c r="Z205" i="4" a="1"/>
  <c r="Z205" i="4" s="1"/>
  <c r="X205" i="4" a="1"/>
  <c r="X205" i="4" s="1"/>
  <c r="V205" i="4" a="1"/>
  <c r="V205" i="4" s="1"/>
  <c r="T205" i="4" a="1"/>
  <c r="T205" i="4" s="1"/>
  <c r="Z204" i="4" a="1"/>
  <c r="Z204" i="4" s="1"/>
  <c r="X204" i="4" a="1"/>
  <c r="X204" i="4" s="1"/>
  <c r="V204" i="4" a="1"/>
  <c r="V204" i="4" s="1"/>
  <c r="T204" i="4" a="1"/>
  <c r="T204" i="4" s="1"/>
  <c r="Z203" i="4" a="1"/>
  <c r="Z203" i="4" s="1"/>
  <c r="X203" i="4" a="1"/>
  <c r="X203" i="4" s="1"/>
  <c r="V203" i="4" a="1"/>
  <c r="V203" i="4" s="1"/>
  <c r="T203" i="4" a="1"/>
  <c r="T203" i="4" s="1"/>
  <c r="Z202" i="4" a="1"/>
  <c r="Z202" i="4" s="1"/>
  <c r="X202" i="4" a="1"/>
  <c r="X202" i="4" s="1"/>
  <c r="V202" i="4" a="1"/>
  <c r="V202" i="4" s="1"/>
  <c r="T202" i="4" a="1"/>
  <c r="T202" i="4" s="1"/>
  <c r="Z201" i="4" a="1"/>
  <c r="Z201" i="4" s="1"/>
  <c r="X201" i="4"/>
  <c r="X201" i="4" a="1"/>
  <c r="V201" i="4" a="1"/>
  <c r="V201" i="4" s="1"/>
  <c r="T201" i="4" a="1"/>
  <c r="T201" i="4" s="1"/>
  <c r="Z200" i="4" a="1"/>
  <c r="Z200" i="4" s="1"/>
  <c r="X200" i="4" a="1"/>
  <c r="X200" i="4" s="1"/>
  <c r="V200" i="4" a="1"/>
  <c r="V200" i="4" s="1"/>
  <c r="T200" i="4" a="1"/>
  <c r="T200" i="4" s="1"/>
  <c r="Z199" i="4" a="1"/>
  <c r="Z199" i="4" s="1"/>
  <c r="X199" i="4"/>
  <c r="X199" i="4" a="1"/>
  <c r="V199" i="4" a="1"/>
  <c r="V199" i="4" s="1"/>
  <c r="T199" i="4" a="1"/>
  <c r="T199" i="4" s="1"/>
  <c r="Z198" i="4" a="1"/>
  <c r="Z198" i="4" s="1"/>
  <c r="X198" i="4" a="1"/>
  <c r="X198" i="4" s="1"/>
  <c r="V198" i="4" a="1"/>
  <c r="V198" i="4" s="1"/>
  <c r="T198" i="4" a="1"/>
  <c r="T198" i="4" s="1"/>
  <c r="Z197" i="4" a="1"/>
  <c r="Z197" i="4" s="1"/>
  <c r="X197" i="4" a="1"/>
  <c r="X197" i="4" s="1"/>
  <c r="V197" i="4" a="1"/>
  <c r="V197" i="4" s="1"/>
  <c r="T197" i="4" a="1"/>
  <c r="T197" i="4" s="1"/>
  <c r="Z196" i="4" a="1"/>
  <c r="Z196" i="4" s="1"/>
  <c r="X196" i="4" a="1"/>
  <c r="X196" i="4" s="1"/>
  <c r="V196" i="4" a="1"/>
  <c r="V196" i="4" s="1"/>
  <c r="T196" i="4" a="1"/>
  <c r="T196" i="4" s="1"/>
  <c r="Z195" i="4" a="1"/>
  <c r="Z195" i="4" s="1"/>
  <c r="X195" i="4" a="1"/>
  <c r="X195" i="4" s="1"/>
  <c r="V195" i="4" a="1"/>
  <c r="V195" i="4" s="1"/>
  <c r="T195" i="4" a="1"/>
  <c r="T195" i="4" s="1"/>
  <c r="Z194" i="4" a="1"/>
  <c r="Z194" i="4" s="1"/>
  <c r="X194" i="4" a="1"/>
  <c r="X194" i="4" s="1"/>
  <c r="V194" i="4" a="1"/>
  <c r="V194" i="4" s="1"/>
  <c r="T194" i="4" a="1"/>
  <c r="T194" i="4" s="1"/>
  <c r="Z193" i="4" a="1"/>
  <c r="Z193" i="4" s="1"/>
  <c r="X193" i="4" a="1"/>
  <c r="X193" i="4" s="1"/>
  <c r="V193" i="4" a="1"/>
  <c r="V193" i="4" s="1"/>
  <c r="T193" i="4"/>
  <c r="T193" i="4" a="1"/>
  <c r="Z192" i="4" a="1"/>
  <c r="Z192" i="4" s="1"/>
  <c r="X192" i="4" a="1"/>
  <c r="X192" i="4" s="1"/>
  <c r="V192" i="4" a="1"/>
  <c r="V192" i="4" s="1"/>
  <c r="T192" i="4" a="1"/>
  <c r="T192" i="4" s="1"/>
  <c r="Z191" i="4" a="1"/>
  <c r="Z191" i="4" s="1"/>
  <c r="X191" i="4" a="1"/>
  <c r="X191" i="4" s="1"/>
  <c r="V191" i="4" a="1"/>
  <c r="V191" i="4" s="1"/>
  <c r="T191" i="4" a="1"/>
  <c r="T191" i="4" s="1"/>
  <c r="Z190" i="4" a="1"/>
  <c r="Z190" i="4" s="1"/>
  <c r="X190" i="4" a="1"/>
  <c r="X190" i="4" s="1"/>
  <c r="V190" i="4" a="1"/>
  <c r="V190" i="4" s="1"/>
  <c r="T190" i="4" a="1"/>
  <c r="T190" i="4" s="1"/>
  <c r="Z189" i="4" a="1"/>
  <c r="Z189" i="4" s="1"/>
  <c r="X189" i="4" a="1"/>
  <c r="X189" i="4" s="1"/>
  <c r="V189" i="4" a="1"/>
  <c r="V189" i="4" s="1"/>
  <c r="T189" i="4" a="1"/>
  <c r="T189" i="4" s="1"/>
  <c r="Z188" i="4" a="1"/>
  <c r="Z188" i="4" s="1"/>
  <c r="X188" i="4" a="1"/>
  <c r="X188" i="4" s="1"/>
  <c r="V188" i="4" a="1"/>
  <c r="V188" i="4" s="1"/>
  <c r="T188" i="4" a="1"/>
  <c r="T188" i="4" s="1"/>
  <c r="Z187" i="4" a="1"/>
  <c r="Z187" i="4" s="1"/>
  <c r="X187" i="4" a="1"/>
  <c r="X187" i="4" s="1"/>
  <c r="V187" i="4" a="1"/>
  <c r="V187" i="4" s="1"/>
  <c r="T187" i="4" a="1"/>
  <c r="T187" i="4" s="1"/>
  <c r="Z186" i="4" a="1"/>
  <c r="Z186" i="4" s="1"/>
  <c r="X186" i="4" a="1"/>
  <c r="X186" i="4" s="1"/>
  <c r="V186" i="4" a="1"/>
  <c r="V186" i="4" s="1"/>
  <c r="T186" i="4" a="1"/>
  <c r="T186" i="4" s="1"/>
  <c r="Z185" i="4" a="1"/>
  <c r="Z185" i="4" s="1"/>
  <c r="X185" i="4" a="1"/>
  <c r="X185" i="4" s="1"/>
  <c r="V185" i="4" a="1"/>
  <c r="V185" i="4" s="1"/>
  <c r="T185" i="4"/>
  <c r="T185" i="4" a="1"/>
  <c r="Z184" i="4" a="1"/>
  <c r="Z184" i="4" s="1"/>
  <c r="X184" i="4" a="1"/>
  <c r="X184" i="4" s="1"/>
  <c r="V184" i="4" a="1"/>
  <c r="V184" i="4" s="1"/>
  <c r="T184" i="4" a="1"/>
  <c r="T184" i="4" s="1"/>
  <c r="Z183" i="4" a="1"/>
  <c r="Z183" i="4" s="1"/>
  <c r="X183" i="4" a="1"/>
  <c r="X183" i="4" s="1"/>
  <c r="V183" i="4" a="1"/>
  <c r="V183" i="4" s="1"/>
  <c r="T183" i="4" a="1"/>
  <c r="T183" i="4" s="1"/>
  <c r="Z182" i="4" a="1"/>
  <c r="Z182" i="4" s="1"/>
  <c r="X182" i="4" a="1"/>
  <c r="X182" i="4" s="1"/>
  <c r="V182" i="4" a="1"/>
  <c r="V182" i="4" s="1"/>
  <c r="T182" i="4" a="1"/>
  <c r="T182" i="4" s="1"/>
  <c r="Z181" i="4" a="1"/>
  <c r="Z181" i="4" s="1"/>
  <c r="X181" i="4" a="1"/>
  <c r="X181" i="4" s="1"/>
  <c r="V181" i="4" a="1"/>
  <c r="V181" i="4" s="1"/>
  <c r="T181" i="4" a="1"/>
  <c r="T181" i="4" s="1"/>
  <c r="Z180" i="4" a="1"/>
  <c r="Z180" i="4" s="1"/>
  <c r="X180" i="4" a="1"/>
  <c r="X180" i="4" s="1"/>
  <c r="V180" i="4" a="1"/>
  <c r="V180" i="4" s="1"/>
  <c r="T180" i="4" a="1"/>
  <c r="T180" i="4" s="1"/>
  <c r="Z179" i="4" a="1"/>
  <c r="Z179" i="4" s="1"/>
  <c r="X179" i="4" a="1"/>
  <c r="X179" i="4" s="1"/>
  <c r="V179" i="4" a="1"/>
  <c r="V179" i="4" s="1"/>
  <c r="T179" i="4" a="1"/>
  <c r="T179" i="4" s="1"/>
  <c r="Z178" i="4" a="1"/>
  <c r="Z178" i="4" s="1"/>
  <c r="X178" i="4" a="1"/>
  <c r="X178" i="4" s="1"/>
  <c r="V178" i="4" a="1"/>
  <c r="V178" i="4" s="1"/>
  <c r="T178" i="4" a="1"/>
  <c r="T178" i="4" s="1"/>
  <c r="Z177" i="4" a="1"/>
  <c r="Z177" i="4" s="1"/>
  <c r="X177" i="4" a="1"/>
  <c r="X177" i="4" s="1"/>
  <c r="V177" i="4" a="1"/>
  <c r="V177" i="4" s="1"/>
  <c r="T177" i="4"/>
  <c r="T177" i="4" a="1"/>
  <c r="Z176" i="4" a="1"/>
  <c r="Z176" i="4" s="1"/>
  <c r="X176" i="4" a="1"/>
  <c r="X176" i="4" s="1"/>
  <c r="V176" i="4" a="1"/>
  <c r="V176" i="4" s="1"/>
  <c r="T176" i="4" a="1"/>
  <c r="T176" i="4" s="1"/>
  <c r="Z175" i="4" a="1"/>
  <c r="Z175" i="4" s="1"/>
  <c r="X175" i="4"/>
  <c r="X175" i="4" a="1"/>
  <c r="V175" i="4" a="1"/>
  <c r="V175" i="4" s="1"/>
  <c r="T175" i="4" a="1"/>
  <c r="T175" i="4" s="1"/>
  <c r="Z174" i="4" a="1"/>
  <c r="Z174" i="4" s="1"/>
  <c r="X174" i="4" a="1"/>
  <c r="X174" i="4" s="1"/>
  <c r="V174" i="4" a="1"/>
  <c r="V174" i="4" s="1"/>
  <c r="T174" i="4" a="1"/>
  <c r="T174" i="4" s="1"/>
  <c r="Z173" i="4" a="1"/>
  <c r="Z173" i="4" s="1"/>
  <c r="X173" i="4" a="1"/>
  <c r="X173" i="4" s="1"/>
  <c r="V173" i="4" a="1"/>
  <c r="V173" i="4" s="1"/>
  <c r="T173" i="4" a="1"/>
  <c r="T173" i="4" s="1"/>
  <c r="Z172" i="4" a="1"/>
  <c r="Z172" i="4" s="1"/>
  <c r="X172" i="4" a="1"/>
  <c r="X172" i="4" s="1"/>
  <c r="V172" i="4" a="1"/>
  <c r="V172" i="4" s="1"/>
  <c r="T172" i="4" a="1"/>
  <c r="T172" i="4" s="1"/>
  <c r="Z171" i="4" a="1"/>
  <c r="Z171" i="4" s="1"/>
  <c r="X171" i="4" a="1"/>
  <c r="X171" i="4" s="1"/>
  <c r="V171" i="4" a="1"/>
  <c r="V171" i="4" s="1"/>
  <c r="T171" i="4" a="1"/>
  <c r="T171" i="4" s="1"/>
  <c r="Z170" i="4" a="1"/>
  <c r="Z170" i="4" s="1"/>
  <c r="X170" i="4" a="1"/>
  <c r="X170" i="4" s="1"/>
  <c r="V170" i="4" a="1"/>
  <c r="V170" i="4" s="1"/>
  <c r="T170" i="4" a="1"/>
  <c r="T170" i="4" s="1"/>
  <c r="Z169" i="4" a="1"/>
  <c r="Z169" i="4" s="1"/>
  <c r="X169" i="4" a="1"/>
  <c r="X169" i="4" s="1"/>
  <c r="V169" i="4" a="1"/>
  <c r="V169" i="4" s="1"/>
  <c r="T169" i="4" a="1"/>
  <c r="T169" i="4" s="1"/>
  <c r="Z168" i="4" a="1"/>
  <c r="Z168" i="4" s="1"/>
  <c r="X168" i="4" a="1"/>
  <c r="X168" i="4" s="1"/>
  <c r="V168" i="4" a="1"/>
  <c r="V168" i="4" s="1"/>
  <c r="T168" i="4" a="1"/>
  <c r="T168" i="4" s="1"/>
  <c r="Z167" i="4" a="1"/>
  <c r="Z167" i="4" s="1"/>
  <c r="X167" i="4" a="1"/>
  <c r="X167" i="4" s="1"/>
  <c r="V167" i="4" a="1"/>
  <c r="V167" i="4" s="1"/>
  <c r="T167" i="4" a="1"/>
  <c r="T167" i="4" s="1"/>
  <c r="Z166" i="4" a="1"/>
  <c r="Z166" i="4" s="1"/>
  <c r="X166" i="4" a="1"/>
  <c r="X166" i="4" s="1"/>
  <c r="V166" i="4" a="1"/>
  <c r="V166" i="4" s="1"/>
  <c r="T166" i="4" a="1"/>
  <c r="T166" i="4" s="1"/>
  <c r="Z165" i="4" a="1"/>
  <c r="Z165" i="4" s="1"/>
  <c r="X165" i="4"/>
  <c r="X165" i="4" a="1"/>
  <c r="V165" i="4" a="1"/>
  <c r="V165" i="4" s="1"/>
  <c r="T165" i="4" a="1"/>
  <c r="T165" i="4" s="1"/>
  <c r="Z164" i="4" a="1"/>
  <c r="Z164" i="4" s="1"/>
  <c r="X164" i="4" a="1"/>
  <c r="X164" i="4" s="1"/>
  <c r="V164" i="4" a="1"/>
  <c r="V164" i="4" s="1"/>
  <c r="T164" i="4"/>
  <c r="T164" i="4" a="1"/>
  <c r="Z163" i="4" a="1"/>
  <c r="Z163" i="4" s="1"/>
  <c r="X163" i="4" a="1"/>
  <c r="X163" i="4" s="1"/>
  <c r="V163" i="4" a="1"/>
  <c r="V163" i="4" s="1"/>
  <c r="T163" i="4" a="1"/>
  <c r="T163" i="4" s="1"/>
  <c r="Z162" i="4" a="1"/>
  <c r="Z162" i="4" s="1"/>
  <c r="X162" i="4" a="1"/>
  <c r="X162" i="4" s="1"/>
  <c r="V162" i="4" a="1"/>
  <c r="V162" i="4" s="1"/>
  <c r="T162" i="4" a="1"/>
  <c r="T162" i="4" s="1"/>
  <c r="Z161" i="4" a="1"/>
  <c r="Z161" i="4" s="1"/>
  <c r="X161" i="4" a="1"/>
  <c r="X161" i="4" s="1"/>
  <c r="V161" i="4" a="1"/>
  <c r="V161" i="4" s="1"/>
  <c r="T161" i="4" a="1"/>
  <c r="T161" i="4" s="1"/>
  <c r="Z160" i="4" a="1"/>
  <c r="Z160" i="4" s="1"/>
  <c r="X160" i="4" a="1"/>
  <c r="X160" i="4" s="1"/>
  <c r="V160" i="4" a="1"/>
  <c r="V160" i="4" s="1"/>
  <c r="T160" i="4" a="1"/>
  <c r="T160" i="4" s="1"/>
  <c r="Z159" i="4" a="1"/>
  <c r="Z159" i="4" s="1"/>
  <c r="X159" i="4"/>
  <c r="X159" i="4" a="1"/>
  <c r="V159" i="4" a="1"/>
  <c r="V159" i="4" s="1"/>
  <c r="T159" i="4" a="1"/>
  <c r="T159" i="4" s="1"/>
  <c r="Z158" i="4" a="1"/>
  <c r="Z158" i="4" s="1"/>
  <c r="X158" i="4" a="1"/>
  <c r="X158" i="4" s="1"/>
  <c r="V158" i="4" a="1"/>
  <c r="V158" i="4" s="1"/>
  <c r="T158" i="4" a="1"/>
  <c r="T158" i="4" s="1"/>
  <c r="Z157" i="4" a="1"/>
  <c r="Z157" i="4" s="1"/>
  <c r="X157" i="4" a="1"/>
  <c r="X157" i="4" s="1"/>
  <c r="V157" i="4" a="1"/>
  <c r="V157" i="4" s="1"/>
  <c r="T157" i="4" a="1"/>
  <c r="T157" i="4" s="1"/>
  <c r="Z156" i="4" a="1"/>
  <c r="Z156" i="4" s="1"/>
  <c r="X156" i="4" a="1"/>
  <c r="X156" i="4" s="1"/>
  <c r="V156" i="4" a="1"/>
  <c r="V156" i="4" s="1"/>
  <c r="T156" i="4" a="1"/>
  <c r="T156" i="4" s="1"/>
  <c r="Z155" i="4" a="1"/>
  <c r="Z155" i="4" s="1"/>
  <c r="X155" i="4" a="1"/>
  <c r="X155" i="4" s="1"/>
  <c r="V155" i="4" a="1"/>
  <c r="V155" i="4" s="1"/>
  <c r="T155" i="4" a="1"/>
  <c r="T155" i="4" s="1"/>
  <c r="Z154" i="4" a="1"/>
  <c r="Z154" i="4" s="1"/>
  <c r="X154" i="4" a="1"/>
  <c r="X154" i="4" s="1"/>
  <c r="V154" i="4" a="1"/>
  <c r="V154" i="4" s="1"/>
  <c r="T154" i="4" a="1"/>
  <c r="T154" i="4" s="1"/>
  <c r="Z153" i="4" a="1"/>
  <c r="Z153" i="4" s="1"/>
  <c r="X153" i="4" a="1"/>
  <c r="X153" i="4" s="1"/>
  <c r="V153" i="4" a="1"/>
  <c r="V153" i="4" s="1"/>
  <c r="T153" i="4"/>
  <c r="T153" i="4" a="1"/>
  <c r="Z152" i="4" a="1"/>
  <c r="Z152" i="4" s="1"/>
  <c r="X152" i="4" a="1"/>
  <c r="X152" i="4" s="1"/>
  <c r="V152" i="4" a="1"/>
  <c r="V152" i="4" s="1"/>
  <c r="T152" i="4" a="1"/>
  <c r="T152" i="4" s="1"/>
  <c r="Z151" i="4" a="1"/>
  <c r="Z151" i="4" s="1"/>
  <c r="X151" i="4" a="1"/>
  <c r="X151" i="4" s="1"/>
  <c r="V151" i="4" a="1"/>
  <c r="V151" i="4" s="1"/>
  <c r="T151" i="4" a="1"/>
  <c r="T151" i="4" s="1"/>
  <c r="Z150" i="4" a="1"/>
  <c r="Z150" i="4" s="1"/>
  <c r="X150" i="4" a="1"/>
  <c r="X150" i="4" s="1"/>
  <c r="V150" i="4" a="1"/>
  <c r="V150" i="4" s="1"/>
  <c r="T150" i="4" a="1"/>
  <c r="T150" i="4" s="1"/>
  <c r="Z149" i="4" a="1"/>
  <c r="Z149" i="4" s="1"/>
  <c r="X149" i="4" a="1"/>
  <c r="X149" i="4" s="1"/>
  <c r="V149" i="4" a="1"/>
  <c r="V149" i="4" s="1"/>
  <c r="T149" i="4" a="1"/>
  <c r="T149" i="4" s="1"/>
  <c r="Z148" i="4" a="1"/>
  <c r="Z148" i="4" s="1"/>
  <c r="X148" i="4" a="1"/>
  <c r="X148" i="4" s="1"/>
  <c r="V148" i="4" a="1"/>
  <c r="V148" i="4" s="1"/>
  <c r="T148" i="4" a="1"/>
  <c r="T148" i="4" s="1"/>
  <c r="Z147" i="4" a="1"/>
  <c r="Z147" i="4" s="1"/>
  <c r="X147" i="4" a="1"/>
  <c r="X147" i="4" s="1"/>
  <c r="V147" i="4" a="1"/>
  <c r="V147" i="4" s="1"/>
  <c r="T147" i="4" a="1"/>
  <c r="T147" i="4" s="1"/>
  <c r="Z146" i="4" a="1"/>
  <c r="Z146" i="4" s="1"/>
  <c r="X146" i="4" a="1"/>
  <c r="X146" i="4" s="1"/>
  <c r="V146" i="4" a="1"/>
  <c r="V146" i="4" s="1"/>
  <c r="T146" i="4" a="1"/>
  <c r="T146" i="4" s="1"/>
  <c r="Z145" i="4" a="1"/>
  <c r="Z145" i="4" s="1"/>
  <c r="X145" i="4"/>
  <c r="X145" i="4" a="1"/>
  <c r="V145" i="4" a="1"/>
  <c r="V145" i="4" s="1"/>
  <c r="T145" i="4" a="1"/>
  <c r="T145" i="4" s="1"/>
  <c r="Z144" i="4" a="1"/>
  <c r="Z144" i="4" s="1"/>
  <c r="X144" i="4" a="1"/>
  <c r="X144" i="4" s="1"/>
  <c r="V144" i="4" a="1"/>
  <c r="V144" i="4" s="1"/>
  <c r="T144" i="4" a="1"/>
  <c r="T144" i="4" s="1"/>
  <c r="Z143" i="4" a="1"/>
  <c r="Z143" i="4" s="1"/>
  <c r="X143" i="4"/>
  <c r="X143" i="4" a="1"/>
  <c r="V143" i="4" a="1"/>
  <c r="V143" i="4" s="1"/>
  <c r="T143" i="4" a="1"/>
  <c r="T143" i="4" s="1"/>
  <c r="Z142" i="4"/>
  <c r="Z142" i="4" a="1"/>
  <c r="X142" i="4" a="1"/>
  <c r="X142" i="4" s="1"/>
  <c r="V142" i="4" a="1"/>
  <c r="V142" i="4" s="1"/>
  <c r="T142" i="4"/>
  <c r="T142" i="4" a="1"/>
  <c r="Z141" i="4" a="1"/>
  <c r="Z141" i="4" s="1"/>
  <c r="X141" i="4" a="1"/>
  <c r="X141" i="4" s="1"/>
  <c r="V141" i="4" a="1"/>
  <c r="V141" i="4" s="1"/>
  <c r="T141" i="4" a="1"/>
  <c r="T141" i="4" s="1"/>
  <c r="Z140" i="4" a="1"/>
  <c r="Z140" i="4" s="1"/>
  <c r="X140" i="4"/>
  <c r="X140" i="4" a="1"/>
  <c r="V140" i="4" a="1"/>
  <c r="V140" i="4" s="1"/>
  <c r="T140" i="4" a="1"/>
  <c r="T140" i="4" s="1"/>
  <c r="Z139" i="4" a="1"/>
  <c r="Z139" i="4" s="1"/>
  <c r="X139" i="4" a="1"/>
  <c r="X139" i="4" s="1"/>
  <c r="V139" i="4" a="1"/>
  <c r="V139" i="4" s="1"/>
  <c r="T139" i="4" a="1"/>
  <c r="T139" i="4" s="1"/>
  <c r="Z138" i="4" a="1"/>
  <c r="Z138" i="4" s="1"/>
  <c r="X138" i="4" a="1"/>
  <c r="X138" i="4" s="1"/>
  <c r="V138" i="4" a="1"/>
  <c r="V138" i="4" s="1"/>
  <c r="T138" i="4" a="1"/>
  <c r="T138" i="4" s="1"/>
  <c r="Z137" i="4" a="1"/>
  <c r="Z137" i="4" s="1"/>
  <c r="X137" i="4" a="1"/>
  <c r="X137" i="4" s="1"/>
  <c r="V137" i="4" a="1"/>
  <c r="V137" i="4" s="1"/>
  <c r="T137" i="4" a="1"/>
  <c r="T137" i="4" s="1"/>
  <c r="Z136" i="4" a="1"/>
  <c r="Z136" i="4" s="1"/>
  <c r="X136" i="4" a="1"/>
  <c r="X136" i="4" s="1"/>
  <c r="V136" i="4" a="1"/>
  <c r="V136" i="4" s="1"/>
  <c r="T136" i="4" a="1"/>
  <c r="T136" i="4" s="1"/>
  <c r="Z135" i="4" a="1"/>
  <c r="Z135" i="4" s="1"/>
  <c r="X135" i="4" a="1"/>
  <c r="X135" i="4" s="1"/>
  <c r="V135" i="4" a="1"/>
  <c r="V135" i="4" s="1"/>
  <c r="T135" i="4" a="1"/>
  <c r="T135" i="4" s="1"/>
  <c r="Z134" i="4" a="1"/>
  <c r="Z134" i="4" s="1"/>
  <c r="X134" i="4" a="1"/>
  <c r="X134" i="4" s="1"/>
  <c r="V134" i="4" a="1"/>
  <c r="V134" i="4" s="1"/>
  <c r="T134" i="4" a="1"/>
  <c r="T134" i="4" s="1"/>
  <c r="Z133" i="4" a="1"/>
  <c r="Z133" i="4" s="1"/>
  <c r="X133" i="4" a="1"/>
  <c r="X133" i="4" s="1"/>
  <c r="V133" i="4" a="1"/>
  <c r="V133" i="4" s="1"/>
  <c r="T133" i="4" a="1"/>
  <c r="T133" i="4" s="1"/>
  <c r="Z132" i="4" a="1"/>
  <c r="Z132" i="4" s="1"/>
  <c r="X132" i="4" a="1"/>
  <c r="X132" i="4" s="1"/>
  <c r="V132" i="4" a="1"/>
  <c r="V132" i="4" s="1"/>
  <c r="T132" i="4"/>
  <c r="T132" i="4" a="1"/>
  <c r="Z131" i="4" a="1"/>
  <c r="Z131" i="4" s="1"/>
  <c r="X131" i="4" a="1"/>
  <c r="X131" i="4" s="1"/>
  <c r="V131" i="4" a="1"/>
  <c r="V131" i="4" s="1"/>
  <c r="T131" i="4" a="1"/>
  <c r="T131" i="4" s="1"/>
  <c r="Z130" i="4" a="1"/>
  <c r="Z130" i="4" s="1"/>
  <c r="X130" i="4" a="1"/>
  <c r="X130" i="4" s="1"/>
  <c r="V130" i="4" a="1"/>
  <c r="V130" i="4" s="1"/>
  <c r="T130" i="4" a="1"/>
  <c r="T130" i="4" s="1"/>
  <c r="Z129" i="4" a="1"/>
  <c r="Z129" i="4" s="1"/>
  <c r="X129" i="4"/>
  <c r="X129" i="4" a="1"/>
  <c r="V129" i="4" a="1"/>
  <c r="V129" i="4" s="1"/>
  <c r="T129" i="4" a="1"/>
  <c r="T129" i="4" s="1"/>
  <c r="Z128" i="4" a="1"/>
  <c r="Z128" i="4" s="1"/>
  <c r="X128" i="4" a="1"/>
  <c r="X128" i="4" s="1"/>
  <c r="V128" i="4" a="1"/>
  <c r="V128" i="4" s="1"/>
  <c r="T128" i="4" a="1"/>
  <c r="T128" i="4" s="1"/>
  <c r="Z127" i="4" a="1"/>
  <c r="Z127" i="4" s="1"/>
  <c r="X127" i="4" a="1"/>
  <c r="X127" i="4" s="1"/>
  <c r="V127" i="4" a="1"/>
  <c r="V127" i="4" s="1"/>
  <c r="T127" i="4" a="1"/>
  <c r="T127" i="4" s="1"/>
  <c r="Z126" i="4" a="1"/>
  <c r="Z126" i="4" s="1"/>
  <c r="X126" i="4" a="1"/>
  <c r="X126" i="4" s="1"/>
  <c r="V126" i="4" a="1"/>
  <c r="V126" i="4" s="1"/>
  <c r="T126" i="4" a="1"/>
  <c r="T126" i="4" s="1"/>
  <c r="Z125" i="4" a="1"/>
  <c r="Z125" i="4" s="1"/>
  <c r="X125" i="4" a="1"/>
  <c r="X125" i="4" s="1"/>
  <c r="V125" i="4" a="1"/>
  <c r="V125" i="4" s="1"/>
  <c r="T125" i="4" a="1"/>
  <c r="T125" i="4" s="1"/>
  <c r="Z124" i="4" a="1"/>
  <c r="Z124" i="4" s="1"/>
  <c r="X124" i="4" a="1"/>
  <c r="X124" i="4" s="1"/>
  <c r="V124" i="4" a="1"/>
  <c r="V124" i="4" s="1"/>
  <c r="T124" i="4" a="1"/>
  <c r="T124" i="4" s="1"/>
  <c r="Z123" i="4" a="1"/>
  <c r="Z123" i="4" s="1"/>
  <c r="X123" i="4" a="1"/>
  <c r="X123" i="4" s="1"/>
  <c r="V123" i="4" a="1"/>
  <c r="V123" i="4" s="1"/>
  <c r="T123" i="4" a="1"/>
  <c r="T123" i="4" s="1"/>
  <c r="Z122" i="4" a="1"/>
  <c r="Z122" i="4" s="1"/>
  <c r="X122" i="4" a="1"/>
  <c r="X122" i="4" s="1"/>
  <c r="V122" i="4" a="1"/>
  <c r="V122" i="4" s="1"/>
  <c r="T122" i="4" a="1"/>
  <c r="T122" i="4" s="1"/>
  <c r="Z121" i="4" a="1"/>
  <c r="Z121" i="4" s="1"/>
  <c r="X121" i="4" a="1"/>
  <c r="X121" i="4" s="1"/>
  <c r="V121" i="4" a="1"/>
  <c r="V121" i="4" s="1"/>
  <c r="T121" i="4" a="1"/>
  <c r="T121" i="4" s="1"/>
  <c r="Z120" i="4" a="1"/>
  <c r="Z120" i="4" s="1"/>
  <c r="X120" i="4" a="1"/>
  <c r="X120" i="4" s="1"/>
  <c r="V120" i="4" a="1"/>
  <c r="V120" i="4" s="1"/>
  <c r="T120" i="4" a="1"/>
  <c r="T120" i="4" s="1"/>
  <c r="Z119" i="4" a="1"/>
  <c r="Z119" i="4" s="1"/>
  <c r="X119" i="4" a="1"/>
  <c r="X119" i="4" s="1"/>
  <c r="V119" i="4" a="1"/>
  <c r="V119" i="4" s="1"/>
  <c r="T119" i="4" a="1"/>
  <c r="T119" i="4" s="1"/>
  <c r="Z118" i="4" a="1"/>
  <c r="Z118" i="4" s="1"/>
  <c r="X118" i="4" a="1"/>
  <c r="X118" i="4" s="1"/>
  <c r="V118" i="4" a="1"/>
  <c r="V118" i="4" s="1"/>
  <c r="T118" i="4" a="1"/>
  <c r="T118" i="4" s="1"/>
  <c r="Z117" i="4" a="1"/>
  <c r="Z117" i="4" s="1"/>
  <c r="X117" i="4" a="1"/>
  <c r="X117" i="4" s="1"/>
  <c r="V117" i="4" a="1"/>
  <c r="V117" i="4" s="1"/>
  <c r="T117" i="4" a="1"/>
  <c r="T117" i="4" s="1"/>
  <c r="Z116" i="4" a="1"/>
  <c r="Z116" i="4" s="1"/>
  <c r="X116" i="4" a="1"/>
  <c r="X116" i="4" s="1"/>
  <c r="V116" i="4" a="1"/>
  <c r="V116" i="4" s="1"/>
  <c r="T116" i="4" a="1"/>
  <c r="T116" i="4" s="1"/>
  <c r="Z115" i="4" a="1"/>
  <c r="Z115" i="4" s="1"/>
  <c r="X115" i="4" a="1"/>
  <c r="X115" i="4" s="1"/>
  <c r="V115" i="4" a="1"/>
  <c r="V115" i="4" s="1"/>
  <c r="T115" i="4" a="1"/>
  <c r="T115" i="4" s="1"/>
  <c r="Z114" i="4" a="1"/>
  <c r="Z114" i="4" s="1"/>
  <c r="X114" i="4" a="1"/>
  <c r="X114" i="4" s="1"/>
  <c r="V114" i="4" a="1"/>
  <c r="V114" i="4" s="1"/>
  <c r="T114" i="4" a="1"/>
  <c r="T114" i="4" s="1"/>
  <c r="Z113" i="4" a="1"/>
  <c r="Z113" i="4" s="1"/>
  <c r="X113" i="4" a="1"/>
  <c r="X113" i="4" s="1"/>
  <c r="V113" i="4" a="1"/>
  <c r="V113" i="4" s="1"/>
  <c r="T113" i="4" a="1"/>
  <c r="T113" i="4" s="1"/>
  <c r="Z112" i="4" a="1"/>
  <c r="Z112" i="4" s="1"/>
  <c r="X112" i="4" a="1"/>
  <c r="X112" i="4" s="1"/>
  <c r="V112" i="4" a="1"/>
  <c r="V112" i="4" s="1"/>
  <c r="T112" i="4" a="1"/>
  <c r="T112" i="4" s="1"/>
  <c r="Z111" i="4" a="1"/>
  <c r="Z111" i="4" s="1"/>
  <c r="X111" i="4" a="1"/>
  <c r="X111" i="4" s="1"/>
  <c r="V111" i="4" a="1"/>
  <c r="V111" i="4" s="1"/>
  <c r="T111" i="4" a="1"/>
  <c r="T111" i="4" s="1"/>
  <c r="Z110" i="4"/>
  <c r="Z110" i="4" a="1"/>
  <c r="X110" i="4" a="1"/>
  <c r="X110" i="4" s="1"/>
  <c r="V110" i="4" a="1"/>
  <c r="V110" i="4" s="1"/>
  <c r="T110" i="4" a="1"/>
  <c r="T110" i="4" s="1"/>
  <c r="Z109" i="4" a="1"/>
  <c r="Z109" i="4" s="1"/>
  <c r="X109" i="4" a="1"/>
  <c r="X109" i="4" s="1"/>
  <c r="V109" i="4" a="1"/>
  <c r="V109" i="4" s="1"/>
  <c r="T109" i="4" a="1"/>
  <c r="T109" i="4" s="1"/>
  <c r="Z108" i="4" a="1"/>
  <c r="Z108" i="4" s="1"/>
  <c r="X108" i="4"/>
  <c r="X108" i="4" a="1"/>
  <c r="V108" i="4" a="1"/>
  <c r="V108" i="4" s="1"/>
  <c r="T108" i="4" a="1"/>
  <c r="T108" i="4" s="1"/>
  <c r="Z107" i="4" a="1"/>
  <c r="Z107" i="4" s="1"/>
  <c r="X107" i="4" a="1"/>
  <c r="X107" i="4" s="1"/>
  <c r="V107" i="4" a="1"/>
  <c r="V107" i="4" s="1"/>
  <c r="T107" i="4" a="1"/>
  <c r="T107" i="4" s="1"/>
  <c r="Z106" i="4" a="1"/>
  <c r="Z106" i="4" s="1"/>
  <c r="X106" i="4" a="1"/>
  <c r="X106" i="4" s="1"/>
  <c r="V106" i="4" a="1"/>
  <c r="V106" i="4" s="1"/>
  <c r="T106" i="4"/>
  <c r="T106" i="4" a="1"/>
  <c r="Z105" i="4" a="1"/>
  <c r="Z105" i="4" s="1"/>
  <c r="X105" i="4" a="1"/>
  <c r="X105" i="4" s="1"/>
  <c r="V105" i="4" a="1"/>
  <c r="V105" i="4" s="1"/>
  <c r="T105" i="4"/>
  <c r="T105" i="4" a="1"/>
  <c r="Z104" i="4" a="1"/>
  <c r="Z104" i="4" s="1"/>
  <c r="X104" i="4" a="1"/>
  <c r="X104" i="4" s="1"/>
  <c r="V104" i="4" a="1"/>
  <c r="V104" i="4" s="1"/>
  <c r="T104" i="4" a="1"/>
  <c r="T104" i="4" s="1"/>
  <c r="Z103" i="4" a="1"/>
  <c r="Z103" i="4" s="1"/>
  <c r="X103" i="4" a="1"/>
  <c r="X103" i="4" s="1"/>
  <c r="V103" i="4" a="1"/>
  <c r="V103" i="4" s="1"/>
  <c r="T103" i="4" a="1"/>
  <c r="T103" i="4" s="1"/>
  <c r="Z102" i="4" a="1"/>
  <c r="Z102" i="4" s="1"/>
  <c r="X102" i="4" a="1"/>
  <c r="X102" i="4" s="1"/>
  <c r="V102" i="4" a="1"/>
  <c r="V102" i="4" s="1"/>
  <c r="T102" i="4" a="1"/>
  <c r="T102" i="4" s="1"/>
  <c r="Z101" i="4" a="1"/>
  <c r="Z101" i="4" s="1"/>
  <c r="X101" i="4"/>
  <c r="X101" i="4" a="1"/>
  <c r="V101" i="4" a="1"/>
  <c r="V101" i="4" s="1"/>
  <c r="T101" i="4" a="1"/>
  <c r="T101" i="4" s="1"/>
  <c r="Z100" i="4" a="1"/>
  <c r="Z100" i="4" s="1"/>
  <c r="X100" i="4" a="1"/>
  <c r="X100" i="4" s="1"/>
  <c r="V100" i="4" a="1"/>
  <c r="V100" i="4" s="1"/>
  <c r="T100" i="4"/>
  <c r="T100" i="4" a="1"/>
  <c r="Z99" i="4" a="1"/>
  <c r="Z99" i="4" s="1"/>
  <c r="X99" i="4" a="1"/>
  <c r="X99" i="4" s="1"/>
  <c r="V99" i="4" a="1"/>
  <c r="V99" i="4" s="1"/>
  <c r="T99" i="4" a="1"/>
  <c r="T99" i="4" s="1"/>
  <c r="Z98" i="4" a="1"/>
  <c r="Z98" i="4" s="1"/>
  <c r="X98" i="4" a="1"/>
  <c r="X98" i="4" s="1"/>
  <c r="V98" i="4" a="1"/>
  <c r="V98" i="4" s="1"/>
  <c r="T98" i="4" a="1"/>
  <c r="T98" i="4" s="1"/>
  <c r="Z97" i="4" a="1"/>
  <c r="Z97" i="4" s="1"/>
  <c r="X97" i="4" a="1"/>
  <c r="X97" i="4" s="1"/>
  <c r="V97" i="4" a="1"/>
  <c r="V97" i="4" s="1"/>
  <c r="T97" i="4"/>
  <c r="T97" i="4" a="1"/>
  <c r="Z96" i="4" a="1"/>
  <c r="Z96" i="4" s="1"/>
  <c r="X96" i="4" a="1"/>
  <c r="X96" i="4" s="1"/>
  <c r="V96" i="4" a="1"/>
  <c r="V96" i="4" s="1"/>
  <c r="T96" i="4" a="1"/>
  <c r="T96" i="4" s="1"/>
  <c r="Z95" i="4" a="1"/>
  <c r="Z95" i="4" s="1"/>
  <c r="X95" i="4" a="1"/>
  <c r="X95" i="4" s="1"/>
  <c r="V95" i="4" a="1"/>
  <c r="V95" i="4" s="1"/>
  <c r="T95" i="4" a="1"/>
  <c r="T95" i="4" s="1"/>
  <c r="Z94" i="4"/>
  <c r="Z94" i="4" a="1"/>
  <c r="X94" i="4" a="1"/>
  <c r="X94" i="4" s="1"/>
  <c r="V94" i="4" a="1"/>
  <c r="V94" i="4" s="1"/>
  <c r="T94" i="4" a="1"/>
  <c r="T94" i="4" s="1"/>
  <c r="Z93" i="4" a="1"/>
  <c r="Z93" i="4" s="1"/>
  <c r="X93" i="4" a="1"/>
  <c r="X93" i="4" s="1"/>
  <c r="V93" i="4" a="1"/>
  <c r="V93" i="4" s="1"/>
  <c r="T93" i="4" a="1"/>
  <c r="T93" i="4" s="1"/>
  <c r="Z92" i="4" a="1"/>
  <c r="Z92" i="4" s="1"/>
  <c r="X92" i="4"/>
  <c r="X92" i="4" a="1"/>
  <c r="V92" i="4" a="1"/>
  <c r="V92" i="4" s="1"/>
  <c r="T92" i="4" a="1"/>
  <c r="T92" i="4" s="1"/>
  <c r="Z91" i="4" a="1"/>
  <c r="Z91" i="4" s="1"/>
  <c r="X91" i="4" a="1"/>
  <c r="X91" i="4" s="1"/>
  <c r="V91" i="4" a="1"/>
  <c r="V91" i="4" s="1"/>
  <c r="T91" i="4" a="1"/>
  <c r="T91" i="4" s="1"/>
  <c r="Z90" i="4" a="1"/>
  <c r="Z90" i="4" s="1"/>
  <c r="X90" i="4" a="1"/>
  <c r="X90" i="4" s="1"/>
  <c r="V90" i="4"/>
  <c r="V90" i="4" a="1"/>
  <c r="T90" i="4" a="1"/>
  <c r="T90" i="4" s="1"/>
  <c r="Z89" i="4" a="1"/>
  <c r="Z89" i="4" s="1"/>
  <c r="X89" i="4" a="1"/>
  <c r="X89" i="4" s="1"/>
  <c r="V89" i="4" a="1"/>
  <c r="V89" i="4" s="1"/>
  <c r="T89" i="4" a="1"/>
  <c r="T89" i="4" s="1"/>
  <c r="Z88" i="4" a="1"/>
  <c r="Z88" i="4" s="1"/>
  <c r="X88" i="4" a="1"/>
  <c r="X88" i="4" s="1"/>
  <c r="V88" i="4" a="1"/>
  <c r="V88" i="4" s="1"/>
  <c r="T88" i="4" a="1"/>
  <c r="T88" i="4" s="1"/>
  <c r="Z87" i="4" a="1"/>
  <c r="Z87" i="4" s="1"/>
  <c r="X87" i="4" a="1"/>
  <c r="X87" i="4" s="1"/>
  <c r="V87" i="4" a="1"/>
  <c r="V87" i="4" s="1"/>
  <c r="T87" i="4" a="1"/>
  <c r="T87" i="4" s="1"/>
  <c r="Z86" i="4" a="1"/>
  <c r="Z86" i="4" s="1"/>
  <c r="X86" i="4" a="1"/>
  <c r="X86" i="4" s="1"/>
  <c r="V86" i="4" a="1"/>
  <c r="V86" i="4" s="1"/>
  <c r="T86" i="4" a="1"/>
  <c r="T86" i="4" s="1"/>
  <c r="Z85" i="4" a="1"/>
  <c r="Z85" i="4" s="1"/>
  <c r="X85" i="4" a="1"/>
  <c r="X85" i="4" s="1"/>
  <c r="V85" i="4" a="1"/>
  <c r="V85" i="4" s="1"/>
  <c r="T85" i="4" a="1"/>
  <c r="T85" i="4" s="1"/>
  <c r="Z84" i="4" a="1"/>
  <c r="Z84" i="4" s="1"/>
  <c r="X84" i="4" a="1"/>
  <c r="X84" i="4" s="1"/>
  <c r="V84" i="4" a="1"/>
  <c r="V84" i="4" s="1"/>
  <c r="T84" i="4" a="1"/>
  <c r="T84" i="4" s="1"/>
  <c r="Z83" i="4" a="1"/>
  <c r="Z83" i="4" s="1"/>
  <c r="X83" i="4" a="1"/>
  <c r="X83" i="4" s="1"/>
  <c r="V83" i="4" a="1"/>
  <c r="V83" i="4" s="1"/>
  <c r="T83" i="4" a="1"/>
  <c r="T83" i="4" s="1"/>
  <c r="Z82" i="4" a="1"/>
  <c r="Z82" i="4" s="1"/>
  <c r="X82" i="4" a="1"/>
  <c r="X82" i="4" s="1"/>
  <c r="V82" i="4" a="1"/>
  <c r="V82" i="4" s="1"/>
  <c r="T82" i="4" a="1"/>
  <c r="T82" i="4" s="1"/>
  <c r="Z81" i="4" a="1"/>
  <c r="Z81" i="4" s="1"/>
  <c r="X81" i="4" a="1"/>
  <c r="X81" i="4" s="1"/>
  <c r="V81" i="4" a="1"/>
  <c r="V81" i="4" s="1"/>
  <c r="T81" i="4" a="1"/>
  <c r="T81" i="4" s="1"/>
  <c r="Z80" i="4" a="1"/>
  <c r="Z80" i="4" s="1"/>
  <c r="X80" i="4" a="1"/>
  <c r="X80" i="4" s="1"/>
  <c r="V80" i="4" a="1"/>
  <c r="V80" i="4" s="1"/>
  <c r="T80" i="4" a="1"/>
  <c r="T80" i="4" s="1"/>
  <c r="Z79" i="4" a="1"/>
  <c r="Z79" i="4" s="1"/>
  <c r="X79" i="4" a="1"/>
  <c r="X79" i="4" s="1"/>
  <c r="V79" i="4" a="1"/>
  <c r="V79" i="4" s="1"/>
  <c r="T79" i="4" a="1"/>
  <c r="T79" i="4" s="1"/>
  <c r="Z78" i="4" a="1"/>
  <c r="Z78" i="4" s="1"/>
  <c r="X78" i="4" a="1"/>
  <c r="X78" i="4" s="1"/>
  <c r="V78" i="4" a="1"/>
  <c r="V78" i="4" s="1"/>
  <c r="T78" i="4" a="1"/>
  <c r="T78" i="4" s="1"/>
  <c r="Z77" i="4" a="1"/>
  <c r="Z77" i="4" s="1"/>
  <c r="X77" i="4" a="1"/>
  <c r="X77" i="4" s="1"/>
  <c r="V77" i="4" a="1"/>
  <c r="V77" i="4" s="1"/>
  <c r="T77" i="4" a="1"/>
  <c r="T77" i="4" s="1"/>
  <c r="Z76" i="4" a="1"/>
  <c r="Z76" i="4" s="1"/>
  <c r="X76" i="4" a="1"/>
  <c r="X76" i="4" s="1"/>
  <c r="V76" i="4" a="1"/>
  <c r="V76" i="4" s="1"/>
  <c r="T76" i="4" a="1"/>
  <c r="T76" i="4" s="1"/>
  <c r="Z75" i="4" a="1"/>
  <c r="Z75" i="4" s="1"/>
  <c r="X75" i="4" a="1"/>
  <c r="X75" i="4" s="1"/>
  <c r="V75" i="4" a="1"/>
  <c r="V75" i="4" s="1"/>
  <c r="T75" i="4" a="1"/>
  <c r="T75" i="4" s="1"/>
  <c r="Z74" i="4" a="1"/>
  <c r="Z74" i="4" s="1"/>
  <c r="X74" i="4" a="1"/>
  <c r="X74" i="4" s="1"/>
  <c r="V74" i="4"/>
  <c r="V74" i="4" a="1"/>
  <c r="T74" i="4" a="1"/>
  <c r="T74" i="4" s="1"/>
  <c r="Z73" i="4" a="1"/>
  <c r="Z73" i="4" s="1"/>
  <c r="X73" i="4" a="1"/>
  <c r="X73" i="4" s="1"/>
  <c r="V73" i="4" a="1"/>
  <c r="V73" i="4" s="1"/>
  <c r="T73" i="4" a="1"/>
  <c r="T73" i="4" s="1"/>
  <c r="Z72" i="4" a="1"/>
  <c r="Z72" i="4" s="1"/>
  <c r="X72" i="4" a="1"/>
  <c r="X72" i="4" s="1"/>
  <c r="V72" i="4" a="1"/>
  <c r="V72" i="4" s="1"/>
  <c r="T72" i="4" a="1"/>
  <c r="T72" i="4" s="1"/>
  <c r="Z71" i="4" a="1"/>
  <c r="Z71" i="4" s="1"/>
  <c r="X71" i="4" a="1"/>
  <c r="X71" i="4" s="1"/>
  <c r="V71" i="4" a="1"/>
  <c r="V71" i="4" s="1"/>
  <c r="T71" i="4" a="1"/>
  <c r="T71" i="4" s="1"/>
  <c r="Z70" i="4" a="1"/>
  <c r="Z70" i="4" s="1"/>
  <c r="X70" i="4" a="1"/>
  <c r="X70" i="4" s="1"/>
  <c r="V70" i="4" a="1"/>
  <c r="V70" i="4" s="1"/>
  <c r="T70" i="4" a="1"/>
  <c r="T70" i="4" s="1"/>
  <c r="Z69" i="4" a="1"/>
  <c r="Z69" i="4" s="1"/>
  <c r="X69" i="4" a="1"/>
  <c r="X69" i="4" s="1"/>
  <c r="V69" i="4" a="1"/>
  <c r="V69" i="4" s="1"/>
  <c r="T69" i="4" a="1"/>
  <c r="T69" i="4" s="1"/>
  <c r="Z68" i="4" a="1"/>
  <c r="Z68" i="4" s="1"/>
  <c r="X68" i="4" a="1"/>
  <c r="X68" i="4" s="1"/>
  <c r="V68" i="4" a="1"/>
  <c r="V68" i="4" s="1"/>
  <c r="T68" i="4" a="1"/>
  <c r="T68" i="4" s="1"/>
  <c r="Z67" i="4" a="1"/>
  <c r="Z67" i="4" s="1"/>
  <c r="X67" i="4" a="1"/>
  <c r="X67" i="4" s="1"/>
  <c r="V67" i="4" a="1"/>
  <c r="V67" i="4" s="1"/>
  <c r="T67" i="4" a="1"/>
  <c r="T67" i="4" s="1"/>
  <c r="Z66" i="4" a="1"/>
  <c r="Z66" i="4" s="1"/>
  <c r="X66" i="4" a="1"/>
  <c r="X66" i="4" s="1"/>
  <c r="V66" i="4" a="1"/>
  <c r="V66" i="4" s="1"/>
  <c r="T66" i="4" a="1"/>
  <c r="T66" i="4" s="1"/>
  <c r="Z65" i="4" a="1"/>
  <c r="Z65" i="4" s="1"/>
  <c r="X65" i="4" a="1"/>
  <c r="X65" i="4" s="1"/>
  <c r="V65" i="4" a="1"/>
  <c r="V65" i="4" s="1"/>
  <c r="T65" i="4" a="1"/>
  <c r="T65" i="4" s="1"/>
  <c r="Z64" i="4" a="1"/>
  <c r="Z64" i="4" s="1"/>
  <c r="X64" i="4" a="1"/>
  <c r="X64" i="4" s="1"/>
  <c r="V64" i="4" a="1"/>
  <c r="V64" i="4" s="1"/>
  <c r="T64" i="4" a="1"/>
  <c r="T64" i="4" s="1"/>
  <c r="Z63" i="4" a="1"/>
  <c r="Z63" i="4" s="1"/>
  <c r="X63" i="4" a="1"/>
  <c r="X63" i="4" s="1"/>
  <c r="V63" i="4" a="1"/>
  <c r="V63" i="4" s="1"/>
  <c r="T63" i="4" a="1"/>
  <c r="T63" i="4" s="1"/>
  <c r="Z62" i="4" a="1"/>
  <c r="Z62" i="4" s="1"/>
  <c r="X62" i="4" a="1"/>
  <c r="X62" i="4" s="1"/>
  <c r="V62" i="4" a="1"/>
  <c r="V62" i="4" s="1"/>
  <c r="T62" i="4" a="1"/>
  <c r="T62" i="4" s="1"/>
  <c r="Z61" i="4" a="1"/>
  <c r="Z61" i="4" s="1"/>
  <c r="X61" i="4" a="1"/>
  <c r="X61" i="4" s="1"/>
  <c r="V61" i="4" a="1"/>
  <c r="V61" i="4" s="1"/>
  <c r="T61" i="4" a="1"/>
  <c r="T61" i="4" s="1"/>
  <c r="Z60" i="4" a="1"/>
  <c r="Z60" i="4" s="1"/>
  <c r="X60" i="4" a="1"/>
  <c r="X60" i="4" s="1"/>
  <c r="V60" i="4" a="1"/>
  <c r="V60" i="4" s="1"/>
  <c r="T60" i="4" a="1"/>
  <c r="T60" i="4" s="1"/>
  <c r="Z59" i="4" a="1"/>
  <c r="Z59" i="4" s="1"/>
  <c r="X59" i="4" a="1"/>
  <c r="X59" i="4" s="1"/>
  <c r="V59" i="4" a="1"/>
  <c r="V59" i="4" s="1"/>
  <c r="T59" i="4" a="1"/>
  <c r="T59" i="4" s="1"/>
  <c r="Z58" i="4" a="1"/>
  <c r="Z58" i="4" s="1"/>
  <c r="X58" i="4" a="1"/>
  <c r="X58" i="4" s="1"/>
  <c r="V58" i="4" a="1"/>
  <c r="V58" i="4" s="1"/>
  <c r="T58" i="4" a="1"/>
  <c r="T58" i="4" s="1"/>
  <c r="Z57" i="4" a="1"/>
  <c r="Z57" i="4" s="1"/>
  <c r="X57" i="4" a="1"/>
  <c r="X57" i="4" s="1"/>
  <c r="V57" i="4" a="1"/>
  <c r="V57" i="4" s="1"/>
  <c r="T57" i="4" a="1"/>
  <c r="T57" i="4" s="1"/>
  <c r="Z56" i="4" a="1"/>
  <c r="Z56" i="4" s="1"/>
  <c r="X56" i="4" a="1"/>
  <c r="X56" i="4" s="1"/>
  <c r="V56" i="4" a="1"/>
  <c r="V56" i="4" s="1"/>
  <c r="T56" i="4" a="1"/>
  <c r="T56" i="4" s="1"/>
  <c r="Z55" i="4" a="1"/>
  <c r="Z55" i="4" s="1"/>
  <c r="X55" i="4" a="1"/>
  <c r="X55" i="4" s="1"/>
  <c r="V55" i="4" a="1"/>
  <c r="V55" i="4" s="1"/>
  <c r="T55" i="4" a="1"/>
  <c r="T55" i="4" s="1"/>
  <c r="Z54" i="4" a="1"/>
  <c r="Z54" i="4" s="1"/>
  <c r="X54" i="4" a="1"/>
  <c r="X54" i="4" s="1"/>
  <c r="V54" i="4" a="1"/>
  <c r="V54" i="4" s="1"/>
  <c r="T54" i="4"/>
  <c r="T54" i="4" a="1"/>
  <c r="Z53" i="4" a="1"/>
  <c r="Z53" i="4" s="1"/>
  <c r="X53" i="4" a="1"/>
  <c r="X53" i="4" s="1"/>
  <c r="V53" i="4" a="1"/>
  <c r="V53" i="4" s="1"/>
  <c r="T53" i="4" a="1"/>
  <c r="T53" i="4" s="1"/>
  <c r="Z52" i="4" a="1"/>
  <c r="Z52" i="4" s="1"/>
  <c r="X52" i="4" a="1"/>
  <c r="X52" i="4" s="1"/>
  <c r="V52" i="4" a="1"/>
  <c r="V52" i="4" s="1"/>
  <c r="T52" i="4" a="1"/>
  <c r="T52" i="4" s="1"/>
  <c r="Z51" i="4" a="1"/>
  <c r="Z51" i="4" s="1"/>
  <c r="X51" i="4" a="1"/>
  <c r="X51" i="4" s="1"/>
  <c r="V51" i="4" a="1"/>
  <c r="V51" i="4" s="1"/>
  <c r="T51" i="4" a="1"/>
  <c r="T51" i="4" s="1"/>
  <c r="Z50" i="4" a="1"/>
  <c r="Z50" i="4" s="1"/>
  <c r="X50" i="4" a="1"/>
  <c r="X50" i="4" s="1"/>
  <c r="V50" i="4" a="1"/>
  <c r="V50" i="4" s="1"/>
  <c r="T50" i="4" a="1"/>
  <c r="T50" i="4" s="1"/>
  <c r="Z49" i="4" a="1"/>
  <c r="Z49" i="4" s="1"/>
  <c r="X49" i="4" a="1"/>
  <c r="X49" i="4" s="1"/>
  <c r="V49" i="4" a="1"/>
  <c r="V49" i="4" s="1"/>
  <c r="T49" i="4" a="1"/>
  <c r="T49" i="4" s="1"/>
  <c r="Z48" i="4" a="1"/>
  <c r="Z48" i="4" s="1"/>
  <c r="X48" i="4" a="1"/>
  <c r="X48" i="4" s="1"/>
  <c r="V48" i="4" a="1"/>
  <c r="V48" i="4" s="1"/>
  <c r="T48" i="4" a="1"/>
  <c r="T48" i="4" s="1"/>
  <c r="Z47" i="4" a="1"/>
  <c r="Z47" i="4" s="1"/>
  <c r="X47" i="4" a="1"/>
  <c r="X47" i="4" s="1"/>
  <c r="V47" i="4" a="1"/>
  <c r="V47" i="4" s="1"/>
  <c r="T47" i="4" a="1"/>
  <c r="T47" i="4" s="1"/>
  <c r="Z46" i="4" a="1"/>
  <c r="Z46" i="4" s="1"/>
  <c r="X46" i="4" a="1"/>
  <c r="X46" i="4" s="1"/>
  <c r="V46" i="4" a="1"/>
  <c r="V46" i="4" s="1"/>
  <c r="T46" i="4" a="1"/>
  <c r="T46" i="4" s="1"/>
  <c r="Z45" i="4" a="1"/>
  <c r="Z45" i="4" s="1"/>
  <c r="X45" i="4" a="1"/>
  <c r="X45" i="4" s="1"/>
  <c r="V45" i="4" a="1"/>
  <c r="V45" i="4" s="1"/>
  <c r="T45" i="4" a="1"/>
  <c r="T45" i="4" s="1"/>
  <c r="Z44" i="4" a="1"/>
  <c r="Z44" i="4" s="1"/>
  <c r="X44" i="4" a="1"/>
  <c r="X44" i="4" s="1"/>
  <c r="V44" i="4" a="1"/>
  <c r="V44" i="4" s="1"/>
  <c r="T44" i="4"/>
  <c r="T44" i="4" a="1"/>
  <c r="Z43" i="4" a="1"/>
  <c r="Z43" i="4" s="1"/>
  <c r="X43" i="4" a="1"/>
  <c r="X43" i="4" s="1"/>
  <c r="V43" i="4" a="1"/>
  <c r="V43" i="4" s="1"/>
  <c r="T43" i="4" a="1"/>
  <c r="T43" i="4" s="1"/>
  <c r="Z42" i="4" a="1"/>
  <c r="Z42" i="4" s="1"/>
  <c r="X42" i="4" a="1"/>
  <c r="X42" i="4" s="1"/>
  <c r="V42" i="4" a="1"/>
  <c r="V42" i="4" s="1"/>
  <c r="T42" i="4" a="1"/>
  <c r="T42" i="4" s="1"/>
  <c r="Z41" i="4" a="1"/>
  <c r="Z41" i="4" s="1"/>
  <c r="X41" i="4" a="1"/>
  <c r="X41" i="4" s="1"/>
  <c r="V41" i="4" a="1"/>
  <c r="V41" i="4" s="1"/>
  <c r="T41" i="4" a="1"/>
  <c r="T41" i="4" s="1"/>
  <c r="Z40" i="4" a="1"/>
  <c r="Z40" i="4" s="1"/>
  <c r="X40" i="4" a="1"/>
  <c r="X40" i="4" s="1"/>
  <c r="V40" i="4" a="1"/>
  <c r="V40" i="4" s="1"/>
  <c r="T40" i="4" a="1"/>
  <c r="T40" i="4" s="1"/>
  <c r="Z39" i="4" a="1"/>
  <c r="Z39" i="4" s="1"/>
  <c r="X39" i="4" a="1"/>
  <c r="X39" i="4" s="1"/>
  <c r="V39" i="4" a="1"/>
  <c r="V39" i="4" s="1"/>
  <c r="T39" i="4" a="1"/>
  <c r="T39" i="4" s="1"/>
  <c r="Z38" i="4" a="1"/>
  <c r="Z38" i="4" s="1"/>
  <c r="X38" i="4" a="1"/>
  <c r="X38" i="4" s="1"/>
  <c r="V38" i="4" a="1"/>
  <c r="V38" i="4" s="1"/>
  <c r="T38" i="4" a="1"/>
  <c r="T38" i="4" s="1"/>
  <c r="Z37" i="4" a="1"/>
  <c r="Z37" i="4" s="1"/>
  <c r="X37" i="4" a="1"/>
  <c r="X37" i="4" s="1"/>
  <c r="V37" i="4" a="1"/>
  <c r="V37" i="4" s="1"/>
  <c r="T37" i="4" a="1"/>
  <c r="T37" i="4" s="1"/>
  <c r="X36" i="4" a="1"/>
  <c r="X36" i="4" s="1"/>
  <c r="X35" i="4" a="1"/>
  <c r="X35" i="4" s="1"/>
  <c r="X34" i="4" a="1"/>
  <c r="X34" i="4" s="1"/>
  <c r="X33" i="4" a="1"/>
  <c r="X33" i="4" s="1"/>
  <c r="X32" i="4" a="1"/>
  <c r="X32" i="4" s="1"/>
  <c r="V36" i="4" a="1"/>
  <c r="V36" i="4" s="1"/>
  <c r="V35" i="4" a="1"/>
  <c r="V35" i="4" s="1"/>
  <c r="V34" i="4" a="1"/>
  <c r="V34" i="4" s="1"/>
  <c r="V33" i="4" a="1"/>
  <c r="V33" i="4" s="1"/>
  <c r="V32" i="4" a="1"/>
  <c r="V32" i="4" s="1"/>
  <c r="V31" i="4" a="1"/>
  <c r="V31" i="4" s="1"/>
  <c r="V30" i="4" a="1"/>
  <c r="V30" i="4" s="1"/>
  <c r="V29" i="4" a="1"/>
  <c r="V29" i="4" s="1"/>
  <c r="V28" i="4" a="1"/>
  <c r="V28" i="4" s="1"/>
  <c r="V27" i="4" a="1"/>
  <c r="V27" i="4" s="1"/>
  <c r="T36" i="4" a="1"/>
  <c r="T36" i="4" s="1"/>
  <c r="T35" i="4" a="1"/>
  <c r="T35" i="4" s="1"/>
  <c r="T34" i="4" a="1"/>
  <c r="T34" i="4" s="1"/>
  <c r="T33" i="4" a="1"/>
  <c r="T33" i="4" s="1"/>
  <c r="T32" i="4" a="1"/>
  <c r="T32" i="4" s="1"/>
  <c r="T31" i="4" a="1"/>
  <c r="T31" i="4" s="1"/>
  <c r="T30" i="4" a="1"/>
  <c r="T30" i="4" s="1"/>
  <c r="T29" i="4" a="1"/>
  <c r="T29" i="4" s="1"/>
  <c r="T28" i="4" a="1"/>
  <c r="T28" i="4" s="1"/>
  <c r="T27" i="4" a="1"/>
  <c r="T27" i="4" s="1"/>
  <c r="T26" i="4" a="1"/>
  <c r="T26" i="4" s="1"/>
  <c r="T25" i="4" a="1"/>
  <c r="T25" i="4" s="1"/>
  <c r="T24" i="4" a="1"/>
  <c r="T24" i="4" s="1"/>
  <c r="T23" i="4" a="1"/>
  <c r="T23" i="4" s="1"/>
  <c r="T22" i="4" a="1"/>
  <c r="T22" i="4" s="1"/>
  <c r="P601" i="4" a="1"/>
  <c r="P601" i="4" s="1"/>
  <c r="P600" i="4" a="1"/>
  <c r="P600" i="4" s="1"/>
  <c r="P599" i="4" a="1"/>
  <c r="P599" i="4" s="1"/>
  <c r="P598" i="4" a="1"/>
  <c r="P598" i="4" s="1"/>
  <c r="P597" i="4" a="1"/>
  <c r="P597" i="4" s="1"/>
  <c r="P596" i="4" a="1"/>
  <c r="P596" i="4" s="1"/>
  <c r="P595" i="4" a="1"/>
  <c r="P595" i="4" s="1"/>
  <c r="P594" i="4" a="1"/>
  <c r="P594" i="4" s="1"/>
  <c r="P593" i="4" a="1"/>
  <c r="P593" i="4" s="1"/>
  <c r="P592" i="4" a="1"/>
  <c r="P592" i="4" s="1"/>
  <c r="P591" i="4" a="1"/>
  <c r="P591" i="4" s="1"/>
  <c r="P590" i="4" a="1"/>
  <c r="P590" i="4" s="1"/>
  <c r="P589" i="4" a="1"/>
  <c r="P589" i="4" s="1"/>
  <c r="P588" i="4" a="1"/>
  <c r="P588" i="4" s="1"/>
  <c r="P587" i="4" a="1"/>
  <c r="P587" i="4" s="1"/>
  <c r="P586" i="4" a="1"/>
  <c r="P586" i="4" s="1"/>
  <c r="P585" i="4" a="1"/>
  <c r="P585" i="4" s="1"/>
  <c r="P584" i="4" a="1"/>
  <c r="P584" i="4" s="1"/>
  <c r="P583" i="4" a="1"/>
  <c r="P583" i="4" s="1"/>
  <c r="P582" i="4" a="1"/>
  <c r="P582" i="4" s="1"/>
  <c r="P581" i="4" a="1"/>
  <c r="P581" i="4" s="1"/>
  <c r="P580" i="4" a="1"/>
  <c r="P580" i="4" s="1"/>
  <c r="P579" i="4" a="1"/>
  <c r="P579" i="4" s="1"/>
  <c r="P578" i="4" a="1"/>
  <c r="P578" i="4" s="1"/>
  <c r="P577" i="4" a="1"/>
  <c r="P577" i="4" s="1"/>
  <c r="P576" i="4" a="1"/>
  <c r="P576" i="4" s="1"/>
  <c r="P575" i="4" a="1"/>
  <c r="P575" i="4" s="1"/>
  <c r="P574" i="4" a="1"/>
  <c r="P574" i="4" s="1"/>
  <c r="P573" i="4" a="1"/>
  <c r="P573" i="4" s="1"/>
  <c r="P572" i="4" a="1"/>
  <c r="P572" i="4" s="1"/>
  <c r="P571" i="4" a="1"/>
  <c r="P571" i="4" s="1"/>
  <c r="P570" i="4" a="1"/>
  <c r="P570" i="4" s="1"/>
  <c r="P569" i="4" a="1"/>
  <c r="P569" i="4" s="1"/>
  <c r="P568" i="4" a="1"/>
  <c r="P568" i="4" s="1"/>
  <c r="P567" i="4" a="1"/>
  <c r="P567" i="4" s="1"/>
  <c r="P566" i="4" a="1"/>
  <c r="P566" i="4" s="1"/>
  <c r="P565" i="4" a="1"/>
  <c r="P565" i="4" s="1"/>
  <c r="P564" i="4" a="1"/>
  <c r="P564" i="4" s="1"/>
  <c r="P563" i="4" a="1"/>
  <c r="P563" i="4" s="1"/>
  <c r="P562" i="4" a="1"/>
  <c r="P562" i="4" s="1"/>
  <c r="P561" i="4" a="1"/>
  <c r="P561" i="4" s="1"/>
  <c r="P560" i="4" a="1"/>
  <c r="P560" i="4" s="1"/>
  <c r="P559" i="4" a="1"/>
  <c r="P559" i="4" s="1"/>
  <c r="P558" i="4" a="1"/>
  <c r="P558" i="4" s="1"/>
  <c r="P557" i="4" a="1"/>
  <c r="P557" i="4" s="1"/>
  <c r="P556" i="4" a="1"/>
  <c r="P556" i="4" s="1"/>
  <c r="P555" i="4" a="1"/>
  <c r="P555" i="4" s="1"/>
  <c r="P554" i="4" a="1"/>
  <c r="P554" i="4" s="1"/>
  <c r="P553" i="4" a="1"/>
  <c r="P553" i="4" s="1"/>
  <c r="P552" i="4" a="1"/>
  <c r="P552" i="4" s="1"/>
  <c r="P551" i="4" a="1"/>
  <c r="P551" i="4" s="1"/>
  <c r="P550" i="4" a="1"/>
  <c r="P550" i="4" s="1"/>
  <c r="P549" i="4" a="1"/>
  <c r="P549" i="4" s="1"/>
  <c r="P548" i="4" a="1"/>
  <c r="P548" i="4" s="1"/>
  <c r="P547" i="4" a="1"/>
  <c r="P547" i="4" s="1"/>
  <c r="P546" i="4" a="1"/>
  <c r="P546" i="4" s="1"/>
  <c r="P545" i="4" a="1"/>
  <c r="P545" i="4" s="1"/>
  <c r="P544" i="4" a="1"/>
  <c r="P544" i="4" s="1"/>
  <c r="P543" i="4" a="1"/>
  <c r="P543" i="4" s="1"/>
  <c r="P542" i="4" a="1"/>
  <c r="P542" i="4" s="1"/>
  <c r="P541" i="4" a="1"/>
  <c r="P541" i="4" s="1"/>
  <c r="P540" i="4" a="1"/>
  <c r="P540" i="4" s="1"/>
  <c r="P539" i="4" a="1"/>
  <c r="P539" i="4" s="1"/>
  <c r="P538" i="4" a="1"/>
  <c r="P538" i="4" s="1"/>
  <c r="P537" i="4" a="1"/>
  <c r="P537" i="4" s="1"/>
  <c r="P536" i="4" a="1"/>
  <c r="P536" i="4" s="1"/>
  <c r="P535" i="4" a="1"/>
  <c r="P535" i="4" s="1"/>
  <c r="P534" i="4" a="1"/>
  <c r="P534" i="4" s="1"/>
  <c r="P533" i="4" a="1"/>
  <c r="P533" i="4" s="1"/>
  <c r="P532" i="4" a="1"/>
  <c r="P532" i="4" s="1"/>
  <c r="P531" i="4" a="1"/>
  <c r="P531" i="4" s="1"/>
  <c r="P530" i="4" a="1"/>
  <c r="P530" i="4" s="1"/>
  <c r="P529" i="4" a="1"/>
  <c r="P529" i="4" s="1"/>
  <c r="P528" i="4" a="1"/>
  <c r="P528" i="4" s="1"/>
  <c r="P527" i="4" a="1"/>
  <c r="P527" i="4" s="1"/>
  <c r="P526" i="4" a="1"/>
  <c r="P526" i="4" s="1"/>
  <c r="P525" i="4" a="1"/>
  <c r="P525" i="4" s="1"/>
  <c r="P524" i="4" a="1"/>
  <c r="P524" i="4" s="1"/>
  <c r="P523" i="4" a="1"/>
  <c r="P523" i="4" s="1"/>
  <c r="P522" i="4" a="1"/>
  <c r="P522" i="4" s="1"/>
  <c r="P521" i="4" a="1"/>
  <c r="P521" i="4" s="1"/>
  <c r="P520" i="4" a="1"/>
  <c r="P520" i="4" s="1"/>
  <c r="P519" i="4" a="1"/>
  <c r="P519" i="4" s="1"/>
  <c r="P518" i="4" a="1"/>
  <c r="P518" i="4" s="1"/>
  <c r="P517" i="4" a="1"/>
  <c r="P517" i="4" s="1"/>
  <c r="P516" i="4" a="1"/>
  <c r="P516" i="4" s="1"/>
  <c r="P515" i="4" a="1"/>
  <c r="P515" i="4" s="1"/>
  <c r="P514" i="4" a="1"/>
  <c r="P514" i="4" s="1"/>
  <c r="P513" i="4" a="1"/>
  <c r="P513" i="4" s="1"/>
  <c r="P512" i="4" a="1"/>
  <c r="P512" i="4" s="1"/>
  <c r="P511" i="4" a="1"/>
  <c r="P511" i="4" s="1"/>
  <c r="P510" i="4" a="1"/>
  <c r="P510" i="4" s="1"/>
  <c r="P509" i="4" a="1"/>
  <c r="P509" i="4" s="1"/>
  <c r="P508" i="4" a="1"/>
  <c r="P508" i="4" s="1"/>
  <c r="P507" i="4" a="1"/>
  <c r="P507" i="4" s="1"/>
  <c r="P506" i="4" a="1"/>
  <c r="P506" i="4" s="1"/>
  <c r="P505" i="4" a="1"/>
  <c r="P505" i="4" s="1"/>
  <c r="P504" i="4" a="1"/>
  <c r="P504" i="4" s="1"/>
  <c r="P503" i="4" a="1"/>
  <c r="P503" i="4" s="1"/>
  <c r="P502" i="4" a="1"/>
  <c r="P502" i="4" s="1"/>
  <c r="P501" i="4" a="1"/>
  <c r="P501" i="4" s="1"/>
  <c r="P500" i="4" a="1"/>
  <c r="P500" i="4" s="1"/>
  <c r="P499" i="4" a="1"/>
  <c r="P499" i="4" s="1"/>
  <c r="P498" i="4" a="1"/>
  <c r="P498" i="4" s="1"/>
  <c r="P497" i="4" a="1"/>
  <c r="P497" i="4" s="1"/>
  <c r="P496" i="4" a="1"/>
  <c r="P496" i="4" s="1"/>
  <c r="P495" i="4" a="1"/>
  <c r="P495" i="4" s="1"/>
  <c r="P494" i="4" a="1"/>
  <c r="P494" i="4" s="1"/>
  <c r="P493" i="4" a="1"/>
  <c r="P493" i="4" s="1"/>
  <c r="P492" i="4" a="1"/>
  <c r="P492" i="4" s="1"/>
  <c r="P491" i="4" a="1"/>
  <c r="P491" i="4" s="1"/>
  <c r="P490" i="4" a="1"/>
  <c r="P490" i="4" s="1"/>
  <c r="P489" i="4" a="1"/>
  <c r="P489" i="4" s="1"/>
  <c r="P488" i="4" a="1"/>
  <c r="P488" i="4" s="1"/>
  <c r="P487" i="4" a="1"/>
  <c r="P487" i="4" s="1"/>
  <c r="P486" i="4" a="1"/>
  <c r="P486" i="4" s="1"/>
  <c r="P485" i="4" a="1"/>
  <c r="P485" i="4" s="1"/>
  <c r="P484" i="4" a="1"/>
  <c r="P484" i="4" s="1"/>
  <c r="P483" i="4" a="1"/>
  <c r="P483" i="4" s="1"/>
  <c r="P482" i="4" a="1"/>
  <c r="P482" i="4" s="1"/>
  <c r="P481" i="4" a="1"/>
  <c r="P481" i="4" s="1"/>
  <c r="P480" i="4" a="1"/>
  <c r="P480" i="4" s="1"/>
  <c r="P479" i="4" a="1"/>
  <c r="P479" i="4" s="1"/>
  <c r="P478" i="4" a="1"/>
  <c r="P478" i="4" s="1"/>
  <c r="P477" i="4" a="1"/>
  <c r="P477" i="4" s="1"/>
  <c r="P476" i="4" a="1"/>
  <c r="P476" i="4" s="1"/>
  <c r="P475" i="4" a="1"/>
  <c r="P475" i="4" s="1"/>
  <c r="P474" i="4" a="1"/>
  <c r="P474" i="4" s="1"/>
  <c r="P473" i="4" a="1"/>
  <c r="P473" i="4" s="1"/>
  <c r="P472" i="4" a="1"/>
  <c r="P472" i="4" s="1"/>
  <c r="P471" i="4" a="1"/>
  <c r="P471" i="4" s="1"/>
  <c r="P470" i="4" a="1"/>
  <c r="P470" i="4" s="1"/>
  <c r="P469" i="4" a="1"/>
  <c r="P469" i="4" s="1"/>
  <c r="P468" i="4" a="1"/>
  <c r="P468" i="4" s="1"/>
  <c r="P467" i="4" a="1"/>
  <c r="P467" i="4" s="1"/>
  <c r="P466" i="4" a="1"/>
  <c r="P466" i="4" s="1"/>
  <c r="P465" i="4" a="1"/>
  <c r="P465" i="4" s="1"/>
  <c r="P464" i="4" a="1"/>
  <c r="P464" i="4" s="1"/>
  <c r="P463" i="4" a="1"/>
  <c r="P463" i="4" s="1"/>
  <c r="P462" i="4" a="1"/>
  <c r="P462" i="4" s="1"/>
  <c r="P461" i="4" a="1"/>
  <c r="P461" i="4" s="1"/>
  <c r="P460" i="4" a="1"/>
  <c r="P460" i="4" s="1"/>
  <c r="P459" i="4" a="1"/>
  <c r="P459" i="4" s="1"/>
  <c r="P458" i="4" a="1"/>
  <c r="P458" i="4" s="1"/>
  <c r="P457" i="4" a="1"/>
  <c r="P457" i="4" s="1"/>
  <c r="P456" i="4" a="1"/>
  <c r="P456" i="4" s="1"/>
  <c r="P455" i="4" a="1"/>
  <c r="P455" i="4" s="1"/>
  <c r="P454" i="4" a="1"/>
  <c r="P454" i="4" s="1"/>
  <c r="P453" i="4" a="1"/>
  <c r="P453" i="4" s="1"/>
  <c r="P452" i="4" a="1"/>
  <c r="P452" i="4" s="1"/>
  <c r="P451" i="4" a="1"/>
  <c r="P451" i="4" s="1"/>
  <c r="P450" i="4" a="1"/>
  <c r="P450" i="4" s="1"/>
  <c r="P449" i="4" a="1"/>
  <c r="P449" i="4" s="1"/>
  <c r="P448" i="4" a="1"/>
  <c r="P448" i="4" s="1"/>
  <c r="P447" i="4" a="1"/>
  <c r="P447" i="4" s="1"/>
  <c r="P446" i="4" a="1"/>
  <c r="P446" i="4" s="1"/>
  <c r="P445" i="4" a="1"/>
  <c r="P445" i="4" s="1"/>
  <c r="P444" i="4" a="1"/>
  <c r="P444" i="4" s="1"/>
  <c r="P443" i="4" a="1"/>
  <c r="P443" i="4" s="1"/>
  <c r="P442" i="4" a="1"/>
  <c r="P442" i="4" s="1"/>
  <c r="P441" i="4" a="1"/>
  <c r="P441" i="4" s="1"/>
  <c r="P440" i="4" a="1"/>
  <c r="P440" i="4" s="1"/>
  <c r="P439" i="4" a="1"/>
  <c r="P439" i="4" s="1"/>
  <c r="P438" i="4" a="1"/>
  <c r="P438" i="4" s="1"/>
  <c r="P437" i="4" a="1"/>
  <c r="P437" i="4" s="1"/>
  <c r="P436" i="4" a="1"/>
  <c r="P436" i="4" s="1"/>
  <c r="P435" i="4" a="1"/>
  <c r="P435" i="4" s="1"/>
  <c r="P434" i="4" a="1"/>
  <c r="P434" i="4" s="1"/>
  <c r="P433" i="4" a="1"/>
  <c r="P433" i="4" s="1"/>
  <c r="P432" i="4" a="1"/>
  <c r="P432" i="4" s="1"/>
  <c r="P431" i="4" a="1"/>
  <c r="P431" i="4" s="1"/>
  <c r="P430" i="4" a="1"/>
  <c r="P430" i="4" s="1"/>
  <c r="P429" i="4" a="1"/>
  <c r="P429" i="4" s="1"/>
  <c r="P428" i="4" a="1"/>
  <c r="P428" i="4" s="1"/>
  <c r="P427" i="4" a="1"/>
  <c r="P427" i="4" s="1"/>
  <c r="P426" i="4" a="1"/>
  <c r="P426" i="4" s="1"/>
  <c r="P425" i="4" a="1"/>
  <c r="P425" i="4" s="1"/>
  <c r="P424" i="4" a="1"/>
  <c r="P424" i="4" s="1"/>
  <c r="P423" i="4" a="1"/>
  <c r="P423" i="4" s="1"/>
  <c r="P422" i="4" a="1"/>
  <c r="P422" i="4" s="1"/>
  <c r="P421" i="4" a="1"/>
  <c r="P421" i="4" s="1"/>
  <c r="P420" i="4" a="1"/>
  <c r="P420" i="4" s="1"/>
  <c r="P419" i="4" a="1"/>
  <c r="P419" i="4" s="1"/>
  <c r="P418" i="4" a="1"/>
  <c r="P418" i="4" s="1"/>
  <c r="P417" i="4" a="1"/>
  <c r="P417" i="4" s="1"/>
  <c r="P416" i="4" a="1"/>
  <c r="P416" i="4" s="1"/>
  <c r="P415" i="4" a="1"/>
  <c r="P415" i="4" s="1"/>
  <c r="P414" i="4" a="1"/>
  <c r="P414" i="4" s="1"/>
  <c r="P413" i="4" a="1"/>
  <c r="P413" i="4" s="1"/>
  <c r="P412" i="4" a="1"/>
  <c r="P412" i="4" s="1"/>
  <c r="P411" i="4" a="1"/>
  <c r="P411" i="4" s="1"/>
  <c r="P410" i="4" a="1"/>
  <c r="P410" i="4" s="1"/>
  <c r="P409" i="4" a="1"/>
  <c r="P409" i="4" s="1"/>
  <c r="P408" i="4" a="1"/>
  <c r="P408" i="4" s="1"/>
  <c r="P407" i="4" a="1"/>
  <c r="P407" i="4" s="1"/>
  <c r="P406" i="4" a="1"/>
  <c r="P406" i="4" s="1"/>
  <c r="P405" i="4" a="1"/>
  <c r="P405" i="4" s="1"/>
  <c r="P404" i="4" a="1"/>
  <c r="P404" i="4" s="1"/>
  <c r="P403" i="4" a="1"/>
  <c r="P403" i="4" s="1"/>
  <c r="P402" i="4" a="1"/>
  <c r="P402" i="4" s="1"/>
  <c r="P401" i="4" a="1"/>
  <c r="P401" i="4" s="1"/>
  <c r="P400" i="4" a="1"/>
  <c r="P400" i="4" s="1"/>
  <c r="P399" i="4" a="1"/>
  <c r="P399" i="4" s="1"/>
  <c r="P398" i="4" a="1"/>
  <c r="P398" i="4" s="1"/>
  <c r="P397" i="4" a="1"/>
  <c r="P397" i="4" s="1"/>
  <c r="P396" i="4" a="1"/>
  <c r="P396" i="4" s="1"/>
  <c r="P395" i="4" a="1"/>
  <c r="P395" i="4" s="1"/>
  <c r="P394" i="4" a="1"/>
  <c r="P394" i="4" s="1"/>
  <c r="P393" i="4" a="1"/>
  <c r="P393" i="4" s="1"/>
  <c r="P392" i="4" a="1"/>
  <c r="P392" i="4" s="1"/>
  <c r="P391" i="4" a="1"/>
  <c r="P391" i="4" s="1"/>
  <c r="P390" i="4" a="1"/>
  <c r="P390" i="4" s="1"/>
  <c r="P389" i="4" a="1"/>
  <c r="P389" i="4" s="1"/>
  <c r="P388" i="4" a="1"/>
  <c r="P388" i="4" s="1"/>
  <c r="P387" i="4" a="1"/>
  <c r="P387" i="4" s="1"/>
  <c r="P386" i="4" a="1"/>
  <c r="P386" i="4" s="1"/>
  <c r="P385" i="4" a="1"/>
  <c r="P385" i="4" s="1"/>
  <c r="P384" i="4" a="1"/>
  <c r="P384" i="4" s="1"/>
  <c r="P383" i="4" a="1"/>
  <c r="P383" i="4" s="1"/>
  <c r="P382" i="4" a="1"/>
  <c r="P382" i="4" s="1"/>
  <c r="P381" i="4" a="1"/>
  <c r="P381" i="4" s="1"/>
  <c r="P380" i="4" a="1"/>
  <c r="P380" i="4" s="1"/>
  <c r="P379" i="4" a="1"/>
  <c r="P379" i="4" s="1"/>
  <c r="P378" i="4" a="1"/>
  <c r="P378" i="4" s="1"/>
  <c r="P377" i="4" a="1"/>
  <c r="P377" i="4" s="1"/>
  <c r="P376" i="4" a="1"/>
  <c r="P376" i="4" s="1"/>
  <c r="P375" i="4" a="1"/>
  <c r="P375" i="4" s="1"/>
  <c r="P374" i="4" a="1"/>
  <c r="P374" i="4" s="1"/>
  <c r="P373" i="4" a="1"/>
  <c r="P373" i="4" s="1"/>
  <c r="P372" i="4" a="1"/>
  <c r="P372" i="4" s="1"/>
  <c r="P371" i="4" a="1"/>
  <c r="P371" i="4" s="1"/>
  <c r="P370" i="4" a="1"/>
  <c r="P370" i="4" s="1"/>
  <c r="P369" i="4" a="1"/>
  <c r="P369" i="4" s="1"/>
  <c r="P368" i="4" a="1"/>
  <c r="P368" i="4" s="1"/>
  <c r="P367" i="4" a="1"/>
  <c r="P367" i="4" s="1"/>
  <c r="P366" i="4" a="1"/>
  <c r="P366" i="4" s="1"/>
  <c r="P365" i="4" a="1"/>
  <c r="P365" i="4" s="1"/>
  <c r="P364" i="4" a="1"/>
  <c r="P364" i="4" s="1"/>
  <c r="P363" i="4" a="1"/>
  <c r="P363" i="4" s="1"/>
  <c r="P362" i="4" a="1"/>
  <c r="P362" i="4" s="1"/>
  <c r="P361" i="4" a="1"/>
  <c r="P361" i="4" s="1"/>
  <c r="P360" i="4" a="1"/>
  <c r="P360" i="4" s="1"/>
  <c r="P359" i="4" a="1"/>
  <c r="P359" i="4" s="1"/>
  <c r="P358" i="4" a="1"/>
  <c r="P358" i="4" s="1"/>
  <c r="P357" i="4" a="1"/>
  <c r="P357" i="4" s="1"/>
  <c r="P356" i="4" a="1"/>
  <c r="P356" i="4" s="1"/>
  <c r="P355" i="4" a="1"/>
  <c r="P355" i="4" s="1"/>
  <c r="P354" i="4" a="1"/>
  <c r="P354" i="4" s="1"/>
  <c r="P353" i="4" a="1"/>
  <c r="P353" i="4" s="1"/>
  <c r="P352" i="4" a="1"/>
  <c r="P352" i="4" s="1"/>
  <c r="P351" i="4" a="1"/>
  <c r="P351" i="4" s="1"/>
  <c r="P350" i="4" a="1"/>
  <c r="P350" i="4" s="1"/>
  <c r="P349" i="4" a="1"/>
  <c r="P349" i="4" s="1"/>
  <c r="P348" i="4" a="1"/>
  <c r="P348" i="4" s="1"/>
  <c r="P347" i="4" a="1"/>
  <c r="P347" i="4" s="1"/>
  <c r="P346" i="4" a="1"/>
  <c r="P346" i="4" s="1"/>
  <c r="P345" i="4" a="1"/>
  <c r="P345" i="4" s="1"/>
  <c r="P344" i="4" a="1"/>
  <c r="P344" i="4" s="1"/>
  <c r="P343" i="4" a="1"/>
  <c r="P343" i="4" s="1"/>
  <c r="P342" i="4" a="1"/>
  <c r="P342" i="4" s="1"/>
  <c r="P341" i="4" a="1"/>
  <c r="P341" i="4" s="1"/>
  <c r="P340" i="4" a="1"/>
  <c r="P340" i="4" s="1"/>
  <c r="P339" i="4" a="1"/>
  <c r="P339" i="4" s="1"/>
  <c r="P338" i="4" a="1"/>
  <c r="P338" i="4" s="1"/>
  <c r="P337" i="4" a="1"/>
  <c r="P337" i="4" s="1"/>
  <c r="P336" i="4" a="1"/>
  <c r="P336" i="4" s="1"/>
  <c r="P335" i="4" a="1"/>
  <c r="P335" i="4" s="1"/>
  <c r="P334" i="4" a="1"/>
  <c r="P334" i="4" s="1"/>
  <c r="P333" i="4" a="1"/>
  <c r="P333" i="4" s="1"/>
  <c r="P332" i="4" a="1"/>
  <c r="P332" i="4" s="1"/>
  <c r="P331" i="4" a="1"/>
  <c r="P331" i="4" s="1"/>
  <c r="P330" i="4" a="1"/>
  <c r="P330" i="4" s="1"/>
  <c r="P329" i="4" a="1"/>
  <c r="P329" i="4" s="1"/>
  <c r="P328" i="4" a="1"/>
  <c r="P328" i="4" s="1"/>
  <c r="P327" i="4" a="1"/>
  <c r="P327" i="4" s="1"/>
  <c r="P326" i="4"/>
  <c r="P326" i="4" a="1"/>
  <c r="P325" i="4" a="1"/>
  <c r="P325" i="4" s="1"/>
  <c r="P324" i="4" a="1"/>
  <c r="P324" i="4" s="1"/>
  <c r="P323" i="4" a="1"/>
  <c r="P323" i="4" s="1"/>
  <c r="P322" i="4" a="1"/>
  <c r="P322" i="4" s="1"/>
  <c r="P321" i="4" a="1"/>
  <c r="P321" i="4" s="1"/>
  <c r="P320" i="4" a="1"/>
  <c r="P320" i="4" s="1"/>
  <c r="P319" i="4" a="1"/>
  <c r="P319" i="4" s="1"/>
  <c r="P318" i="4" a="1"/>
  <c r="P318" i="4" s="1"/>
  <c r="P317" i="4" a="1"/>
  <c r="P317" i="4" s="1"/>
  <c r="P316" i="4" a="1"/>
  <c r="P316" i="4" s="1"/>
  <c r="P315" i="4" a="1"/>
  <c r="P315" i="4" s="1"/>
  <c r="P314" i="4" a="1"/>
  <c r="P314" i="4" s="1"/>
  <c r="P313" i="4" a="1"/>
  <c r="P313" i="4" s="1"/>
  <c r="P312" i="4" a="1"/>
  <c r="P312" i="4" s="1"/>
  <c r="P311" i="4" a="1"/>
  <c r="P311" i="4" s="1"/>
  <c r="P310" i="4" a="1"/>
  <c r="P310" i="4" s="1"/>
  <c r="P309" i="4" a="1"/>
  <c r="P309" i="4" s="1"/>
  <c r="P308" i="4" a="1"/>
  <c r="P308" i="4" s="1"/>
  <c r="P307" i="4" a="1"/>
  <c r="P307" i="4" s="1"/>
  <c r="P306" i="4" a="1"/>
  <c r="P306" i="4" s="1"/>
  <c r="P305" i="4" a="1"/>
  <c r="P305" i="4" s="1"/>
  <c r="P304" i="4" a="1"/>
  <c r="P304" i="4" s="1"/>
  <c r="P303" i="4" a="1"/>
  <c r="P303" i="4" s="1"/>
  <c r="P302" i="4" a="1"/>
  <c r="P302" i="4" s="1"/>
  <c r="P301" i="4" a="1"/>
  <c r="P301" i="4" s="1"/>
  <c r="P300" i="4" a="1"/>
  <c r="P300" i="4" s="1"/>
  <c r="P299" i="4" a="1"/>
  <c r="P299" i="4" s="1"/>
  <c r="P298" i="4" a="1"/>
  <c r="P298" i="4" s="1"/>
  <c r="P297" i="4" a="1"/>
  <c r="P297" i="4" s="1"/>
  <c r="P296" i="4" a="1"/>
  <c r="P296" i="4" s="1"/>
  <c r="P295" i="4" a="1"/>
  <c r="P295" i="4" s="1"/>
  <c r="P294" i="4" a="1"/>
  <c r="P294" i="4" s="1"/>
  <c r="P293" i="4" a="1"/>
  <c r="P293" i="4" s="1"/>
  <c r="P292" i="4" a="1"/>
  <c r="P292" i="4" s="1"/>
  <c r="P291" i="4" a="1"/>
  <c r="P291" i="4" s="1"/>
  <c r="P290" i="4" a="1"/>
  <c r="P290" i="4" s="1"/>
  <c r="P289" i="4" a="1"/>
  <c r="P289" i="4" s="1"/>
  <c r="P288" i="4" a="1"/>
  <c r="P288" i="4" s="1"/>
  <c r="P287" i="4" a="1"/>
  <c r="P287" i="4" s="1"/>
  <c r="P286" i="4" a="1"/>
  <c r="P286" i="4" s="1"/>
  <c r="P285" i="4" a="1"/>
  <c r="P285" i="4" s="1"/>
  <c r="P284" i="4" a="1"/>
  <c r="P284" i="4" s="1"/>
  <c r="P283" i="4" a="1"/>
  <c r="P283" i="4" s="1"/>
  <c r="P282" i="4" a="1"/>
  <c r="P282" i="4" s="1"/>
  <c r="P281" i="4" a="1"/>
  <c r="P281" i="4" s="1"/>
  <c r="P280" i="4" a="1"/>
  <c r="P280" i="4" s="1"/>
  <c r="P279" i="4" a="1"/>
  <c r="P279" i="4" s="1"/>
  <c r="P278" i="4" a="1"/>
  <c r="P278" i="4" s="1"/>
  <c r="P277" i="4" a="1"/>
  <c r="P277" i="4" s="1"/>
  <c r="P276" i="4" a="1"/>
  <c r="P276" i="4" s="1"/>
  <c r="P275" i="4" a="1"/>
  <c r="P275" i="4" s="1"/>
  <c r="P274" i="4" a="1"/>
  <c r="P274" i="4" s="1"/>
  <c r="P273" i="4" a="1"/>
  <c r="P273" i="4" s="1"/>
  <c r="P272" i="4" a="1"/>
  <c r="P272" i="4" s="1"/>
  <c r="P271" i="4" a="1"/>
  <c r="P271" i="4" s="1"/>
  <c r="P270" i="4" a="1"/>
  <c r="P270" i="4" s="1"/>
  <c r="P269" i="4" a="1"/>
  <c r="P269" i="4" s="1"/>
  <c r="P268" i="4" a="1"/>
  <c r="P268" i="4" s="1"/>
  <c r="P267" i="4" a="1"/>
  <c r="P267" i="4" s="1"/>
  <c r="P266" i="4" a="1"/>
  <c r="P266" i="4" s="1"/>
  <c r="P265" i="4" a="1"/>
  <c r="P265" i="4" s="1"/>
  <c r="P264" i="4" a="1"/>
  <c r="P264" i="4" s="1"/>
  <c r="P263" i="4" a="1"/>
  <c r="P263" i="4" s="1"/>
  <c r="P262" i="4" a="1"/>
  <c r="P262" i="4" s="1"/>
  <c r="P261" i="4" a="1"/>
  <c r="P261" i="4" s="1"/>
  <c r="P260" i="4" a="1"/>
  <c r="P260" i="4" s="1"/>
  <c r="P259" i="4" a="1"/>
  <c r="P259" i="4" s="1"/>
  <c r="P258" i="4" a="1"/>
  <c r="P258" i="4" s="1"/>
  <c r="P257" i="4" a="1"/>
  <c r="P257" i="4" s="1"/>
  <c r="P256" i="4" a="1"/>
  <c r="P256" i="4" s="1"/>
  <c r="P255" i="4" a="1"/>
  <c r="P255" i="4" s="1"/>
  <c r="P254" i="4" a="1"/>
  <c r="P254" i="4" s="1"/>
  <c r="P253" i="4" a="1"/>
  <c r="P253" i="4" s="1"/>
  <c r="P252" i="4" a="1"/>
  <c r="P252" i="4" s="1"/>
  <c r="P251" i="4" a="1"/>
  <c r="P251" i="4" s="1"/>
  <c r="P250" i="4" a="1"/>
  <c r="P250" i="4" s="1"/>
  <c r="P249" i="4" a="1"/>
  <c r="P249" i="4" s="1"/>
  <c r="P248" i="4" a="1"/>
  <c r="P248" i="4" s="1"/>
  <c r="P247" i="4" a="1"/>
  <c r="P247" i="4" s="1"/>
  <c r="P246" i="4" a="1"/>
  <c r="P246" i="4" s="1"/>
  <c r="P245" i="4" a="1"/>
  <c r="P245" i="4" s="1"/>
  <c r="P244" i="4" a="1"/>
  <c r="P244" i="4" s="1"/>
  <c r="P243" i="4" a="1"/>
  <c r="P243" i="4" s="1"/>
  <c r="P242" i="4" a="1"/>
  <c r="P242" i="4" s="1"/>
  <c r="P241" i="4" a="1"/>
  <c r="P241" i="4" s="1"/>
  <c r="P240" i="4" a="1"/>
  <c r="P240" i="4" s="1"/>
  <c r="P239" i="4" a="1"/>
  <c r="P239" i="4" s="1"/>
  <c r="P238" i="4"/>
  <c r="P238" i="4" a="1"/>
  <c r="P237" i="4" a="1"/>
  <c r="P237" i="4" s="1"/>
  <c r="P236" i="4" a="1"/>
  <c r="P236" i="4" s="1"/>
  <c r="P235" i="4" a="1"/>
  <c r="P235" i="4" s="1"/>
  <c r="P234" i="4" a="1"/>
  <c r="P234" i="4" s="1"/>
  <c r="P233" i="4" a="1"/>
  <c r="P233" i="4" s="1"/>
  <c r="P232" i="4" a="1"/>
  <c r="P232" i="4" s="1"/>
  <c r="P231" i="4" a="1"/>
  <c r="P231" i="4" s="1"/>
  <c r="P230" i="4" a="1"/>
  <c r="P230" i="4" s="1"/>
  <c r="P229" i="4" a="1"/>
  <c r="P229" i="4" s="1"/>
  <c r="P228" i="4" a="1"/>
  <c r="P228" i="4" s="1"/>
  <c r="P227" i="4" a="1"/>
  <c r="P227" i="4" s="1"/>
  <c r="P226" i="4" a="1"/>
  <c r="P226" i="4" s="1"/>
  <c r="P225" i="4" a="1"/>
  <c r="P225" i="4" s="1"/>
  <c r="P224" i="4" a="1"/>
  <c r="P224" i="4" s="1"/>
  <c r="P223" i="4" a="1"/>
  <c r="P223" i="4" s="1"/>
  <c r="P222" i="4" a="1"/>
  <c r="P222" i="4" s="1"/>
  <c r="P221" i="4" a="1"/>
  <c r="P221" i="4" s="1"/>
  <c r="P220" i="4" a="1"/>
  <c r="P220" i="4" s="1"/>
  <c r="P219" i="4" a="1"/>
  <c r="P219" i="4" s="1"/>
  <c r="P218" i="4" a="1"/>
  <c r="P218" i="4" s="1"/>
  <c r="P217" i="4" a="1"/>
  <c r="P217" i="4" s="1"/>
  <c r="P216" i="4" a="1"/>
  <c r="P216" i="4" s="1"/>
  <c r="P215" i="4" a="1"/>
  <c r="P215" i="4" s="1"/>
  <c r="P214" i="4" a="1"/>
  <c r="P214" i="4" s="1"/>
  <c r="P213" i="4" a="1"/>
  <c r="P213" i="4" s="1"/>
  <c r="P212" i="4" a="1"/>
  <c r="P212" i="4" s="1"/>
  <c r="P211" i="4" a="1"/>
  <c r="P211" i="4" s="1"/>
  <c r="P210" i="4" a="1"/>
  <c r="P210" i="4" s="1"/>
  <c r="P209" i="4" a="1"/>
  <c r="P209" i="4" s="1"/>
  <c r="P208" i="4" a="1"/>
  <c r="P208" i="4" s="1"/>
  <c r="P207" i="4" a="1"/>
  <c r="P207" i="4" s="1"/>
  <c r="P206" i="4" a="1"/>
  <c r="P206" i="4" s="1"/>
  <c r="P205" i="4" a="1"/>
  <c r="P205" i="4" s="1"/>
  <c r="P204" i="4" a="1"/>
  <c r="P204" i="4" s="1"/>
  <c r="P203" i="4" a="1"/>
  <c r="P203" i="4" s="1"/>
  <c r="P202" i="4" a="1"/>
  <c r="P202" i="4" s="1"/>
  <c r="P201" i="4" a="1"/>
  <c r="P201" i="4" s="1"/>
  <c r="P200" i="4" a="1"/>
  <c r="P200" i="4" s="1"/>
  <c r="P199" i="4" a="1"/>
  <c r="P199" i="4" s="1"/>
  <c r="P198" i="4" a="1"/>
  <c r="P198" i="4" s="1"/>
  <c r="P197" i="4" a="1"/>
  <c r="P197" i="4" s="1"/>
  <c r="P196" i="4" a="1"/>
  <c r="P196" i="4" s="1"/>
  <c r="P195" i="4" a="1"/>
  <c r="P195" i="4" s="1"/>
  <c r="P194" i="4" a="1"/>
  <c r="P194" i="4" s="1"/>
  <c r="P193" i="4" a="1"/>
  <c r="P193" i="4" s="1"/>
  <c r="P192" i="4" a="1"/>
  <c r="P192" i="4" s="1"/>
  <c r="P191" i="4" a="1"/>
  <c r="P191" i="4" s="1"/>
  <c r="P190" i="4"/>
  <c r="P190" i="4" a="1"/>
  <c r="P189" i="4" a="1"/>
  <c r="P189" i="4" s="1"/>
  <c r="P188" i="4" a="1"/>
  <c r="P188" i="4" s="1"/>
  <c r="P187" i="4" a="1"/>
  <c r="P187" i="4" s="1"/>
  <c r="P186" i="4" a="1"/>
  <c r="P186" i="4" s="1"/>
  <c r="P185" i="4" a="1"/>
  <c r="P185" i="4" s="1"/>
  <c r="P184" i="4" a="1"/>
  <c r="P184" i="4" s="1"/>
  <c r="P183" i="4" a="1"/>
  <c r="P183" i="4" s="1"/>
  <c r="P182" i="4" a="1"/>
  <c r="P182" i="4" s="1"/>
  <c r="P181" i="4" a="1"/>
  <c r="P181" i="4" s="1"/>
  <c r="P180" i="4" a="1"/>
  <c r="P180" i="4" s="1"/>
  <c r="P179" i="4" a="1"/>
  <c r="P179" i="4" s="1"/>
  <c r="P178" i="4" a="1"/>
  <c r="P178" i="4" s="1"/>
  <c r="P177" i="4" a="1"/>
  <c r="P177" i="4" s="1"/>
  <c r="P176" i="4" a="1"/>
  <c r="P176" i="4" s="1"/>
  <c r="P175" i="4" a="1"/>
  <c r="P175" i="4" s="1"/>
  <c r="P174" i="4" a="1"/>
  <c r="P174" i="4" s="1"/>
  <c r="P173" i="4" a="1"/>
  <c r="P173" i="4" s="1"/>
  <c r="P172" i="4" a="1"/>
  <c r="P172" i="4" s="1"/>
  <c r="P171" i="4" a="1"/>
  <c r="P171" i="4" s="1"/>
  <c r="P170" i="4" a="1"/>
  <c r="P170" i="4" s="1"/>
  <c r="P169" i="4" a="1"/>
  <c r="P169" i="4" s="1"/>
  <c r="P168" i="4" a="1"/>
  <c r="P168" i="4" s="1"/>
  <c r="P167" i="4" a="1"/>
  <c r="P167" i="4" s="1"/>
  <c r="P166" i="4" a="1"/>
  <c r="P166" i="4" s="1"/>
  <c r="P165" i="4" a="1"/>
  <c r="P165" i="4" s="1"/>
  <c r="P164" i="4" a="1"/>
  <c r="P164" i="4" s="1"/>
  <c r="P163" i="4" a="1"/>
  <c r="P163" i="4" s="1"/>
  <c r="P162" i="4" a="1"/>
  <c r="P162" i="4" s="1"/>
  <c r="P161" i="4" a="1"/>
  <c r="P161" i="4" s="1"/>
  <c r="P160" i="4" a="1"/>
  <c r="P160" i="4" s="1"/>
  <c r="P159" i="4" a="1"/>
  <c r="P159" i="4" s="1"/>
  <c r="P158" i="4" a="1"/>
  <c r="P158" i="4" s="1"/>
  <c r="P157" i="4" a="1"/>
  <c r="P157" i="4" s="1"/>
  <c r="P156" i="4" a="1"/>
  <c r="P156" i="4" s="1"/>
  <c r="P155" i="4" a="1"/>
  <c r="P155" i="4" s="1"/>
  <c r="P154" i="4" a="1"/>
  <c r="P154" i="4" s="1"/>
  <c r="P153" i="4" a="1"/>
  <c r="P153" i="4" s="1"/>
  <c r="P152" i="4" a="1"/>
  <c r="P152" i="4" s="1"/>
  <c r="P151" i="4" a="1"/>
  <c r="P151" i="4" s="1"/>
  <c r="P150" i="4" a="1"/>
  <c r="P150" i="4" s="1"/>
  <c r="P149" i="4" a="1"/>
  <c r="P149" i="4" s="1"/>
  <c r="P148" i="4" a="1"/>
  <c r="P148" i="4" s="1"/>
  <c r="P147" i="4" a="1"/>
  <c r="P147" i="4" s="1"/>
  <c r="P146" i="4" a="1"/>
  <c r="P146" i="4" s="1"/>
  <c r="P145" i="4" a="1"/>
  <c r="P145" i="4" s="1"/>
  <c r="P144" i="4" a="1"/>
  <c r="P144" i="4" s="1"/>
  <c r="P143" i="4" a="1"/>
  <c r="P143" i="4" s="1"/>
  <c r="P142" i="4" a="1"/>
  <c r="P142" i="4" s="1"/>
  <c r="P141" i="4" a="1"/>
  <c r="P141" i="4" s="1"/>
  <c r="P140" i="4" a="1"/>
  <c r="P140" i="4" s="1"/>
  <c r="P139" i="4" a="1"/>
  <c r="P139" i="4" s="1"/>
  <c r="P138" i="4" a="1"/>
  <c r="P138" i="4" s="1"/>
  <c r="P137" i="4" a="1"/>
  <c r="P137" i="4" s="1"/>
  <c r="P136" i="4" a="1"/>
  <c r="P136" i="4" s="1"/>
  <c r="P135" i="4" a="1"/>
  <c r="P135" i="4" s="1"/>
  <c r="P134" i="4" a="1"/>
  <c r="P134" i="4" s="1"/>
  <c r="P133" i="4" a="1"/>
  <c r="P133" i="4" s="1"/>
  <c r="P132" i="4" a="1"/>
  <c r="P132" i="4" s="1"/>
  <c r="P131" i="4" a="1"/>
  <c r="P131" i="4" s="1"/>
  <c r="P130" i="4" a="1"/>
  <c r="P130" i="4" s="1"/>
  <c r="P129" i="4" a="1"/>
  <c r="P129" i="4" s="1"/>
  <c r="P128" i="4" a="1"/>
  <c r="P128" i="4" s="1"/>
  <c r="P127" i="4" a="1"/>
  <c r="P127" i="4" s="1"/>
  <c r="P126" i="4" a="1"/>
  <c r="P126" i="4" s="1"/>
  <c r="P125" i="4" a="1"/>
  <c r="P125" i="4" s="1"/>
  <c r="P124" i="4" a="1"/>
  <c r="P124" i="4" s="1"/>
  <c r="P123" i="4" a="1"/>
  <c r="P123" i="4" s="1"/>
  <c r="P122" i="4" a="1"/>
  <c r="P122" i="4" s="1"/>
  <c r="P121" i="4" a="1"/>
  <c r="P121" i="4" s="1"/>
  <c r="P120" i="4" a="1"/>
  <c r="P120" i="4" s="1"/>
  <c r="P119" i="4" a="1"/>
  <c r="P119" i="4" s="1"/>
  <c r="P118" i="4" a="1"/>
  <c r="P118" i="4" s="1"/>
  <c r="P117" i="4" a="1"/>
  <c r="P117" i="4" s="1"/>
  <c r="P116" i="4" a="1"/>
  <c r="P116" i="4" s="1"/>
  <c r="P115" i="4" a="1"/>
  <c r="P115" i="4" s="1"/>
  <c r="P114" i="4" a="1"/>
  <c r="P114" i="4" s="1"/>
  <c r="P113" i="4" a="1"/>
  <c r="P113" i="4" s="1"/>
  <c r="P112" i="4" a="1"/>
  <c r="P112" i="4" s="1"/>
  <c r="P111" i="4" a="1"/>
  <c r="P111" i="4" s="1"/>
  <c r="P110" i="4" a="1"/>
  <c r="P110" i="4" s="1"/>
  <c r="P109" i="4" a="1"/>
  <c r="P109" i="4" s="1"/>
  <c r="P108" i="4" a="1"/>
  <c r="P108" i="4" s="1"/>
  <c r="P107" i="4" a="1"/>
  <c r="P107" i="4" s="1"/>
  <c r="P106" i="4" a="1"/>
  <c r="P106" i="4" s="1"/>
  <c r="P105" i="4" a="1"/>
  <c r="P105" i="4" s="1"/>
  <c r="P104" i="4" a="1"/>
  <c r="P104" i="4" s="1"/>
  <c r="P103" i="4" a="1"/>
  <c r="P103" i="4" s="1"/>
  <c r="P102" i="4" a="1"/>
  <c r="P102" i="4" s="1"/>
  <c r="P101" i="4" a="1"/>
  <c r="P101" i="4" s="1"/>
  <c r="P100" i="4" a="1"/>
  <c r="P100" i="4" s="1"/>
  <c r="P99" i="4" a="1"/>
  <c r="P99" i="4" s="1"/>
  <c r="P98" i="4" a="1"/>
  <c r="P98" i="4" s="1"/>
  <c r="P97" i="4" a="1"/>
  <c r="P97" i="4" s="1"/>
  <c r="P96" i="4" a="1"/>
  <c r="P96" i="4" s="1"/>
  <c r="P95" i="4" a="1"/>
  <c r="P95" i="4" s="1"/>
  <c r="P94" i="4" a="1"/>
  <c r="P94" i="4" s="1"/>
  <c r="P93" i="4" a="1"/>
  <c r="P93" i="4" s="1"/>
  <c r="P92" i="4" a="1"/>
  <c r="P92" i="4" s="1"/>
  <c r="P91" i="4" a="1"/>
  <c r="P91" i="4" s="1"/>
  <c r="P90" i="4" a="1"/>
  <c r="P90" i="4" s="1"/>
  <c r="P89" i="4" a="1"/>
  <c r="P89" i="4" s="1"/>
  <c r="P88" i="4" a="1"/>
  <c r="P88" i="4" s="1"/>
  <c r="P87" i="4" a="1"/>
  <c r="P87" i="4" s="1"/>
  <c r="P86" i="4" a="1"/>
  <c r="P86" i="4" s="1"/>
  <c r="P85" i="4" a="1"/>
  <c r="P85" i="4" s="1"/>
  <c r="P84" i="4" a="1"/>
  <c r="P84" i="4" s="1"/>
  <c r="P83" i="4" a="1"/>
  <c r="P83" i="4" s="1"/>
  <c r="P82" i="4" a="1"/>
  <c r="P82" i="4" s="1"/>
  <c r="P81" i="4" a="1"/>
  <c r="P81" i="4" s="1"/>
  <c r="P80" i="4" a="1"/>
  <c r="P80" i="4" s="1"/>
  <c r="P79" i="4" a="1"/>
  <c r="P79" i="4" s="1"/>
  <c r="P78" i="4" a="1"/>
  <c r="P78" i="4" s="1"/>
  <c r="P77" i="4" a="1"/>
  <c r="P77" i="4" s="1"/>
  <c r="P76" i="4" a="1"/>
  <c r="P76" i="4" s="1"/>
  <c r="P75" i="4" a="1"/>
  <c r="P75" i="4" s="1"/>
  <c r="P74" i="4" a="1"/>
  <c r="P74" i="4" s="1"/>
  <c r="P73" i="4" a="1"/>
  <c r="P73" i="4" s="1"/>
  <c r="P72" i="4" a="1"/>
  <c r="P72" i="4" s="1"/>
  <c r="P71" i="4" a="1"/>
  <c r="P71" i="4" s="1"/>
  <c r="P70" i="4" a="1"/>
  <c r="P70" i="4" s="1"/>
  <c r="P69" i="4" a="1"/>
  <c r="P69" i="4" s="1"/>
  <c r="P68" i="4" a="1"/>
  <c r="P68" i="4" s="1"/>
  <c r="P67" i="4" a="1"/>
  <c r="P67" i="4" s="1"/>
  <c r="P66" i="4" a="1"/>
  <c r="P66" i="4" s="1"/>
  <c r="P65" i="4" a="1"/>
  <c r="P65" i="4" s="1"/>
  <c r="P64" i="4" a="1"/>
  <c r="P64" i="4" s="1"/>
  <c r="P63" i="4" a="1"/>
  <c r="P63" i="4" s="1"/>
  <c r="P62" i="4" a="1"/>
  <c r="P62" i="4" s="1"/>
  <c r="P61" i="4" a="1"/>
  <c r="P61" i="4" s="1"/>
  <c r="P60" i="4" a="1"/>
  <c r="P60" i="4" s="1"/>
  <c r="P59" i="4" a="1"/>
  <c r="P59" i="4" s="1"/>
  <c r="P58" i="4" a="1"/>
  <c r="P58" i="4" s="1"/>
  <c r="P57" i="4" a="1"/>
  <c r="P57" i="4" s="1"/>
  <c r="P56" i="4" a="1"/>
  <c r="P56" i="4" s="1"/>
  <c r="P55" i="4" a="1"/>
  <c r="P55" i="4" s="1"/>
  <c r="P54" i="4" a="1"/>
  <c r="P54" i="4" s="1"/>
  <c r="P53" i="4" a="1"/>
  <c r="P53" i="4" s="1"/>
  <c r="P52" i="4" a="1"/>
  <c r="P52" i="4" s="1"/>
  <c r="P51" i="4" a="1"/>
  <c r="P51" i="4" s="1"/>
  <c r="P50" i="4" a="1"/>
  <c r="P50" i="4" s="1"/>
  <c r="P49" i="4" a="1"/>
  <c r="P49" i="4" s="1"/>
  <c r="P48" i="4" a="1"/>
  <c r="P48" i="4" s="1"/>
  <c r="P47" i="4" a="1"/>
  <c r="P47" i="4" s="1"/>
  <c r="P46" i="4" a="1"/>
  <c r="P46" i="4" s="1"/>
  <c r="P45" i="4" a="1"/>
  <c r="P45" i="4" s="1"/>
  <c r="P44" i="4" a="1"/>
  <c r="P44" i="4" s="1"/>
  <c r="P43" i="4" a="1"/>
  <c r="P43" i="4" s="1"/>
  <c r="P42" i="4" a="1"/>
  <c r="P42" i="4" s="1"/>
  <c r="P41" i="4" a="1"/>
  <c r="P41" i="4" s="1"/>
  <c r="P40" i="4" a="1"/>
  <c r="P40" i="4" s="1"/>
  <c r="P39" i="4" a="1"/>
  <c r="P39" i="4" s="1"/>
  <c r="P38" i="4" a="1"/>
  <c r="P38" i="4" s="1"/>
  <c r="P37" i="4" a="1"/>
  <c r="P37" i="4" s="1"/>
  <c r="N601" i="4" a="1"/>
  <c r="N601" i="4" s="1"/>
  <c r="N600" i="4" a="1"/>
  <c r="N600" i="4" s="1"/>
  <c r="N599" i="4" a="1"/>
  <c r="N599" i="4" s="1"/>
  <c r="N598" i="4" a="1"/>
  <c r="N598" i="4" s="1"/>
  <c r="N597" i="4" a="1"/>
  <c r="N597" i="4" s="1"/>
  <c r="N596" i="4" a="1"/>
  <c r="N596" i="4" s="1"/>
  <c r="N595" i="4" a="1"/>
  <c r="N595" i="4" s="1"/>
  <c r="N594" i="4" a="1"/>
  <c r="N594" i="4" s="1"/>
  <c r="N593" i="4" a="1"/>
  <c r="N593" i="4" s="1"/>
  <c r="N592" i="4" a="1"/>
  <c r="N592" i="4" s="1"/>
  <c r="N591" i="4" a="1"/>
  <c r="N591" i="4" s="1"/>
  <c r="N590" i="4" a="1"/>
  <c r="N590" i="4" s="1"/>
  <c r="N589" i="4" a="1"/>
  <c r="N589" i="4" s="1"/>
  <c r="N588" i="4" a="1"/>
  <c r="N588" i="4" s="1"/>
  <c r="N587" i="4" a="1"/>
  <c r="N587" i="4" s="1"/>
  <c r="N586" i="4" a="1"/>
  <c r="N586" i="4" s="1"/>
  <c r="N585" i="4" a="1"/>
  <c r="N585" i="4" s="1"/>
  <c r="N584" i="4" a="1"/>
  <c r="N584" i="4" s="1"/>
  <c r="N583" i="4" a="1"/>
  <c r="N583" i="4" s="1"/>
  <c r="N582" i="4" a="1"/>
  <c r="N582" i="4" s="1"/>
  <c r="N581" i="4" a="1"/>
  <c r="N581" i="4" s="1"/>
  <c r="N580" i="4" a="1"/>
  <c r="N580" i="4" s="1"/>
  <c r="N579" i="4" a="1"/>
  <c r="N579" i="4" s="1"/>
  <c r="N578" i="4" a="1"/>
  <c r="N578" i="4" s="1"/>
  <c r="N577" i="4" a="1"/>
  <c r="N577" i="4" s="1"/>
  <c r="N576" i="4" a="1"/>
  <c r="N576" i="4" s="1"/>
  <c r="N575" i="4" a="1"/>
  <c r="N575" i="4" s="1"/>
  <c r="N574" i="4" a="1"/>
  <c r="N574" i="4" s="1"/>
  <c r="N573" i="4" a="1"/>
  <c r="N573" i="4" s="1"/>
  <c r="N572" i="4" a="1"/>
  <c r="N572" i="4" s="1"/>
  <c r="N571" i="4" a="1"/>
  <c r="N571" i="4" s="1"/>
  <c r="N570" i="4" a="1"/>
  <c r="N570" i="4" s="1"/>
  <c r="N569" i="4" a="1"/>
  <c r="N569" i="4" s="1"/>
  <c r="N568" i="4" a="1"/>
  <c r="N568" i="4" s="1"/>
  <c r="N567" i="4" a="1"/>
  <c r="N567" i="4" s="1"/>
  <c r="N566" i="4" a="1"/>
  <c r="N566" i="4" s="1"/>
  <c r="N565" i="4" a="1"/>
  <c r="N565" i="4" s="1"/>
  <c r="N564" i="4" a="1"/>
  <c r="N564" i="4" s="1"/>
  <c r="N563" i="4" a="1"/>
  <c r="N563" i="4" s="1"/>
  <c r="N562" i="4" a="1"/>
  <c r="N562" i="4" s="1"/>
  <c r="N561" i="4" a="1"/>
  <c r="N561" i="4" s="1"/>
  <c r="N560" i="4" a="1"/>
  <c r="N560" i="4" s="1"/>
  <c r="N559" i="4" a="1"/>
  <c r="N559" i="4" s="1"/>
  <c r="N558" i="4" a="1"/>
  <c r="N558" i="4" s="1"/>
  <c r="N557" i="4" a="1"/>
  <c r="N557" i="4" s="1"/>
  <c r="N556" i="4" a="1"/>
  <c r="N556" i="4" s="1"/>
  <c r="N555" i="4" a="1"/>
  <c r="N555" i="4" s="1"/>
  <c r="N554" i="4" a="1"/>
  <c r="N554" i="4" s="1"/>
  <c r="N553" i="4" a="1"/>
  <c r="N553" i="4" s="1"/>
  <c r="N552" i="4" a="1"/>
  <c r="N552" i="4" s="1"/>
  <c r="N551" i="4" a="1"/>
  <c r="N551" i="4" s="1"/>
  <c r="N550" i="4" a="1"/>
  <c r="N550" i="4" s="1"/>
  <c r="N549" i="4" a="1"/>
  <c r="N549" i="4" s="1"/>
  <c r="N548" i="4" a="1"/>
  <c r="N548" i="4" s="1"/>
  <c r="N547" i="4" a="1"/>
  <c r="N547" i="4" s="1"/>
  <c r="N546" i="4" a="1"/>
  <c r="N546" i="4" s="1"/>
  <c r="N545" i="4" a="1"/>
  <c r="N545" i="4" s="1"/>
  <c r="N544" i="4" a="1"/>
  <c r="N544" i="4" s="1"/>
  <c r="N543" i="4" a="1"/>
  <c r="N543" i="4" s="1"/>
  <c r="N542" i="4" a="1"/>
  <c r="N542" i="4" s="1"/>
  <c r="N541" i="4" a="1"/>
  <c r="N541" i="4" s="1"/>
  <c r="N540" i="4" a="1"/>
  <c r="N540" i="4" s="1"/>
  <c r="N539" i="4" a="1"/>
  <c r="N539" i="4" s="1"/>
  <c r="N538" i="4" a="1"/>
  <c r="N538" i="4" s="1"/>
  <c r="N537" i="4" a="1"/>
  <c r="N537" i="4" s="1"/>
  <c r="N536" i="4" a="1"/>
  <c r="N536" i="4" s="1"/>
  <c r="N535" i="4" a="1"/>
  <c r="N535" i="4" s="1"/>
  <c r="N534" i="4" a="1"/>
  <c r="N534" i="4" s="1"/>
  <c r="N533" i="4" a="1"/>
  <c r="N533" i="4" s="1"/>
  <c r="N532" i="4" a="1"/>
  <c r="N532" i="4" s="1"/>
  <c r="N531" i="4" a="1"/>
  <c r="N531" i="4" s="1"/>
  <c r="N530" i="4" a="1"/>
  <c r="N530" i="4" s="1"/>
  <c r="N529" i="4" a="1"/>
  <c r="N529" i="4" s="1"/>
  <c r="N528" i="4" a="1"/>
  <c r="N528" i="4" s="1"/>
  <c r="N527" i="4" a="1"/>
  <c r="N527" i="4" s="1"/>
  <c r="N526" i="4" a="1"/>
  <c r="N526" i="4" s="1"/>
  <c r="N525" i="4" a="1"/>
  <c r="N525" i="4" s="1"/>
  <c r="N524" i="4" a="1"/>
  <c r="N524" i="4" s="1"/>
  <c r="N523" i="4" a="1"/>
  <c r="N523" i="4" s="1"/>
  <c r="N522" i="4" a="1"/>
  <c r="N522" i="4" s="1"/>
  <c r="N521" i="4" a="1"/>
  <c r="N521" i="4" s="1"/>
  <c r="N520" i="4" a="1"/>
  <c r="N520" i="4" s="1"/>
  <c r="N519" i="4" a="1"/>
  <c r="N519" i="4" s="1"/>
  <c r="N518" i="4" a="1"/>
  <c r="N518" i="4" s="1"/>
  <c r="N517" i="4" a="1"/>
  <c r="N517" i="4" s="1"/>
  <c r="N516" i="4" a="1"/>
  <c r="N516" i="4" s="1"/>
  <c r="N515" i="4" a="1"/>
  <c r="N515" i="4" s="1"/>
  <c r="N514" i="4" a="1"/>
  <c r="N514" i="4" s="1"/>
  <c r="N513" i="4" a="1"/>
  <c r="N513" i="4" s="1"/>
  <c r="N512" i="4" a="1"/>
  <c r="N512" i="4" s="1"/>
  <c r="N511" i="4" a="1"/>
  <c r="N511" i="4" s="1"/>
  <c r="N510" i="4" a="1"/>
  <c r="N510" i="4" s="1"/>
  <c r="N509" i="4" a="1"/>
  <c r="N509" i="4" s="1"/>
  <c r="N508" i="4" a="1"/>
  <c r="N508" i="4" s="1"/>
  <c r="N507" i="4" a="1"/>
  <c r="N507" i="4" s="1"/>
  <c r="N506" i="4" a="1"/>
  <c r="N506" i="4" s="1"/>
  <c r="N505" i="4" a="1"/>
  <c r="N505" i="4" s="1"/>
  <c r="N504" i="4" a="1"/>
  <c r="N504" i="4" s="1"/>
  <c r="N503" i="4" a="1"/>
  <c r="N503" i="4" s="1"/>
  <c r="N502" i="4" a="1"/>
  <c r="N502" i="4" s="1"/>
  <c r="N501" i="4" a="1"/>
  <c r="N501" i="4" s="1"/>
  <c r="N500" i="4" a="1"/>
  <c r="N500" i="4" s="1"/>
  <c r="N499" i="4" a="1"/>
  <c r="N499" i="4" s="1"/>
  <c r="N498" i="4" a="1"/>
  <c r="N498" i="4" s="1"/>
  <c r="N497" i="4" a="1"/>
  <c r="N497" i="4" s="1"/>
  <c r="N496" i="4" a="1"/>
  <c r="N496" i="4" s="1"/>
  <c r="N495" i="4"/>
  <c r="N495" i="4" a="1"/>
  <c r="N494" i="4" a="1"/>
  <c r="N494" i="4" s="1"/>
  <c r="N493" i="4" a="1"/>
  <c r="N493" i="4" s="1"/>
  <c r="N492" i="4" a="1"/>
  <c r="N492" i="4" s="1"/>
  <c r="N491" i="4" a="1"/>
  <c r="N491" i="4" s="1"/>
  <c r="N490" i="4" a="1"/>
  <c r="N490" i="4" s="1"/>
  <c r="N489" i="4" a="1"/>
  <c r="N489" i="4" s="1"/>
  <c r="N488" i="4" a="1"/>
  <c r="N488" i="4" s="1"/>
  <c r="N487" i="4" a="1"/>
  <c r="N487" i="4" s="1"/>
  <c r="N486" i="4" a="1"/>
  <c r="N486" i="4" s="1"/>
  <c r="N485" i="4" a="1"/>
  <c r="N485" i="4" s="1"/>
  <c r="N484" i="4" a="1"/>
  <c r="N484" i="4" s="1"/>
  <c r="N483" i="4" a="1"/>
  <c r="N483" i="4" s="1"/>
  <c r="N482" i="4" a="1"/>
  <c r="N482" i="4" s="1"/>
  <c r="N481" i="4" a="1"/>
  <c r="N481" i="4" s="1"/>
  <c r="N480" i="4" a="1"/>
  <c r="N480" i="4" s="1"/>
  <c r="N479" i="4" a="1"/>
  <c r="N479" i="4" s="1"/>
  <c r="N478" i="4" a="1"/>
  <c r="N478" i="4" s="1"/>
  <c r="N477" i="4" a="1"/>
  <c r="N477" i="4" s="1"/>
  <c r="N476" i="4" a="1"/>
  <c r="N476" i="4" s="1"/>
  <c r="N475" i="4" a="1"/>
  <c r="N475" i="4" s="1"/>
  <c r="N474" i="4" a="1"/>
  <c r="N474" i="4" s="1"/>
  <c r="N473" i="4" a="1"/>
  <c r="N473" i="4" s="1"/>
  <c r="N472" i="4" a="1"/>
  <c r="N472" i="4" s="1"/>
  <c r="N471" i="4" a="1"/>
  <c r="N471" i="4" s="1"/>
  <c r="N470" i="4" a="1"/>
  <c r="N470" i="4" s="1"/>
  <c r="N469" i="4" a="1"/>
  <c r="N469" i="4" s="1"/>
  <c r="N468" i="4" a="1"/>
  <c r="N468" i="4" s="1"/>
  <c r="N467" i="4" a="1"/>
  <c r="N467" i="4" s="1"/>
  <c r="N466" i="4" a="1"/>
  <c r="N466" i="4" s="1"/>
  <c r="N465" i="4" a="1"/>
  <c r="N465" i="4" s="1"/>
  <c r="N464" i="4" a="1"/>
  <c r="N464" i="4" s="1"/>
  <c r="N463" i="4" a="1"/>
  <c r="N463" i="4" s="1"/>
  <c r="N462" i="4" a="1"/>
  <c r="N462" i="4" s="1"/>
  <c r="N461" i="4" a="1"/>
  <c r="N461" i="4" s="1"/>
  <c r="N460" i="4" a="1"/>
  <c r="N460" i="4" s="1"/>
  <c r="N459" i="4" a="1"/>
  <c r="N459" i="4" s="1"/>
  <c r="N458" i="4" a="1"/>
  <c r="N458" i="4" s="1"/>
  <c r="N457" i="4" a="1"/>
  <c r="N457" i="4" s="1"/>
  <c r="N456" i="4" a="1"/>
  <c r="N456" i="4" s="1"/>
  <c r="N455" i="4" a="1"/>
  <c r="N455" i="4" s="1"/>
  <c r="N454" i="4" a="1"/>
  <c r="N454" i="4" s="1"/>
  <c r="N453" i="4" a="1"/>
  <c r="N453" i="4" s="1"/>
  <c r="N452" i="4" a="1"/>
  <c r="N452" i="4" s="1"/>
  <c r="N451" i="4" a="1"/>
  <c r="N451" i="4" s="1"/>
  <c r="N450" i="4" a="1"/>
  <c r="N450" i="4" s="1"/>
  <c r="N449" i="4" a="1"/>
  <c r="N449" i="4" s="1"/>
  <c r="N448" i="4" a="1"/>
  <c r="N448" i="4" s="1"/>
  <c r="N447" i="4" a="1"/>
  <c r="N447" i="4" s="1"/>
  <c r="N446" i="4" a="1"/>
  <c r="N446" i="4" s="1"/>
  <c r="N445" i="4" a="1"/>
  <c r="N445" i="4" s="1"/>
  <c r="N444" i="4" a="1"/>
  <c r="N444" i="4" s="1"/>
  <c r="N443" i="4" a="1"/>
  <c r="N443" i="4" s="1"/>
  <c r="N442" i="4" a="1"/>
  <c r="N442" i="4" s="1"/>
  <c r="N441" i="4" a="1"/>
  <c r="N441" i="4" s="1"/>
  <c r="N440" i="4" a="1"/>
  <c r="N440" i="4" s="1"/>
  <c r="N439" i="4" a="1"/>
  <c r="N439" i="4" s="1"/>
  <c r="N438" i="4" a="1"/>
  <c r="N438" i="4" s="1"/>
  <c r="N437" i="4" a="1"/>
  <c r="N437" i="4" s="1"/>
  <c r="N436" i="4" a="1"/>
  <c r="N436" i="4" s="1"/>
  <c r="N435" i="4" a="1"/>
  <c r="N435" i="4" s="1"/>
  <c r="N434" i="4" a="1"/>
  <c r="N434" i="4" s="1"/>
  <c r="N433" i="4" a="1"/>
  <c r="N433" i="4" s="1"/>
  <c r="N432" i="4" a="1"/>
  <c r="N432" i="4" s="1"/>
  <c r="N431" i="4"/>
  <c r="N431" i="4" a="1"/>
  <c r="N430" i="4" a="1"/>
  <c r="N430" i="4" s="1"/>
  <c r="N429" i="4" a="1"/>
  <c r="N429" i="4" s="1"/>
  <c r="N428" i="4" a="1"/>
  <c r="N428" i="4" s="1"/>
  <c r="N427" i="4" a="1"/>
  <c r="N427" i="4" s="1"/>
  <c r="N426" i="4" a="1"/>
  <c r="N426" i="4" s="1"/>
  <c r="N425" i="4" a="1"/>
  <c r="N425" i="4" s="1"/>
  <c r="N424" i="4" a="1"/>
  <c r="N424" i="4" s="1"/>
  <c r="N423" i="4" a="1"/>
  <c r="N423" i="4" s="1"/>
  <c r="N422" i="4" a="1"/>
  <c r="N422" i="4" s="1"/>
  <c r="N421" i="4" a="1"/>
  <c r="N421" i="4" s="1"/>
  <c r="N420" i="4" a="1"/>
  <c r="N420" i="4" s="1"/>
  <c r="N419" i="4" a="1"/>
  <c r="N419" i="4" s="1"/>
  <c r="N418" i="4" a="1"/>
  <c r="N418" i="4" s="1"/>
  <c r="N417" i="4" a="1"/>
  <c r="N417" i="4" s="1"/>
  <c r="N416" i="4" a="1"/>
  <c r="N416" i="4" s="1"/>
  <c r="N415" i="4" a="1"/>
  <c r="N415" i="4" s="1"/>
  <c r="N414" i="4" a="1"/>
  <c r="N414" i="4" s="1"/>
  <c r="N413" i="4" a="1"/>
  <c r="N413" i="4" s="1"/>
  <c r="N412" i="4" a="1"/>
  <c r="N412" i="4" s="1"/>
  <c r="N411" i="4" a="1"/>
  <c r="N411" i="4" s="1"/>
  <c r="N410" i="4" a="1"/>
  <c r="N410" i="4" s="1"/>
  <c r="N409" i="4" a="1"/>
  <c r="N409" i="4" s="1"/>
  <c r="N408" i="4" a="1"/>
  <c r="N408" i="4" s="1"/>
  <c r="N407" i="4" a="1"/>
  <c r="N407" i="4" s="1"/>
  <c r="N406" i="4" a="1"/>
  <c r="N406" i="4" s="1"/>
  <c r="N405" i="4" a="1"/>
  <c r="N405" i="4" s="1"/>
  <c r="N404" i="4" a="1"/>
  <c r="N404" i="4" s="1"/>
  <c r="N403" i="4" a="1"/>
  <c r="N403" i="4" s="1"/>
  <c r="N402" i="4" a="1"/>
  <c r="N402" i="4" s="1"/>
  <c r="N401" i="4" a="1"/>
  <c r="N401" i="4" s="1"/>
  <c r="N400" i="4" a="1"/>
  <c r="N400" i="4" s="1"/>
  <c r="N399" i="4" a="1"/>
  <c r="N399" i="4" s="1"/>
  <c r="N398" i="4" a="1"/>
  <c r="N398" i="4" s="1"/>
  <c r="N397" i="4" a="1"/>
  <c r="N397" i="4" s="1"/>
  <c r="N396" i="4" a="1"/>
  <c r="N396" i="4" s="1"/>
  <c r="N395" i="4" a="1"/>
  <c r="N395" i="4" s="1"/>
  <c r="N394" i="4" a="1"/>
  <c r="N394" i="4" s="1"/>
  <c r="N393" i="4" a="1"/>
  <c r="N393" i="4" s="1"/>
  <c r="N392" i="4" a="1"/>
  <c r="N392" i="4" s="1"/>
  <c r="N391" i="4" a="1"/>
  <c r="N391" i="4" s="1"/>
  <c r="N390" i="4" a="1"/>
  <c r="N390" i="4" s="1"/>
  <c r="N389" i="4" a="1"/>
  <c r="N389" i="4" s="1"/>
  <c r="N388" i="4" a="1"/>
  <c r="N388" i="4" s="1"/>
  <c r="N387" i="4" a="1"/>
  <c r="N387" i="4" s="1"/>
  <c r="N386" i="4" a="1"/>
  <c r="N386" i="4" s="1"/>
  <c r="N385" i="4" a="1"/>
  <c r="N385" i="4" s="1"/>
  <c r="N384" i="4" a="1"/>
  <c r="N384" i="4" s="1"/>
  <c r="N383" i="4" a="1"/>
  <c r="N383" i="4" s="1"/>
  <c r="N382" i="4" a="1"/>
  <c r="N382" i="4" s="1"/>
  <c r="N381" i="4" a="1"/>
  <c r="N381" i="4" s="1"/>
  <c r="N380" i="4" a="1"/>
  <c r="N380" i="4" s="1"/>
  <c r="N379" i="4" a="1"/>
  <c r="N379" i="4" s="1"/>
  <c r="N378" i="4" a="1"/>
  <c r="N378" i="4" s="1"/>
  <c r="N377" i="4" a="1"/>
  <c r="N377" i="4" s="1"/>
  <c r="N376" i="4" a="1"/>
  <c r="N376" i="4" s="1"/>
  <c r="N375" i="4" a="1"/>
  <c r="N375" i="4" s="1"/>
  <c r="N374" i="4" a="1"/>
  <c r="N374" i="4" s="1"/>
  <c r="N373" i="4" a="1"/>
  <c r="N373" i="4" s="1"/>
  <c r="N372" i="4" a="1"/>
  <c r="N372" i="4" s="1"/>
  <c r="N371" i="4" a="1"/>
  <c r="N371" i="4" s="1"/>
  <c r="N370" i="4" a="1"/>
  <c r="N370" i="4" s="1"/>
  <c r="N369" i="4" a="1"/>
  <c r="N369" i="4" s="1"/>
  <c r="N368" i="4" a="1"/>
  <c r="N368" i="4" s="1"/>
  <c r="N367" i="4" a="1"/>
  <c r="N367" i="4" s="1"/>
  <c r="N366" i="4" a="1"/>
  <c r="N366" i="4" s="1"/>
  <c r="N365" i="4" a="1"/>
  <c r="N365" i="4" s="1"/>
  <c r="N364" i="4" a="1"/>
  <c r="N364" i="4" s="1"/>
  <c r="N363" i="4" a="1"/>
  <c r="N363" i="4" s="1"/>
  <c r="N362" i="4" a="1"/>
  <c r="N362" i="4" s="1"/>
  <c r="N361" i="4" a="1"/>
  <c r="N361" i="4" s="1"/>
  <c r="N360" i="4" a="1"/>
  <c r="N360" i="4" s="1"/>
  <c r="N359" i="4" a="1"/>
  <c r="N359" i="4" s="1"/>
  <c r="N358" i="4" a="1"/>
  <c r="N358" i="4" s="1"/>
  <c r="N357" i="4" a="1"/>
  <c r="N357" i="4" s="1"/>
  <c r="N356" i="4" a="1"/>
  <c r="N356" i="4" s="1"/>
  <c r="N355" i="4" a="1"/>
  <c r="N355" i="4" s="1"/>
  <c r="N354" i="4" a="1"/>
  <c r="N354" i="4" s="1"/>
  <c r="N353" i="4" a="1"/>
  <c r="N353" i="4" s="1"/>
  <c r="N352" i="4" a="1"/>
  <c r="N352" i="4" s="1"/>
  <c r="N351" i="4" a="1"/>
  <c r="N351" i="4" s="1"/>
  <c r="N350" i="4" a="1"/>
  <c r="N350" i="4" s="1"/>
  <c r="N349" i="4" a="1"/>
  <c r="N349" i="4" s="1"/>
  <c r="N348" i="4" a="1"/>
  <c r="N348" i="4" s="1"/>
  <c r="N347" i="4" a="1"/>
  <c r="N347" i="4" s="1"/>
  <c r="N346" i="4" a="1"/>
  <c r="N346" i="4" s="1"/>
  <c r="N345" i="4" a="1"/>
  <c r="N345" i="4" s="1"/>
  <c r="N344" i="4" a="1"/>
  <c r="N344" i="4" s="1"/>
  <c r="N343" i="4" a="1"/>
  <c r="N343" i="4" s="1"/>
  <c r="N342" i="4" a="1"/>
  <c r="N342" i="4" s="1"/>
  <c r="N341" i="4" a="1"/>
  <c r="N341" i="4" s="1"/>
  <c r="N340" i="4" a="1"/>
  <c r="N340" i="4" s="1"/>
  <c r="N339" i="4" a="1"/>
  <c r="N339" i="4" s="1"/>
  <c r="N338" i="4" a="1"/>
  <c r="N338" i="4" s="1"/>
  <c r="N337" i="4" a="1"/>
  <c r="N337" i="4" s="1"/>
  <c r="N336" i="4" a="1"/>
  <c r="N336" i="4" s="1"/>
  <c r="N335" i="4" a="1"/>
  <c r="N335" i="4" s="1"/>
  <c r="N334" i="4" a="1"/>
  <c r="N334" i="4" s="1"/>
  <c r="N333" i="4" a="1"/>
  <c r="N333" i="4" s="1"/>
  <c r="N332" i="4" a="1"/>
  <c r="N332" i="4" s="1"/>
  <c r="N331" i="4" a="1"/>
  <c r="N331" i="4" s="1"/>
  <c r="N330" i="4" a="1"/>
  <c r="N330" i="4" s="1"/>
  <c r="N329" i="4" a="1"/>
  <c r="N329" i="4" s="1"/>
  <c r="N328" i="4" a="1"/>
  <c r="N328" i="4" s="1"/>
  <c r="N327" i="4" a="1"/>
  <c r="N327" i="4" s="1"/>
  <c r="N326" i="4" a="1"/>
  <c r="N326" i="4" s="1"/>
  <c r="N325" i="4" a="1"/>
  <c r="N325" i="4" s="1"/>
  <c r="N324" i="4" a="1"/>
  <c r="N324" i="4" s="1"/>
  <c r="N323" i="4" a="1"/>
  <c r="N323" i="4" s="1"/>
  <c r="N322" i="4" a="1"/>
  <c r="N322" i="4" s="1"/>
  <c r="N321" i="4" a="1"/>
  <c r="N321" i="4" s="1"/>
  <c r="N320" i="4" a="1"/>
  <c r="N320" i="4" s="1"/>
  <c r="N319" i="4" a="1"/>
  <c r="N319" i="4" s="1"/>
  <c r="N318" i="4" a="1"/>
  <c r="N318" i="4" s="1"/>
  <c r="N317" i="4" a="1"/>
  <c r="N317" i="4" s="1"/>
  <c r="N316" i="4" a="1"/>
  <c r="N316" i="4" s="1"/>
  <c r="N315" i="4" a="1"/>
  <c r="N315" i="4" s="1"/>
  <c r="N314" i="4" a="1"/>
  <c r="N314" i="4" s="1"/>
  <c r="N313" i="4" a="1"/>
  <c r="N313" i="4" s="1"/>
  <c r="N312" i="4" a="1"/>
  <c r="N312" i="4" s="1"/>
  <c r="N311" i="4" a="1"/>
  <c r="N311" i="4" s="1"/>
  <c r="N310" i="4" a="1"/>
  <c r="N310" i="4" s="1"/>
  <c r="N309" i="4" a="1"/>
  <c r="N309" i="4" s="1"/>
  <c r="N308" i="4" a="1"/>
  <c r="N308" i="4" s="1"/>
  <c r="N307" i="4" a="1"/>
  <c r="N307" i="4" s="1"/>
  <c r="N306" i="4" a="1"/>
  <c r="N306" i="4" s="1"/>
  <c r="N305" i="4" a="1"/>
  <c r="N305" i="4" s="1"/>
  <c r="N304" i="4" a="1"/>
  <c r="N304" i="4" s="1"/>
  <c r="N303" i="4" a="1"/>
  <c r="N303" i="4" s="1"/>
  <c r="N302" i="4" a="1"/>
  <c r="N302" i="4" s="1"/>
  <c r="N301" i="4" a="1"/>
  <c r="N301" i="4" s="1"/>
  <c r="N300" i="4" a="1"/>
  <c r="N300" i="4" s="1"/>
  <c r="N299" i="4" a="1"/>
  <c r="N299" i="4" s="1"/>
  <c r="N298" i="4" a="1"/>
  <c r="N298" i="4" s="1"/>
  <c r="N297" i="4" a="1"/>
  <c r="N297" i="4" s="1"/>
  <c r="N296" i="4" a="1"/>
  <c r="N296" i="4" s="1"/>
  <c r="N295" i="4" a="1"/>
  <c r="N295" i="4" s="1"/>
  <c r="N294" i="4" a="1"/>
  <c r="N294" i="4" s="1"/>
  <c r="N293" i="4" a="1"/>
  <c r="N293" i="4" s="1"/>
  <c r="N292" i="4" a="1"/>
  <c r="N292" i="4" s="1"/>
  <c r="N291" i="4" a="1"/>
  <c r="N291" i="4" s="1"/>
  <c r="N290" i="4" a="1"/>
  <c r="N290" i="4" s="1"/>
  <c r="N289" i="4" a="1"/>
  <c r="N289" i="4" s="1"/>
  <c r="N288" i="4" a="1"/>
  <c r="N288" i="4" s="1"/>
  <c r="N287" i="4" a="1"/>
  <c r="N287" i="4" s="1"/>
  <c r="N286" i="4" a="1"/>
  <c r="N286" i="4" s="1"/>
  <c r="N285" i="4" a="1"/>
  <c r="N285" i="4" s="1"/>
  <c r="N284" i="4" a="1"/>
  <c r="N284" i="4" s="1"/>
  <c r="N283" i="4" a="1"/>
  <c r="N283" i="4" s="1"/>
  <c r="N282" i="4" a="1"/>
  <c r="N282" i="4" s="1"/>
  <c r="N281" i="4" a="1"/>
  <c r="N281" i="4" s="1"/>
  <c r="N280" i="4" a="1"/>
  <c r="N280" i="4" s="1"/>
  <c r="N279" i="4" a="1"/>
  <c r="N279" i="4" s="1"/>
  <c r="N278" i="4" a="1"/>
  <c r="N278" i="4" s="1"/>
  <c r="N277" i="4" a="1"/>
  <c r="N277" i="4" s="1"/>
  <c r="N276" i="4" a="1"/>
  <c r="N276" i="4" s="1"/>
  <c r="N275" i="4" a="1"/>
  <c r="N275" i="4" s="1"/>
  <c r="N274" i="4" a="1"/>
  <c r="N274" i="4" s="1"/>
  <c r="N273" i="4" a="1"/>
  <c r="N273" i="4" s="1"/>
  <c r="N272" i="4" a="1"/>
  <c r="N272" i="4" s="1"/>
  <c r="N271" i="4"/>
  <c r="N271" i="4" a="1"/>
  <c r="N270" i="4" a="1"/>
  <c r="N270" i="4" s="1"/>
  <c r="N269" i="4" a="1"/>
  <c r="N269" i="4" s="1"/>
  <c r="N268" i="4" a="1"/>
  <c r="N268" i="4" s="1"/>
  <c r="N267" i="4" a="1"/>
  <c r="N267" i="4" s="1"/>
  <c r="N266" i="4" a="1"/>
  <c r="N266" i="4" s="1"/>
  <c r="N265" i="4" a="1"/>
  <c r="N265" i="4" s="1"/>
  <c r="N264" i="4" a="1"/>
  <c r="N264" i="4" s="1"/>
  <c r="N263" i="4" a="1"/>
  <c r="N263" i="4" s="1"/>
  <c r="N262" i="4" a="1"/>
  <c r="N262" i="4" s="1"/>
  <c r="N261" i="4" a="1"/>
  <c r="N261" i="4" s="1"/>
  <c r="N260" i="4" a="1"/>
  <c r="N260" i="4" s="1"/>
  <c r="N259" i="4" a="1"/>
  <c r="N259" i="4" s="1"/>
  <c r="N258" i="4"/>
  <c r="N258" i="4" a="1"/>
  <c r="N257" i="4" a="1"/>
  <c r="N257" i="4" s="1"/>
  <c r="N256" i="4" a="1"/>
  <c r="N256" i="4" s="1"/>
  <c r="N255" i="4" a="1"/>
  <c r="N255" i="4" s="1"/>
  <c r="N254" i="4" a="1"/>
  <c r="N254" i="4" s="1"/>
  <c r="N253" i="4" a="1"/>
  <c r="N253" i="4" s="1"/>
  <c r="N252" i="4" a="1"/>
  <c r="N252" i="4" s="1"/>
  <c r="N251" i="4" a="1"/>
  <c r="N251" i="4" s="1"/>
  <c r="N250" i="4" a="1"/>
  <c r="N250" i="4" s="1"/>
  <c r="N249" i="4" a="1"/>
  <c r="N249" i="4" s="1"/>
  <c r="N248" i="4" a="1"/>
  <c r="N248" i="4" s="1"/>
  <c r="N247" i="4" a="1"/>
  <c r="N247" i="4" s="1"/>
  <c r="N246" i="4" a="1"/>
  <c r="N246" i="4" s="1"/>
  <c r="N245" i="4" a="1"/>
  <c r="N245" i="4" s="1"/>
  <c r="N244" i="4" a="1"/>
  <c r="N244" i="4" s="1"/>
  <c r="N243" i="4" a="1"/>
  <c r="N243" i="4" s="1"/>
  <c r="N242" i="4" a="1"/>
  <c r="N242" i="4" s="1"/>
  <c r="N241" i="4" a="1"/>
  <c r="N241" i="4" s="1"/>
  <c r="N240" i="4" a="1"/>
  <c r="N240" i="4" s="1"/>
  <c r="N239" i="4" a="1"/>
  <c r="N239" i="4" s="1"/>
  <c r="N238" i="4" a="1"/>
  <c r="N238" i="4" s="1"/>
  <c r="N237" i="4" a="1"/>
  <c r="N237" i="4" s="1"/>
  <c r="N236" i="4" a="1"/>
  <c r="N236" i="4" s="1"/>
  <c r="N235" i="4" a="1"/>
  <c r="N235" i="4" s="1"/>
  <c r="N234" i="4" a="1"/>
  <c r="N234" i="4" s="1"/>
  <c r="N233" i="4" a="1"/>
  <c r="N233" i="4" s="1"/>
  <c r="N232" i="4" a="1"/>
  <c r="N232" i="4" s="1"/>
  <c r="N231" i="4" a="1"/>
  <c r="N231" i="4" s="1"/>
  <c r="N230" i="4" a="1"/>
  <c r="N230" i="4" s="1"/>
  <c r="N229" i="4" a="1"/>
  <c r="N229" i="4" s="1"/>
  <c r="N228" i="4" a="1"/>
  <c r="N228" i="4" s="1"/>
  <c r="N227" i="4" a="1"/>
  <c r="N227" i="4" s="1"/>
  <c r="N226" i="4" a="1"/>
  <c r="N226" i="4" s="1"/>
  <c r="N225" i="4" a="1"/>
  <c r="N225" i="4" s="1"/>
  <c r="N224" i="4" a="1"/>
  <c r="N224" i="4" s="1"/>
  <c r="N223" i="4" a="1"/>
  <c r="N223" i="4" s="1"/>
  <c r="N222" i="4" a="1"/>
  <c r="N222" i="4" s="1"/>
  <c r="N221" i="4" a="1"/>
  <c r="N221" i="4" s="1"/>
  <c r="N220" i="4" a="1"/>
  <c r="N220" i="4" s="1"/>
  <c r="N219" i="4" a="1"/>
  <c r="N219" i="4" s="1"/>
  <c r="N218" i="4" a="1"/>
  <c r="N218" i="4" s="1"/>
  <c r="N217" i="4" a="1"/>
  <c r="N217" i="4" s="1"/>
  <c r="N216" i="4" a="1"/>
  <c r="N216" i="4" s="1"/>
  <c r="N215" i="4" a="1"/>
  <c r="N215" i="4" s="1"/>
  <c r="N214" i="4" a="1"/>
  <c r="N214" i="4" s="1"/>
  <c r="N213" i="4" a="1"/>
  <c r="N213" i="4" s="1"/>
  <c r="N212" i="4" a="1"/>
  <c r="N212" i="4" s="1"/>
  <c r="N211" i="4" a="1"/>
  <c r="N211" i="4" s="1"/>
  <c r="N210" i="4" a="1"/>
  <c r="N210" i="4" s="1"/>
  <c r="N209" i="4" a="1"/>
  <c r="N209" i="4" s="1"/>
  <c r="N208" i="4" a="1"/>
  <c r="N208" i="4" s="1"/>
  <c r="N207" i="4" a="1"/>
  <c r="N207" i="4" s="1"/>
  <c r="N206" i="4" a="1"/>
  <c r="N206" i="4" s="1"/>
  <c r="N205" i="4" a="1"/>
  <c r="N205" i="4" s="1"/>
  <c r="N204" i="4" a="1"/>
  <c r="N204" i="4" s="1"/>
  <c r="N203" i="4" a="1"/>
  <c r="N203" i="4" s="1"/>
  <c r="N202" i="4" a="1"/>
  <c r="N202" i="4" s="1"/>
  <c r="N201" i="4" a="1"/>
  <c r="N201" i="4" s="1"/>
  <c r="N200" i="4" a="1"/>
  <c r="N200" i="4" s="1"/>
  <c r="N199" i="4" a="1"/>
  <c r="N199" i="4" s="1"/>
  <c r="N198" i="4" a="1"/>
  <c r="N198" i="4" s="1"/>
  <c r="N197" i="4" a="1"/>
  <c r="N197" i="4" s="1"/>
  <c r="N196" i="4" a="1"/>
  <c r="N196" i="4" s="1"/>
  <c r="N195" i="4" a="1"/>
  <c r="N195" i="4" s="1"/>
  <c r="N194" i="4" a="1"/>
  <c r="N194" i="4" s="1"/>
  <c r="N193" i="4" a="1"/>
  <c r="N193" i="4" s="1"/>
  <c r="N192" i="4" a="1"/>
  <c r="N192" i="4" s="1"/>
  <c r="N191" i="4" a="1"/>
  <c r="N191" i="4" s="1"/>
  <c r="N190" i="4" a="1"/>
  <c r="N190" i="4" s="1"/>
  <c r="N189" i="4" a="1"/>
  <c r="N189" i="4" s="1"/>
  <c r="N188" i="4" a="1"/>
  <c r="N188" i="4" s="1"/>
  <c r="N187" i="4" a="1"/>
  <c r="N187" i="4" s="1"/>
  <c r="N186" i="4" a="1"/>
  <c r="N186" i="4" s="1"/>
  <c r="N185" i="4" a="1"/>
  <c r="N185" i="4" s="1"/>
  <c r="N184" i="4" a="1"/>
  <c r="N184" i="4" s="1"/>
  <c r="N183" i="4" a="1"/>
  <c r="N183" i="4" s="1"/>
  <c r="N182" i="4" a="1"/>
  <c r="N182" i="4" s="1"/>
  <c r="N181" i="4" a="1"/>
  <c r="N181" i="4" s="1"/>
  <c r="N180" i="4" a="1"/>
  <c r="N180" i="4" s="1"/>
  <c r="N179" i="4" a="1"/>
  <c r="N179" i="4" s="1"/>
  <c r="N178" i="4" a="1"/>
  <c r="N178" i="4" s="1"/>
  <c r="N177" i="4" a="1"/>
  <c r="N177" i="4" s="1"/>
  <c r="N176" i="4" a="1"/>
  <c r="N176" i="4" s="1"/>
  <c r="N175" i="4" a="1"/>
  <c r="N175" i="4" s="1"/>
  <c r="N174" i="4" a="1"/>
  <c r="N174" i="4" s="1"/>
  <c r="N173" i="4" a="1"/>
  <c r="N173" i="4" s="1"/>
  <c r="N172" i="4" a="1"/>
  <c r="N172" i="4" s="1"/>
  <c r="N171" i="4" a="1"/>
  <c r="N171" i="4" s="1"/>
  <c r="N170" i="4" a="1"/>
  <c r="N170" i="4" s="1"/>
  <c r="N169" i="4" a="1"/>
  <c r="N169" i="4" s="1"/>
  <c r="N168" i="4" a="1"/>
  <c r="N168" i="4" s="1"/>
  <c r="N167" i="4" a="1"/>
  <c r="N167" i="4" s="1"/>
  <c r="N166" i="4" a="1"/>
  <c r="N166" i="4" s="1"/>
  <c r="N165" i="4" a="1"/>
  <c r="N165" i="4" s="1"/>
  <c r="N164" i="4" a="1"/>
  <c r="N164" i="4" s="1"/>
  <c r="N163" i="4" a="1"/>
  <c r="N163" i="4" s="1"/>
  <c r="N162" i="4" a="1"/>
  <c r="N162" i="4" s="1"/>
  <c r="N161" i="4" a="1"/>
  <c r="N161" i="4" s="1"/>
  <c r="N160" i="4" a="1"/>
  <c r="N160" i="4" s="1"/>
  <c r="N159" i="4" a="1"/>
  <c r="N159" i="4" s="1"/>
  <c r="N158" i="4" a="1"/>
  <c r="N158" i="4" s="1"/>
  <c r="N157" i="4" a="1"/>
  <c r="N157" i="4" s="1"/>
  <c r="N156" i="4" a="1"/>
  <c r="N156" i="4" s="1"/>
  <c r="N155" i="4" a="1"/>
  <c r="N155" i="4" s="1"/>
  <c r="N154" i="4" a="1"/>
  <c r="N154" i="4" s="1"/>
  <c r="N153" i="4" a="1"/>
  <c r="N153" i="4" s="1"/>
  <c r="N152" i="4" a="1"/>
  <c r="N152" i="4" s="1"/>
  <c r="N151" i="4" a="1"/>
  <c r="N151" i="4" s="1"/>
  <c r="N150" i="4" a="1"/>
  <c r="N150" i="4" s="1"/>
  <c r="N149" i="4" a="1"/>
  <c r="N149" i="4" s="1"/>
  <c r="N148" i="4" a="1"/>
  <c r="N148" i="4" s="1"/>
  <c r="N147" i="4" a="1"/>
  <c r="N147" i="4" s="1"/>
  <c r="N146" i="4" a="1"/>
  <c r="N146" i="4" s="1"/>
  <c r="N145" i="4" a="1"/>
  <c r="N145" i="4" s="1"/>
  <c r="N144" i="4" a="1"/>
  <c r="N144" i="4" s="1"/>
  <c r="N143" i="4" a="1"/>
  <c r="N143" i="4" s="1"/>
  <c r="N142" i="4" a="1"/>
  <c r="N142" i="4" s="1"/>
  <c r="N141" i="4" a="1"/>
  <c r="N141" i="4" s="1"/>
  <c r="N140" i="4" a="1"/>
  <c r="N140" i="4" s="1"/>
  <c r="N139" i="4" a="1"/>
  <c r="N139" i="4" s="1"/>
  <c r="N138" i="4" a="1"/>
  <c r="N138" i="4" s="1"/>
  <c r="N137" i="4" a="1"/>
  <c r="N137" i="4" s="1"/>
  <c r="N136" i="4" a="1"/>
  <c r="N136" i="4" s="1"/>
  <c r="N135" i="4" a="1"/>
  <c r="N135" i="4" s="1"/>
  <c r="N134" i="4" a="1"/>
  <c r="N134" i="4" s="1"/>
  <c r="N133" i="4" a="1"/>
  <c r="N133" i="4" s="1"/>
  <c r="N132" i="4" a="1"/>
  <c r="N132" i="4" s="1"/>
  <c r="N131" i="4" a="1"/>
  <c r="N131" i="4" s="1"/>
  <c r="N130" i="4" a="1"/>
  <c r="N130" i="4" s="1"/>
  <c r="N129" i="4" a="1"/>
  <c r="N129" i="4" s="1"/>
  <c r="N128" i="4" a="1"/>
  <c r="N128" i="4" s="1"/>
  <c r="N127" i="4" a="1"/>
  <c r="N127" i="4" s="1"/>
  <c r="N126" i="4" a="1"/>
  <c r="N126" i="4" s="1"/>
  <c r="N125" i="4" a="1"/>
  <c r="N125" i="4" s="1"/>
  <c r="N124" i="4" a="1"/>
  <c r="N124" i="4" s="1"/>
  <c r="N123" i="4" a="1"/>
  <c r="N123" i="4" s="1"/>
  <c r="N122" i="4" a="1"/>
  <c r="N122" i="4" s="1"/>
  <c r="N121" i="4" a="1"/>
  <c r="N121" i="4" s="1"/>
  <c r="N120" i="4" a="1"/>
  <c r="N120" i="4" s="1"/>
  <c r="N119" i="4" a="1"/>
  <c r="N119" i="4" s="1"/>
  <c r="N118" i="4" a="1"/>
  <c r="N118" i="4" s="1"/>
  <c r="N117" i="4" a="1"/>
  <c r="N117" i="4" s="1"/>
  <c r="N116" i="4" a="1"/>
  <c r="N116" i="4" s="1"/>
  <c r="N115" i="4" a="1"/>
  <c r="N115" i="4" s="1"/>
  <c r="N114" i="4" a="1"/>
  <c r="N114" i="4" s="1"/>
  <c r="N113" i="4" a="1"/>
  <c r="N113" i="4" s="1"/>
  <c r="N112" i="4" a="1"/>
  <c r="N112" i="4" s="1"/>
  <c r="N111" i="4" a="1"/>
  <c r="N111" i="4" s="1"/>
  <c r="N110" i="4" a="1"/>
  <c r="N110" i="4" s="1"/>
  <c r="N109" i="4" a="1"/>
  <c r="N109" i="4" s="1"/>
  <c r="N108" i="4" a="1"/>
  <c r="N108" i="4" s="1"/>
  <c r="N107" i="4" a="1"/>
  <c r="N107" i="4" s="1"/>
  <c r="N106" i="4" a="1"/>
  <c r="N106" i="4" s="1"/>
  <c r="N105" i="4" a="1"/>
  <c r="N105" i="4" s="1"/>
  <c r="N104" i="4" a="1"/>
  <c r="N104" i="4" s="1"/>
  <c r="N103" i="4" a="1"/>
  <c r="N103" i="4" s="1"/>
  <c r="N102" i="4" a="1"/>
  <c r="N102" i="4" s="1"/>
  <c r="N101" i="4" a="1"/>
  <c r="N101" i="4" s="1"/>
  <c r="N100" i="4" a="1"/>
  <c r="N100" i="4" s="1"/>
  <c r="N99" i="4" a="1"/>
  <c r="N99" i="4" s="1"/>
  <c r="N98" i="4" a="1"/>
  <c r="N98" i="4" s="1"/>
  <c r="N97" i="4" a="1"/>
  <c r="N97" i="4" s="1"/>
  <c r="N96" i="4" a="1"/>
  <c r="N96" i="4" s="1"/>
  <c r="N95" i="4" a="1"/>
  <c r="N95" i="4" s="1"/>
  <c r="N94" i="4" a="1"/>
  <c r="N94" i="4" s="1"/>
  <c r="N93" i="4" a="1"/>
  <c r="N93" i="4" s="1"/>
  <c r="N92" i="4" a="1"/>
  <c r="N92" i="4" s="1"/>
  <c r="N91" i="4" a="1"/>
  <c r="N91" i="4" s="1"/>
  <c r="N90" i="4" a="1"/>
  <c r="N90" i="4" s="1"/>
  <c r="N89" i="4" a="1"/>
  <c r="N89" i="4" s="1"/>
  <c r="N88" i="4" a="1"/>
  <c r="N88" i="4" s="1"/>
  <c r="N87" i="4" a="1"/>
  <c r="N87" i="4" s="1"/>
  <c r="N86" i="4" a="1"/>
  <c r="N86" i="4" s="1"/>
  <c r="N85" i="4" a="1"/>
  <c r="N85" i="4" s="1"/>
  <c r="N84" i="4" a="1"/>
  <c r="N84" i="4" s="1"/>
  <c r="N83" i="4" a="1"/>
  <c r="N83" i="4" s="1"/>
  <c r="N82" i="4" a="1"/>
  <c r="N82" i="4" s="1"/>
  <c r="N81" i="4" a="1"/>
  <c r="N81" i="4" s="1"/>
  <c r="N80" i="4" a="1"/>
  <c r="N80" i="4" s="1"/>
  <c r="N79" i="4" a="1"/>
  <c r="N79" i="4" s="1"/>
  <c r="N78" i="4" a="1"/>
  <c r="N78" i="4" s="1"/>
  <c r="N77" i="4" a="1"/>
  <c r="N77" i="4" s="1"/>
  <c r="N76" i="4" a="1"/>
  <c r="N76" i="4" s="1"/>
  <c r="N75" i="4" a="1"/>
  <c r="N75" i="4" s="1"/>
  <c r="N74" i="4" a="1"/>
  <c r="N74" i="4" s="1"/>
  <c r="N73" i="4" a="1"/>
  <c r="N73" i="4" s="1"/>
  <c r="N72" i="4" a="1"/>
  <c r="N72" i="4" s="1"/>
  <c r="N71" i="4" a="1"/>
  <c r="N71" i="4" s="1"/>
  <c r="N70" i="4" a="1"/>
  <c r="N70" i="4" s="1"/>
  <c r="N69" i="4" a="1"/>
  <c r="N69" i="4" s="1"/>
  <c r="N68" i="4" a="1"/>
  <c r="N68" i="4" s="1"/>
  <c r="N67" i="4" a="1"/>
  <c r="N67" i="4" s="1"/>
  <c r="N66" i="4" a="1"/>
  <c r="N66" i="4" s="1"/>
  <c r="N65" i="4" a="1"/>
  <c r="N65" i="4" s="1"/>
  <c r="N64" i="4" a="1"/>
  <c r="N64" i="4" s="1"/>
  <c r="N63" i="4" a="1"/>
  <c r="N63" i="4" s="1"/>
  <c r="N62" i="4" a="1"/>
  <c r="N62" i="4" s="1"/>
  <c r="N61" i="4" a="1"/>
  <c r="N61" i="4" s="1"/>
  <c r="N60" i="4" a="1"/>
  <c r="N60" i="4" s="1"/>
  <c r="N59" i="4" a="1"/>
  <c r="N59" i="4" s="1"/>
  <c r="N58" i="4" a="1"/>
  <c r="N58" i="4" s="1"/>
  <c r="N57" i="4" a="1"/>
  <c r="N57" i="4" s="1"/>
  <c r="N56" i="4" a="1"/>
  <c r="N56" i="4" s="1"/>
  <c r="N55" i="4" a="1"/>
  <c r="N55" i="4" s="1"/>
  <c r="N54" i="4" a="1"/>
  <c r="N54" i="4" s="1"/>
  <c r="N53" i="4" a="1"/>
  <c r="N53" i="4" s="1"/>
  <c r="N52" i="4" a="1"/>
  <c r="N52" i="4" s="1"/>
  <c r="N51" i="4" a="1"/>
  <c r="N51" i="4" s="1"/>
  <c r="N50" i="4" a="1"/>
  <c r="N50" i="4" s="1"/>
  <c r="N49" i="4" a="1"/>
  <c r="N49" i="4" s="1"/>
  <c r="N48" i="4" a="1"/>
  <c r="N48" i="4" s="1"/>
  <c r="N47" i="4" a="1"/>
  <c r="N47" i="4" s="1"/>
  <c r="N46" i="4" a="1"/>
  <c r="N46" i="4" s="1"/>
  <c r="N45" i="4" a="1"/>
  <c r="N45" i="4" s="1"/>
  <c r="N44" i="4" a="1"/>
  <c r="N44" i="4" s="1"/>
  <c r="N43" i="4" a="1"/>
  <c r="N43" i="4" s="1"/>
  <c r="N42" i="4" a="1"/>
  <c r="N42" i="4" s="1"/>
  <c r="N41" i="4" a="1"/>
  <c r="N41" i="4" s="1"/>
  <c r="N40" i="4" a="1"/>
  <c r="N40" i="4" s="1"/>
  <c r="N39" i="4" a="1"/>
  <c r="N39" i="4" s="1"/>
  <c r="N38" i="4" a="1"/>
  <c r="N38" i="4" s="1"/>
  <c r="N37" i="4" a="1"/>
  <c r="N37" i="4" s="1"/>
  <c r="N36" i="4" a="1"/>
  <c r="N36" i="4" s="1"/>
  <c r="N35" i="4" a="1"/>
  <c r="N35" i="4" s="1"/>
  <c r="N34" i="4" a="1"/>
  <c r="N34" i="4" s="1"/>
  <c r="N33" i="4" a="1"/>
  <c r="N33" i="4" s="1"/>
  <c r="N32" i="4" a="1"/>
  <c r="N32" i="4" s="1"/>
  <c r="L601" i="4" a="1"/>
  <c r="L601" i="4" s="1"/>
  <c r="L600" i="4" a="1"/>
  <c r="L600" i="4" s="1"/>
  <c r="L599" i="4" a="1"/>
  <c r="L599" i="4" s="1"/>
  <c r="L598" i="4" a="1"/>
  <c r="L598" i="4" s="1"/>
  <c r="L597" i="4" a="1"/>
  <c r="L597" i="4" s="1"/>
  <c r="L596" i="4" a="1"/>
  <c r="L596" i="4" s="1"/>
  <c r="L595" i="4" a="1"/>
  <c r="L595" i="4" s="1"/>
  <c r="L594" i="4" a="1"/>
  <c r="L594" i="4" s="1"/>
  <c r="L593" i="4" a="1"/>
  <c r="L593" i="4" s="1"/>
  <c r="L592" i="4" a="1"/>
  <c r="L592" i="4" s="1"/>
  <c r="L591" i="4" a="1"/>
  <c r="L591" i="4" s="1"/>
  <c r="L590" i="4" a="1"/>
  <c r="L590" i="4" s="1"/>
  <c r="L589" i="4" a="1"/>
  <c r="L589" i="4" s="1"/>
  <c r="L588" i="4" a="1"/>
  <c r="L588" i="4" s="1"/>
  <c r="L587" i="4" a="1"/>
  <c r="L587" i="4" s="1"/>
  <c r="L586" i="4" a="1"/>
  <c r="L586" i="4" s="1"/>
  <c r="L585" i="4" a="1"/>
  <c r="L585" i="4" s="1"/>
  <c r="L584" i="4" a="1"/>
  <c r="L584" i="4" s="1"/>
  <c r="L583" i="4" a="1"/>
  <c r="L583" i="4" s="1"/>
  <c r="L582" i="4" a="1"/>
  <c r="L582" i="4" s="1"/>
  <c r="L581" i="4" a="1"/>
  <c r="L581" i="4" s="1"/>
  <c r="L580" i="4" a="1"/>
  <c r="L580" i="4" s="1"/>
  <c r="L579" i="4" a="1"/>
  <c r="L579" i="4" s="1"/>
  <c r="L578" i="4" a="1"/>
  <c r="L578" i="4" s="1"/>
  <c r="L577" i="4" a="1"/>
  <c r="L577" i="4" s="1"/>
  <c r="L576" i="4" a="1"/>
  <c r="L576" i="4" s="1"/>
  <c r="L575" i="4" a="1"/>
  <c r="L575" i="4" s="1"/>
  <c r="L574" i="4" a="1"/>
  <c r="L574" i="4" s="1"/>
  <c r="L573" i="4" a="1"/>
  <c r="L573" i="4" s="1"/>
  <c r="L572" i="4" a="1"/>
  <c r="L572" i="4" s="1"/>
  <c r="L571" i="4" a="1"/>
  <c r="L571" i="4" s="1"/>
  <c r="L570" i="4" a="1"/>
  <c r="L570" i="4" s="1"/>
  <c r="L569" i="4" a="1"/>
  <c r="L569" i="4" s="1"/>
  <c r="L568" i="4" a="1"/>
  <c r="L568" i="4" s="1"/>
  <c r="L567" i="4" a="1"/>
  <c r="L567" i="4" s="1"/>
  <c r="L566" i="4" a="1"/>
  <c r="L566" i="4" s="1"/>
  <c r="L565" i="4" a="1"/>
  <c r="L565" i="4" s="1"/>
  <c r="L564" i="4" a="1"/>
  <c r="L564" i="4" s="1"/>
  <c r="L563" i="4" a="1"/>
  <c r="L563" i="4" s="1"/>
  <c r="L562" i="4" a="1"/>
  <c r="L562" i="4" s="1"/>
  <c r="L561" i="4" a="1"/>
  <c r="L561" i="4" s="1"/>
  <c r="L560" i="4" a="1"/>
  <c r="L560" i="4" s="1"/>
  <c r="L559" i="4" a="1"/>
  <c r="L559" i="4" s="1"/>
  <c r="L558" i="4" a="1"/>
  <c r="L558" i="4" s="1"/>
  <c r="L557" i="4" a="1"/>
  <c r="L557" i="4" s="1"/>
  <c r="L556" i="4" a="1"/>
  <c r="L556" i="4" s="1"/>
  <c r="L555" i="4" a="1"/>
  <c r="L555" i="4" s="1"/>
  <c r="L554" i="4" a="1"/>
  <c r="L554" i="4" s="1"/>
  <c r="L553" i="4" a="1"/>
  <c r="L553" i="4" s="1"/>
  <c r="L552" i="4" a="1"/>
  <c r="L552" i="4" s="1"/>
  <c r="L551" i="4" a="1"/>
  <c r="L551" i="4" s="1"/>
  <c r="L550" i="4" a="1"/>
  <c r="L550" i="4" s="1"/>
  <c r="L549" i="4" a="1"/>
  <c r="L549" i="4" s="1"/>
  <c r="L548" i="4" a="1"/>
  <c r="L548" i="4" s="1"/>
  <c r="L547" i="4" a="1"/>
  <c r="L547" i="4" s="1"/>
  <c r="L546" i="4" a="1"/>
  <c r="L546" i="4" s="1"/>
  <c r="L545" i="4" a="1"/>
  <c r="L545" i="4" s="1"/>
  <c r="L544" i="4" a="1"/>
  <c r="L544" i="4" s="1"/>
  <c r="L543" i="4" a="1"/>
  <c r="L543" i="4" s="1"/>
  <c r="L542" i="4" a="1"/>
  <c r="L542" i="4" s="1"/>
  <c r="L541" i="4" a="1"/>
  <c r="L541" i="4" s="1"/>
  <c r="L540" i="4" a="1"/>
  <c r="L540" i="4" s="1"/>
  <c r="L539" i="4" a="1"/>
  <c r="L539" i="4" s="1"/>
  <c r="L538" i="4" a="1"/>
  <c r="L538" i="4" s="1"/>
  <c r="L537" i="4" a="1"/>
  <c r="L537" i="4" s="1"/>
  <c r="L536" i="4" a="1"/>
  <c r="L536" i="4" s="1"/>
  <c r="L535" i="4" a="1"/>
  <c r="L535" i="4" s="1"/>
  <c r="L534" i="4" a="1"/>
  <c r="L534" i="4" s="1"/>
  <c r="L533" i="4" a="1"/>
  <c r="L533" i="4" s="1"/>
  <c r="L532" i="4" a="1"/>
  <c r="L532" i="4" s="1"/>
  <c r="L531" i="4" a="1"/>
  <c r="L531" i="4" s="1"/>
  <c r="L530" i="4" a="1"/>
  <c r="L530" i="4" s="1"/>
  <c r="L529" i="4" a="1"/>
  <c r="L529" i="4" s="1"/>
  <c r="L528" i="4" a="1"/>
  <c r="L528" i="4" s="1"/>
  <c r="L527" i="4" a="1"/>
  <c r="L527" i="4" s="1"/>
  <c r="L526" i="4" a="1"/>
  <c r="L526" i="4" s="1"/>
  <c r="L525" i="4" a="1"/>
  <c r="L525" i="4" s="1"/>
  <c r="L524" i="4" a="1"/>
  <c r="L524" i="4" s="1"/>
  <c r="L523" i="4" a="1"/>
  <c r="L523" i="4" s="1"/>
  <c r="L522" i="4" a="1"/>
  <c r="L522" i="4" s="1"/>
  <c r="L521" i="4" a="1"/>
  <c r="L521" i="4" s="1"/>
  <c r="L520" i="4" a="1"/>
  <c r="L520" i="4" s="1"/>
  <c r="L519" i="4" a="1"/>
  <c r="L519" i="4" s="1"/>
  <c r="L518" i="4" a="1"/>
  <c r="L518" i="4" s="1"/>
  <c r="L517" i="4" a="1"/>
  <c r="L517" i="4" s="1"/>
  <c r="L516" i="4" a="1"/>
  <c r="L516" i="4" s="1"/>
  <c r="L515" i="4" a="1"/>
  <c r="L515" i="4" s="1"/>
  <c r="L514" i="4" a="1"/>
  <c r="L514" i="4" s="1"/>
  <c r="L513" i="4" a="1"/>
  <c r="L513" i="4" s="1"/>
  <c r="L512" i="4" a="1"/>
  <c r="L512" i="4" s="1"/>
  <c r="L511" i="4" a="1"/>
  <c r="L511" i="4" s="1"/>
  <c r="L510" i="4" a="1"/>
  <c r="L510" i="4" s="1"/>
  <c r="L509" i="4" a="1"/>
  <c r="L509" i="4" s="1"/>
  <c r="L508" i="4" a="1"/>
  <c r="L508" i="4" s="1"/>
  <c r="L507" i="4" a="1"/>
  <c r="L507" i="4" s="1"/>
  <c r="L506" i="4" a="1"/>
  <c r="L506" i="4" s="1"/>
  <c r="L505" i="4" a="1"/>
  <c r="L505" i="4" s="1"/>
  <c r="L504" i="4" a="1"/>
  <c r="L504" i="4" s="1"/>
  <c r="L503" i="4" a="1"/>
  <c r="L503" i="4" s="1"/>
  <c r="L502" i="4" a="1"/>
  <c r="L502" i="4" s="1"/>
  <c r="L501" i="4" a="1"/>
  <c r="L501" i="4" s="1"/>
  <c r="L500" i="4" a="1"/>
  <c r="L500" i="4" s="1"/>
  <c r="L499" i="4" a="1"/>
  <c r="L499" i="4" s="1"/>
  <c r="L498" i="4" a="1"/>
  <c r="L498" i="4" s="1"/>
  <c r="L497" i="4" a="1"/>
  <c r="L497" i="4" s="1"/>
  <c r="L496" i="4" a="1"/>
  <c r="L496" i="4" s="1"/>
  <c r="L495" i="4" a="1"/>
  <c r="L495" i="4" s="1"/>
  <c r="L494" i="4" a="1"/>
  <c r="L494" i="4" s="1"/>
  <c r="L493" i="4" a="1"/>
  <c r="L493" i="4" s="1"/>
  <c r="L492" i="4" a="1"/>
  <c r="L492" i="4" s="1"/>
  <c r="L491" i="4" a="1"/>
  <c r="L491" i="4" s="1"/>
  <c r="L490" i="4" a="1"/>
  <c r="L490" i="4" s="1"/>
  <c r="L489" i="4" a="1"/>
  <c r="L489" i="4" s="1"/>
  <c r="L488" i="4" a="1"/>
  <c r="L488" i="4" s="1"/>
  <c r="L487" i="4" a="1"/>
  <c r="L487" i="4" s="1"/>
  <c r="L486" i="4" a="1"/>
  <c r="L486" i="4" s="1"/>
  <c r="L485" i="4" a="1"/>
  <c r="L485" i="4" s="1"/>
  <c r="L484" i="4" a="1"/>
  <c r="L484" i="4" s="1"/>
  <c r="L483" i="4" a="1"/>
  <c r="L483" i="4" s="1"/>
  <c r="L482" i="4" a="1"/>
  <c r="L482" i="4" s="1"/>
  <c r="L481" i="4" a="1"/>
  <c r="L481" i="4" s="1"/>
  <c r="L480" i="4" a="1"/>
  <c r="L480" i="4" s="1"/>
  <c r="L479" i="4" a="1"/>
  <c r="L479" i="4" s="1"/>
  <c r="L478" i="4" a="1"/>
  <c r="L478" i="4" s="1"/>
  <c r="L477" i="4" a="1"/>
  <c r="L477" i="4" s="1"/>
  <c r="L476" i="4" a="1"/>
  <c r="L476" i="4" s="1"/>
  <c r="L475" i="4" a="1"/>
  <c r="L475" i="4" s="1"/>
  <c r="L474" i="4" a="1"/>
  <c r="L474" i="4" s="1"/>
  <c r="L473" i="4" a="1"/>
  <c r="L473" i="4" s="1"/>
  <c r="L472" i="4" a="1"/>
  <c r="L472" i="4" s="1"/>
  <c r="L471" i="4" a="1"/>
  <c r="L471" i="4" s="1"/>
  <c r="L470" i="4" a="1"/>
  <c r="L470" i="4" s="1"/>
  <c r="L469" i="4" a="1"/>
  <c r="L469" i="4" s="1"/>
  <c r="L468" i="4" a="1"/>
  <c r="L468" i="4" s="1"/>
  <c r="L467" i="4" a="1"/>
  <c r="L467" i="4" s="1"/>
  <c r="L466" i="4" a="1"/>
  <c r="L466" i="4" s="1"/>
  <c r="L465" i="4" a="1"/>
  <c r="L465" i="4" s="1"/>
  <c r="L464" i="4" a="1"/>
  <c r="L464" i="4" s="1"/>
  <c r="L463" i="4" a="1"/>
  <c r="L463" i="4" s="1"/>
  <c r="L462" i="4" a="1"/>
  <c r="L462" i="4" s="1"/>
  <c r="L461" i="4" a="1"/>
  <c r="L461" i="4" s="1"/>
  <c r="L460" i="4" a="1"/>
  <c r="L460" i="4" s="1"/>
  <c r="L459" i="4" a="1"/>
  <c r="L459" i="4" s="1"/>
  <c r="L458" i="4" a="1"/>
  <c r="L458" i="4" s="1"/>
  <c r="L457" i="4" a="1"/>
  <c r="L457" i="4" s="1"/>
  <c r="L456" i="4" a="1"/>
  <c r="L456" i="4" s="1"/>
  <c r="L455" i="4" a="1"/>
  <c r="L455" i="4" s="1"/>
  <c r="L454" i="4" a="1"/>
  <c r="L454" i="4" s="1"/>
  <c r="L453" i="4" a="1"/>
  <c r="L453" i="4" s="1"/>
  <c r="L452" i="4" a="1"/>
  <c r="L452" i="4" s="1"/>
  <c r="L451" i="4" a="1"/>
  <c r="L451" i="4" s="1"/>
  <c r="L450" i="4" a="1"/>
  <c r="L450" i="4" s="1"/>
  <c r="L449" i="4" a="1"/>
  <c r="L449" i="4" s="1"/>
  <c r="L448" i="4" a="1"/>
  <c r="L448" i="4" s="1"/>
  <c r="L447" i="4" a="1"/>
  <c r="L447" i="4" s="1"/>
  <c r="L446" i="4" a="1"/>
  <c r="L446" i="4" s="1"/>
  <c r="L445" i="4" a="1"/>
  <c r="L445" i="4" s="1"/>
  <c r="L444" i="4" a="1"/>
  <c r="L444" i="4" s="1"/>
  <c r="L443" i="4" a="1"/>
  <c r="L443" i="4" s="1"/>
  <c r="L442" i="4" a="1"/>
  <c r="L442" i="4" s="1"/>
  <c r="L441" i="4" a="1"/>
  <c r="L441" i="4" s="1"/>
  <c r="L440" i="4" a="1"/>
  <c r="L440" i="4" s="1"/>
  <c r="L439" i="4" a="1"/>
  <c r="L439" i="4" s="1"/>
  <c r="L438" i="4" a="1"/>
  <c r="L438" i="4" s="1"/>
  <c r="L437" i="4" a="1"/>
  <c r="L437" i="4" s="1"/>
  <c r="L436" i="4" a="1"/>
  <c r="L436" i="4" s="1"/>
  <c r="L435" i="4" a="1"/>
  <c r="L435" i="4" s="1"/>
  <c r="L434" i="4" a="1"/>
  <c r="L434" i="4" s="1"/>
  <c r="L433" i="4" a="1"/>
  <c r="L433" i="4" s="1"/>
  <c r="L432" i="4" a="1"/>
  <c r="L432" i="4" s="1"/>
  <c r="L431" i="4" a="1"/>
  <c r="L431" i="4" s="1"/>
  <c r="L430" i="4" a="1"/>
  <c r="L430" i="4" s="1"/>
  <c r="L429" i="4" a="1"/>
  <c r="L429" i="4" s="1"/>
  <c r="L428" i="4" a="1"/>
  <c r="L428" i="4" s="1"/>
  <c r="L427" i="4" a="1"/>
  <c r="L427" i="4" s="1"/>
  <c r="L426" i="4" a="1"/>
  <c r="L426" i="4" s="1"/>
  <c r="L425" i="4" a="1"/>
  <c r="L425" i="4" s="1"/>
  <c r="L424" i="4" a="1"/>
  <c r="L424" i="4" s="1"/>
  <c r="L423" i="4" a="1"/>
  <c r="L423" i="4" s="1"/>
  <c r="L422" i="4" a="1"/>
  <c r="L422" i="4" s="1"/>
  <c r="L421" i="4" a="1"/>
  <c r="L421" i="4" s="1"/>
  <c r="L420" i="4" a="1"/>
  <c r="L420" i="4" s="1"/>
  <c r="L419" i="4" a="1"/>
  <c r="L419" i="4" s="1"/>
  <c r="L418" i="4" a="1"/>
  <c r="L418" i="4" s="1"/>
  <c r="L417" i="4" a="1"/>
  <c r="L417" i="4" s="1"/>
  <c r="L416" i="4" a="1"/>
  <c r="L416" i="4" s="1"/>
  <c r="L415" i="4" a="1"/>
  <c r="L415" i="4" s="1"/>
  <c r="L414" i="4" a="1"/>
  <c r="L414" i="4" s="1"/>
  <c r="L413" i="4" a="1"/>
  <c r="L413" i="4" s="1"/>
  <c r="L412" i="4" a="1"/>
  <c r="L412" i="4" s="1"/>
  <c r="L411" i="4" a="1"/>
  <c r="L411" i="4" s="1"/>
  <c r="L410" i="4" a="1"/>
  <c r="L410" i="4" s="1"/>
  <c r="L409" i="4" a="1"/>
  <c r="L409" i="4" s="1"/>
  <c r="L408" i="4" a="1"/>
  <c r="L408" i="4" s="1"/>
  <c r="L407" i="4" a="1"/>
  <c r="L407" i="4" s="1"/>
  <c r="L406" i="4" a="1"/>
  <c r="L406" i="4" s="1"/>
  <c r="L405" i="4" a="1"/>
  <c r="L405" i="4" s="1"/>
  <c r="L404" i="4" a="1"/>
  <c r="L404" i="4" s="1"/>
  <c r="L403" i="4" a="1"/>
  <c r="L403" i="4" s="1"/>
  <c r="L402" i="4" a="1"/>
  <c r="L402" i="4" s="1"/>
  <c r="L401" i="4" a="1"/>
  <c r="L401" i="4" s="1"/>
  <c r="L400" i="4" a="1"/>
  <c r="L400" i="4" s="1"/>
  <c r="L399" i="4" a="1"/>
  <c r="L399" i="4" s="1"/>
  <c r="L398" i="4" a="1"/>
  <c r="L398" i="4" s="1"/>
  <c r="L397" i="4" a="1"/>
  <c r="L397" i="4" s="1"/>
  <c r="L396" i="4" a="1"/>
  <c r="L396" i="4" s="1"/>
  <c r="L395" i="4" a="1"/>
  <c r="L395" i="4" s="1"/>
  <c r="L394" i="4" a="1"/>
  <c r="L394" i="4" s="1"/>
  <c r="L393" i="4" a="1"/>
  <c r="L393" i="4" s="1"/>
  <c r="L392" i="4" a="1"/>
  <c r="L392" i="4" s="1"/>
  <c r="L391" i="4" a="1"/>
  <c r="L391" i="4" s="1"/>
  <c r="L390" i="4" a="1"/>
  <c r="L390" i="4" s="1"/>
  <c r="L389" i="4" a="1"/>
  <c r="L389" i="4" s="1"/>
  <c r="L388" i="4" a="1"/>
  <c r="L388" i="4" s="1"/>
  <c r="L387" i="4" a="1"/>
  <c r="L387" i="4" s="1"/>
  <c r="L386" i="4" a="1"/>
  <c r="L386" i="4" s="1"/>
  <c r="L385" i="4" a="1"/>
  <c r="L385" i="4" s="1"/>
  <c r="L384" i="4" a="1"/>
  <c r="L384" i="4" s="1"/>
  <c r="L383" i="4" a="1"/>
  <c r="L383" i="4" s="1"/>
  <c r="L382" i="4" a="1"/>
  <c r="L382" i="4" s="1"/>
  <c r="L381" i="4" a="1"/>
  <c r="L381" i="4" s="1"/>
  <c r="L380" i="4" a="1"/>
  <c r="L380" i="4" s="1"/>
  <c r="L379" i="4" a="1"/>
  <c r="L379" i="4" s="1"/>
  <c r="L378" i="4" a="1"/>
  <c r="L378" i="4" s="1"/>
  <c r="L377" i="4" a="1"/>
  <c r="L377" i="4" s="1"/>
  <c r="L376" i="4" a="1"/>
  <c r="L376" i="4" s="1"/>
  <c r="L375" i="4" a="1"/>
  <c r="L375" i="4" s="1"/>
  <c r="L374" i="4" a="1"/>
  <c r="L374" i="4" s="1"/>
  <c r="L373" i="4" a="1"/>
  <c r="L373" i="4" s="1"/>
  <c r="L372" i="4" a="1"/>
  <c r="L372" i="4" s="1"/>
  <c r="L371" i="4" a="1"/>
  <c r="L371" i="4" s="1"/>
  <c r="L370" i="4" a="1"/>
  <c r="L370" i="4" s="1"/>
  <c r="L369" i="4" a="1"/>
  <c r="L369" i="4" s="1"/>
  <c r="L368" i="4" a="1"/>
  <c r="L368" i="4" s="1"/>
  <c r="L367" i="4" a="1"/>
  <c r="L367" i="4" s="1"/>
  <c r="L366" i="4" a="1"/>
  <c r="L366" i="4" s="1"/>
  <c r="L365" i="4" a="1"/>
  <c r="L365" i="4" s="1"/>
  <c r="L364" i="4" a="1"/>
  <c r="L364" i="4" s="1"/>
  <c r="L363" i="4" a="1"/>
  <c r="L363" i="4" s="1"/>
  <c r="L362" i="4" a="1"/>
  <c r="L362" i="4" s="1"/>
  <c r="L361" i="4" a="1"/>
  <c r="L361" i="4" s="1"/>
  <c r="L360" i="4" a="1"/>
  <c r="L360" i="4" s="1"/>
  <c r="L359" i="4" a="1"/>
  <c r="L359" i="4" s="1"/>
  <c r="L358" i="4" a="1"/>
  <c r="L358" i="4" s="1"/>
  <c r="L357" i="4" a="1"/>
  <c r="L357" i="4" s="1"/>
  <c r="L356" i="4" a="1"/>
  <c r="L356" i="4" s="1"/>
  <c r="L355" i="4" a="1"/>
  <c r="L355" i="4" s="1"/>
  <c r="L354" i="4" a="1"/>
  <c r="L354" i="4" s="1"/>
  <c r="L353" i="4" a="1"/>
  <c r="L353" i="4" s="1"/>
  <c r="L352" i="4" a="1"/>
  <c r="L352" i="4" s="1"/>
  <c r="L351" i="4" a="1"/>
  <c r="L351" i="4" s="1"/>
  <c r="L350" i="4" a="1"/>
  <c r="L350" i="4" s="1"/>
  <c r="L349" i="4" a="1"/>
  <c r="L349" i="4" s="1"/>
  <c r="L348" i="4" a="1"/>
  <c r="L348" i="4" s="1"/>
  <c r="L347" i="4" a="1"/>
  <c r="L347" i="4" s="1"/>
  <c r="L346" i="4" a="1"/>
  <c r="L346" i="4" s="1"/>
  <c r="L345" i="4" a="1"/>
  <c r="L345" i="4" s="1"/>
  <c r="L344" i="4" a="1"/>
  <c r="L344" i="4" s="1"/>
  <c r="L343" i="4" a="1"/>
  <c r="L343" i="4" s="1"/>
  <c r="L342" i="4" a="1"/>
  <c r="L342" i="4" s="1"/>
  <c r="L341" i="4" a="1"/>
  <c r="L341" i="4" s="1"/>
  <c r="L340" i="4" a="1"/>
  <c r="L340" i="4" s="1"/>
  <c r="L339" i="4" a="1"/>
  <c r="L339" i="4" s="1"/>
  <c r="L338" i="4" a="1"/>
  <c r="L338" i="4" s="1"/>
  <c r="L337" i="4" a="1"/>
  <c r="L337" i="4" s="1"/>
  <c r="L336" i="4" a="1"/>
  <c r="L336" i="4" s="1"/>
  <c r="L335" i="4" a="1"/>
  <c r="L335" i="4" s="1"/>
  <c r="L334" i="4" a="1"/>
  <c r="L334" i="4" s="1"/>
  <c r="L333" i="4" a="1"/>
  <c r="L333" i="4" s="1"/>
  <c r="L332" i="4" a="1"/>
  <c r="L332" i="4" s="1"/>
  <c r="L331" i="4" a="1"/>
  <c r="L331" i="4" s="1"/>
  <c r="L330" i="4" a="1"/>
  <c r="L330" i="4" s="1"/>
  <c r="L329" i="4" a="1"/>
  <c r="L329" i="4" s="1"/>
  <c r="L328" i="4" a="1"/>
  <c r="L328" i="4" s="1"/>
  <c r="L327" i="4" a="1"/>
  <c r="L327" i="4" s="1"/>
  <c r="L326" i="4" a="1"/>
  <c r="L326" i="4" s="1"/>
  <c r="L325" i="4" a="1"/>
  <c r="L325" i="4" s="1"/>
  <c r="L324" i="4" a="1"/>
  <c r="L324" i="4" s="1"/>
  <c r="L323" i="4" a="1"/>
  <c r="L323" i="4" s="1"/>
  <c r="L322" i="4" a="1"/>
  <c r="L322" i="4" s="1"/>
  <c r="L321" i="4" a="1"/>
  <c r="L321" i="4" s="1"/>
  <c r="L320" i="4" a="1"/>
  <c r="L320" i="4" s="1"/>
  <c r="L319" i="4" a="1"/>
  <c r="L319" i="4" s="1"/>
  <c r="L318" i="4" a="1"/>
  <c r="L318" i="4" s="1"/>
  <c r="L317" i="4" a="1"/>
  <c r="L317" i="4" s="1"/>
  <c r="L316" i="4" a="1"/>
  <c r="L316" i="4" s="1"/>
  <c r="L315" i="4" a="1"/>
  <c r="L315" i="4" s="1"/>
  <c r="L314" i="4" a="1"/>
  <c r="L314" i="4" s="1"/>
  <c r="L313" i="4" a="1"/>
  <c r="L313" i="4" s="1"/>
  <c r="L312" i="4" a="1"/>
  <c r="L312" i="4" s="1"/>
  <c r="L311" i="4" a="1"/>
  <c r="L311" i="4" s="1"/>
  <c r="L310" i="4" a="1"/>
  <c r="L310" i="4" s="1"/>
  <c r="L309" i="4" a="1"/>
  <c r="L309" i="4" s="1"/>
  <c r="L308" i="4" a="1"/>
  <c r="L308" i="4" s="1"/>
  <c r="L307" i="4" a="1"/>
  <c r="L307" i="4" s="1"/>
  <c r="L306" i="4" a="1"/>
  <c r="L306" i="4" s="1"/>
  <c r="L305" i="4" a="1"/>
  <c r="L305" i="4" s="1"/>
  <c r="L304" i="4" a="1"/>
  <c r="L304" i="4" s="1"/>
  <c r="L303" i="4" a="1"/>
  <c r="L303" i="4" s="1"/>
  <c r="L302" i="4" a="1"/>
  <c r="L302" i="4" s="1"/>
  <c r="L301" i="4" a="1"/>
  <c r="L301" i="4" s="1"/>
  <c r="L300" i="4" a="1"/>
  <c r="L300" i="4" s="1"/>
  <c r="L299" i="4" a="1"/>
  <c r="L299" i="4" s="1"/>
  <c r="L298" i="4" a="1"/>
  <c r="L298" i="4" s="1"/>
  <c r="L297" i="4" a="1"/>
  <c r="L297" i="4" s="1"/>
  <c r="L296" i="4" a="1"/>
  <c r="L296" i="4" s="1"/>
  <c r="L295" i="4" a="1"/>
  <c r="L295" i="4" s="1"/>
  <c r="L294" i="4" a="1"/>
  <c r="L294" i="4" s="1"/>
  <c r="L293" i="4" a="1"/>
  <c r="L293" i="4" s="1"/>
  <c r="L292" i="4" a="1"/>
  <c r="L292" i="4" s="1"/>
  <c r="L291" i="4" a="1"/>
  <c r="L291" i="4" s="1"/>
  <c r="L290" i="4" a="1"/>
  <c r="L290" i="4" s="1"/>
  <c r="L289" i="4" a="1"/>
  <c r="L289" i="4" s="1"/>
  <c r="L288" i="4" a="1"/>
  <c r="L288" i="4" s="1"/>
  <c r="L287" i="4" a="1"/>
  <c r="L287" i="4" s="1"/>
  <c r="L286" i="4" a="1"/>
  <c r="L286" i="4" s="1"/>
  <c r="L285" i="4" a="1"/>
  <c r="L285" i="4" s="1"/>
  <c r="L284" i="4" a="1"/>
  <c r="L284" i="4" s="1"/>
  <c r="L283" i="4" a="1"/>
  <c r="L283" i="4" s="1"/>
  <c r="L282" i="4" a="1"/>
  <c r="L282" i="4" s="1"/>
  <c r="L281" i="4" a="1"/>
  <c r="L281" i="4" s="1"/>
  <c r="L280" i="4" a="1"/>
  <c r="L280" i="4" s="1"/>
  <c r="L279" i="4" a="1"/>
  <c r="L279" i="4" s="1"/>
  <c r="L278" i="4" a="1"/>
  <c r="L278" i="4" s="1"/>
  <c r="L277" i="4" a="1"/>
  <c r="L277" i="4" s="1"/>
  <c r="L276" i="4" a="1"/>
  <c r="L276" i="4" s="1"/>
  <c r="L275" i="4" a="1"/>
  <c r="L275" i="4" s="1"/>
  <c r="L274" i="4" a="1"/>
  <c r="L274" i="4" s="1"/>
  <c r="L273" i="4" a="1"/>
  <c r="L273" i="4" s="1"/>
  <c r="L272" i="4" a="1"/>
  <c r="L272" i="4" s="1"/>
  <c r="L271" i="4" a="1"/>
  <c r="L271" i="4" s="1"/>
  <c r="L270" i="4" a="1"/>
  <c r="L270" i="4" s="1"/>
  <c r="L269" i="4" a="1"/>
  <c r="L269" i="4" s="1"/>
  <c r="L268" i="4" a="1"/>
  <c r="L268" i="4" s="1"/>
  <c r="L267" i="4" a="1"/>
  <c r="L267" i="4" s="1"/>
  <c r="L266" i="4" a="1"/>
  <c r="L266" i="4" s="1"/>
  <c r="L265" i="4" a="1"/>
  <c r="L265" i="4" s="1"/>
  <c r="L264" i="4" a="1"/>
  <c r="L264" i="4" s="1"/>
  <c r="L263" i="4" a="1"/>
  <c r="L263" i="4" s="1"/>
  <c r="L262" i="4" a="1"/>
  <c r="L262" i="4" s="1"/>
  <c r="L261" i="4" a="1"/>
  <c r="L261" i="4" s="1"/>
  <c r="L260" i="4" a="1"/>
  <c r="L260" i="4" s="1"/>
  <c r="L259" i="4" a="1"/>
  <c r="L259" i="4" s="1"/>
  <c r="L258" i="4" a="1"/>
  <c r="L258" i="4" s="1"/>
  <c r="L257" i="4" a="1"/>
  <c r="L257" i="4" s="1"/>
  <c r="L256" i="4" a="1"/>
  <c r="L256" i="4" s="1"/>
  <c r="L255" i="4" a="1"/>
  <c r="L255" i="4" s="1"/>
  <c r="L254" i="4" a="1"/>
  <c r="L254" i="4" s="1"/>
  <c r="L253" i="4" a="1"/>
  <c r="L253" i="4" s="1"/>
  <c r="L252" i="4" a="1"/>
  <c r="L252" i="4" s="1"/>
  <c r="L251" i="4" a="1"/>
  <c r="L251" i="4" s="1"/>
  <c r="L250" i="4" a="1"/>
  <c r="L250" i="4" s="1"/>
  <c r="L249" i="4" a="1"/>
  <c r="L249" i="4" s="1"/>
  <c r="L248" i="4" a="1"/>
  <c r="L248" i="4" s="1"/>
  <c r="L247" i="4" a="1"/>
  <c r="L247" i="4" s="1"/>
  <c r="L246" i="4" a="1"/>
  <c r="L246" i="4" s="1"/>
  <c r="L245" i="4" a="1"/>
  <c r="L245" i="4" s="1"/>
  <c r="L244" i="4" a="1"/>
  <c r="L244" i="4" s="1"/>
  <c r="L243" i="4" a="1"/>
  <c r="L243" i="4" s="1"/>
  <c r="L242" i="4" a="1"/>
  <c r="L242" i="4" s="1"/>
  <c r="L241" i="4" a="1"/>
  <c r="L241" i="4" s="1"/>
  <c r="L240" i="4" a="1"/>
  <c r="L240" i="4" s="1"/>
  <c r="L239" i="4" a="1"/>
  <c r="L239" i="4" s="1"/>
  <c r="L238" i="4" a="1"/>
  <c r="L238" i="4" s="1"/>
  <c r="L237" i="4" a="1"/>
  <c r="L237" i="4" s="1"/>
  <c r="L236" i="4" a="1"/>
  <c r="L236" i="4" s="1"/>
  <c r="L235" i="4" a="1"/>
  <c r="L235" i="4" s="1"/>
  <c r="L234" i="4" a="1"/>
  <c r="L234" i="4" s="1"/>
  <c r="L233" i="4" a="1"/>
  <c r="L233" i="4" s="1"/>
  <c r="L232" i="4"/>
  <c r="L232" i="4" a="1"/>
  <c r="L231" i="4" a="1"/>
  <c r="L231" i="4" s="1"/>
  <c r="L230" i="4" a="1"/>
  <c r="L230" i="4" s="1"/>
  <c r="L229" i="4" a="1"/>
  <c r="L229" i="4" s="1"/>
  <c r="L228" i="4" a="1"/>
  <c r="L228" i="4" s="1"/>
  <c r="L227" i="4" a="1"/>
  <c r="L227" i="4" s="1"/>
  <c r="L226" i="4" a="1"/>
  <c r="L226" i="4" s="1"/>
  <c r="L225" i="4" a="1"/>
  <c r="L225" i="4" s="1"/>
  <c r="L224" i="4" a="1"/>
  <c r="L224" i="4" s="1"/>
  <c r="L223" i="4" a="1"/>
  <c r="L223" i="4" s="1"/>
  <c r="L222" i="4" a="1"/>
  <c r="L222" i="4" s="1"/>
  <c r="L221" i="4" a="1"/>
  <c r="L221" i="4" s="1"/>
  <c r="L220" i="4" a="1"/>
  <c r="L220" i="4" s="1"/>
  <c r="L219" i="4" a="1"/>
  <c r="L219" i="4" s="1"/>
  <c r="L218" i="4" a="1"/>
  <c r="L218" i="4" s="1"/>
  <c r="L217" i="4" a="1"/>
  <c r="L217" i="4" s="1"/>
  <c r="L216" i="4"/>
  <c r="L216" i="4" a="1"/>
  <c r="L215" i="4" a="1"/>
  <c r="L215" i="4" s="1"/>
  <c r="L214" i="4" a="1"/>
  <c r="L214" i="4" s="1"/>
  <c r="L213" i="4" a="1"/>
  <c r="L213" i="4" s="1"/>
  <c r="L212" i="4" a="1"/>
  <c r="L212" i="4" s="1"/>
  <c r="L211" i="4" a="1"/>
  <c r="L211" i="4" s="1"/>
  <c r="L210" i="4" a="1"/>
  <c r="L210" i="4" s="1"/>
  <c r="L209" i="4" a="1"/>
  <c r="L209" i="4" s="1"/>
  <c r="L208" i="4" a="1"/>
  <c r="L208" i="4" s="1"/>
  <c r="L207" i="4" a="1"/>
  <c r="L207" i="4" s="1"/>
  <c r="L206" i="4" a="1"/>
  <c r="L206" i="4" s="1"/>
  <c r="L205" i="4" a="1"/>
  <c r="L205" i="4" s="1"/>
  <c r="L204" i="4" a="1"/>
  <c r="L204" i="4" s="1"/>
  <c r="L203" i="4" a="1"/>
  <c r="L203" i="4" s="1"/>
  <c r="L202" i="4" a="1"/>
  <c r="L202" i="4" s="1"/>
  <c r="L201" i="4" a="1"/>
  <c r="L201" i="4" s="1"/>
  <c r="L200" i="4" a="1"/>
  <c r="L200" i="4" s="1"/>
  <c r="L199" i="4" a="1"/>
  <c r="L199" i="4" s="1"/>
  <c r="L198" i="4" a="1"/>
  <c r="L198" i="4" s="1"/>
  <c r="L197" i="4" a="1"/>
  <c r="L197" i="4" s="1"/>
  <c r="L196" i="4" a="1"/>
  <c r="L196" i="4" s="1"/>
  <c r="L195" i="4" a="1"/>
  <c r="L195" i="4" s="1"/>
  <c r="L194" i="4" a="1"/>
  <c r="L194" i="4" s="1"/>
  <c r="L193" i="4" a="1"/>
  <c r="L193" i="4" s="1"/>
  <c r="L192" i="4" a="1"/>
  <c r="L192" i="4" s="1"/>
  <c r="L191" i="4" a="1"/>
  <c r="L191" i="4" s="1"/>
  <c r="L190" i="4" a="1"/>
  <c r="L190" i="4" s="1"/>
  <c r="L189" i="4" a="1"/>
  <c r="L189" i="4" s="1"/>
  <c r="L188" i="4" a="1"/>
  <c r="L188" i="4" s="1"/>
  <c r="L187" i="4" a="1"/>
  <c r="L187" i="4" s="1"/>
  <c r="L186" i="4" a="1"/>
  <c r="L186" i="4" s="1"/>
  <c r="L185" i="4" a="1"/>
  <c r="L185" i="4" s="1"/>
  <c r="L184" i="4"/>
  <c r="L184" i="4" a="1"/>
  <c r="L183" i="4" a="1"/>
  <c r="L183" i="4" s="1"/>
  <c r="L182" i="4" a="1"/>
  <c r="L182" i="4" s="1"/>
  <c r="L181" i="4" a="1"/>
  <c r="L181" i="4" s="1"/>
  <c r="L180" i="4" a="1"/>
  <c r="L180" i="4" s="1"/>
  <c r="L179" i="4" a="1"/>
  <c r="L179" i="4" s="1"/>
  <c r="L178" i="4" a="1"/>
  <c r="L178" i="4" s="1"/>
  <c r="L177" i="4" a="1"/>
  <c r="L177" i="4" s="1"/>
  <c r="L176" i="4" a="1"/>
  <c r="L176" i="4" s="1"/>
  <c r="L175" i="4" a="1"/>
  <c r="L175" i="4" s="1"/>
  <c r="L174" i="4" a="1"/>
  <c r="L174" i="4" s="1"/>
  <c r="L173" i="4" a="1"/>
  <c r="L173" i="4" s="1"/>
  <c r="L172" i="4" a="1"/>
  <c r="L172" i="4" s="1"/>
  <c r="L171" i="4" a="1"/>
  <c r="L171" i="4" s="1"/>
  <c r="L170" i="4" a="1"/>
  <c r="L170" i="4" s="1"/>
  <c r="L169" i="4" a="1"/>
  <c r="L169" i="4" s="1"/>
  <c r="L168" i="4"/>
  <c r="L168" i="4" a="1"/>
  <c r="L167" i="4" a="1"/>
  <c r="L167" i="4" s="1"/>
  <c r="L166" i="4" a="1"/>
  <c r="L166" i="4" s="1"/>
  <c r="L165" i="4" a="1"/>
  <c r="L165" i="4" s="1"/>
  <c r="L164" i="4" a="1"/>
  <c r="L164" i="4" s="1"/>
  <c r="L163" i="4" a="1"/>
  <c r="L163" i="4" s="1"/>
  <c r="L162" i="4" a="1"/>
  <c r="L162" i="4" s="1"/>
  <c r="L161" i="4" a="1"/>
  <c r="L161" i="4" s="1"/>
  <c r="L160" i="4" a="1"/>
  <c r="L160" i="4" s="1"/>
  <c r="L159" i="4" a="1"/>
  <c r="L159" i="4" s="1"/>
  <c r="L158" i="4" a="1"/>
  <c r="L158" i="4" s="1"/>
  <c r="L157" i="4" a="1"/>
  <c r="L157" i="4" s="1"/>
  <c r="L156" i="4" a="1"/>
  <c r="L156" i="4" s="1"/>
  <c r="L155" i="4" a="1"/>
  <c r="L155" i="4" s="1"/>
  <c r="L154" i="4" a="1"/>
  <c r="L154" i="4" s="1"/>
  <c r="L153" i="4" a="1"/>
  <c r="L153" i="4" s="1"/>
  <c r="L152" i="4"/>
  <c r="L152" i="4" a="1"/>
  <c r="L151" i="4" a="1"/>
  <c r="L151" i="4" s="1"/>
  <c r="L150" i="4" a="1"/>
  <c r="L150" i="4" s="1"/>
  <c r="L149" i="4" a="1"/>
  <c r="L149" i="4" s="1"/>
  <c r="L148" i="4" a="1"/>
  <c r="L148" i="4" s="1"/>
  <c r="L147" i="4" a="1"/>
  <c r="L147" i="4" s="1"/>
  <c r="L146" i="4" a="1"/>
  <c r="L146" i="4" s="1"/>
  <c r="L145" i="4" a="1"/>
  <c r="L145" i="4" s="1"/>
  <c r="L144" i="4" a="1"/>
  <c r="L144" i="4" s="1"/>
  <c r="L143" i="4" a="1"/>
  <c r="L143" i="4" s="1"/>
  <c r="L142" i="4" a="1"/>
  <c r="L142" i="4" s="1"/>
  <c r="L141" i="4" a="1"/>
  <c r="L141" i="4" s="1"/>
  <c r="L140" i="4" a="1"/>
  <c r="L140" i="4" s="1"/>
  <c r="L139" i="4" a="1"/>
  <c r="L139" i="4" s="1"/>
  <c r="L138" i="4" a="1"/>
  <c r="L138" i="4" s="1"/>
  <c r="L137" i="4" a="1"/>
  <c r="L137" i="4" s="1"/>
  <c r="L136" i="4" a="1"/>
  <c r="L136" i="4" s="1"/>
  <c r="L135" i="4" a="1"/>
  <c r="L135" i="4" s="1"/>
  <c r="L134" i="4" a="1"/>
  <c r="L134" i="4" s="1"/>
  <c r="L133" i="4" a="1"/>
  <c r="L133" i="4" s="1"/>
  <c r="L132" i="4" a="1"/>
  <c r="L132" i="4" s="1"/>
  <c r="L131" i="4" a="1"/>
  <c r="L131" i="4" s="1"/>
  <c r="L130" i="4" a="1"/>
  <c r="L130" i="4" s="1"/>
  <c r="L129" i="4" a="1"/>
  <c r="L129" i="4" s="1"/>
  <c r="L128" i="4" a="1"/>
  <c r="L128" i="4" s="1"/>
  <c r="L127" i="4" a="1"/>
  <c r="L127" i="4" s="1"/>
  <c r="L126" i="4" a="1"/>
  <c r="L126" i="4" s="1"/>
  <c r="L125" i="4" a="1"/>
  <c r="L125" i="4" s="1"/>
  <c r="L124" i="4" a="1"/>
  <c r="L124" i="4" s="1"/>
  <c r="L123" i="4" a="1"/>
  <c r="L123" i="4" s="1"/>
  <c r="L122" i="4" a="1"/>
  <c r="L122" i="4" s="1"/>
  <c r="L121" i="4" a="1"/>
  <c r="L121" i="4" s="1"/>
  <c r="L120" i="4" a="1"/>
  <c r="L120" i="4" s="1"/>
  <c r="L119" i="4" a="1"/>
  <c r="L119" i="4" s="1"/>
  <c r="L118" i="4" a="1"/>
  <c r="L118" i="4" s="1"/>
  <c r="L117" i="4" a="1"/>
  <c r="L117" i="4" s="1"/>
  <c r="L116" i="4" a="1"/>
  <c r="L116" i="4" s="1"/>
  <c r="L115" i="4" a="1"/>
  <c r="L115" i="4" s="1"/>
  <c r="L114" i="4" a="1"/>
  <c r="L114" i="4" s="1"/>
  <c r="L113" i="4" a="1"/>
  <c r="L113" i="4" s="1"/>
  <c r="L112" i="4" a="1"/>
  <c r="L112" i="4" s="1"/>
  <c r="L111" i="4" a="1"/>
  <c r="L111" i="4" s="1"/>
  <c r="L110" i="4" a="1"/>
  <c r="L110" i="4" s="1"/>
  <c r="L109" i="4" a="1"/>
  <c r="L109" i="4" s="1"/>
  <c r="L108" i="4" a="1"/>
  <c r="L108" i="4" s="1"/>
  <c r="L107" i="4" a="1"/>
  <c r="L107" i="4" s="1"/>
  <c r="L106" i="4" a="1"/>
  <c r="L106" i="4" s="1"/>
  <c r="L105" i="4" a="1"/>
  <c r="L105" i="4" s="1"/>
  <c r="L104" i="4"/>
  <c r="L104" i="4" a="1"/>
  <c r="L103" i="4" a="1"/>
  <c r="L103" i="4" s="1"/>
  <c r="L102" i="4" a="1"/>
  <c r="L102" i="4" s="1"/>
  <c r="L101" i="4" a="1"/>
  <c r="L101" i="4" s="1"/>
  <c r="L100" i="4" a="1"/>
  <c r="L100" i="4" s="1"/>
  <c r="L99" i="4" a="1"/>
  <c r="L99" i="4" s="1"/>
  <c r="L98" i="4" a="1"/>
  <c r="L98" i="4" s="1"/>
  <c r="L97" i="4" a="1"/>
  <c r="L97" i="4" s="1"/>
  <c r="L96" i="4" a="1"/>
  <c r="L96" i="4" s="1"/>
  <c r="L95" i="4" a="1"/>
  <c r="L95" i="4" s="1"/>
  <c r="L94" i="4" a="1"/>
  <c r="L94" i="4" s="1"/>
  <c r="L93" i="4" a="1"/>
  <c r="L93" i="4" s="1"/>
  <c r="L92" i="4" a="1"/>
  <c r="L92" i="4" s="1"/>
  <c r="L91" i="4" a="1"/>
  <c r="L91" i="4" s="1"/>
  <c r="L90" i="4" a="1"/>
  <c r="L90" i="4" s="1"/>
  <c r="L89" i="4" a="1"/>
  <c r="L89" i="4" s="1"/>
  <c r="L88" i="4"/>
  <c r="L88" i="4" a="1"/>
  <c r="L87" i="4" a="1"/>
  <c r="L87" i="4" s="1"/>
  <c r="L86" i="4" a="1"/>
  <c r="L86" i="4" s="1"/>
  <c r="L85" i="4" a="1"/>
  <c r="L85" i="4" s="1"/>
  <c r="L84" i="4" a="1"/>
  <c r="L84" i="4" s="1"/>
  <c r="L83" i="4" a="1"/>
  <c r="L83" i="4" s="1"/>
  <c r="L82" i="4" a="1"/>
  <c r="L82" i="4" s="1"/>
  <c r="L81" i="4" a="1"/>
  <c r="L81" i="4" s="1"/>
  <c r="L80" i="4" a="1"/>
  <c r="L80" i="4" s="1"/>
  <c r="L79" i="4" a="1"/>
  <c r="L79" i="4" s="1"/>
  <c r="L78" i="4" a="1"/>
  <c r="L78" i="4" s="1"/>
  <c r="L77" i="4" a="1"/>
  <c r="L77" i="4" s="1"/>
  <c r="L76" i="4" a="1"/>
  <c r="L76" i="4" s="1"/>
  <c r="L75" i="4" a="1"/>
  <c r="L75" i="4" s="1"/>
  <c r="L74" i="4" a="1"/>
  <c r="L74" i="4" s="1"/>
  <c r="L73" i="4" a="1"/>
  <c r="L73" i="4" s="1"/>
  <c r="L72" i="4" a="1"/>
  <c r="L72" i="4" s="1"/>
  <c r="L71" i="4" a="1"/>
  <c r="L71" i="4" s="1"/>
  <c r="L70" i="4" a="1"/>
  <c r="L70" i="4" s="1"/>
  <c r="L69" i="4" a="1"/>
  <c r="L69" i="4" s="1"/>
  <c r="L68" i="4" a="1"/>
  <c r="L68" i="4" s="1"/>
  <c r="L67" i="4" a="1"/>
  <c r="L67" i="4" s="1"/>
  <c r="L66" i="4" a="1"/>
  <c r="L66" i="4" s="1"/>
  <c r="L65" i="4" a="1"/>
  <c r="L65" i="4" s="1"/>
  <c r="L64" i="4" a="1"/>
  <c r="L64" i="4" s="1"/>
  <c r="L63" i="4" a="1"/>
  <c r="L63" i="4" s="1"/>
  <c r="L62" i="4" a="1"/>
  <c r="L62" i="4" s="1"/>
  <c r="L61" i="4" a="1"/>
  <c r="L61" i="4" s="1"/>
  <c r="L60" i="4" a="1"/>
  <c r="L60" i="4" s="1"/>
  <c r="L59" i="4" a="1"/>
  <c r="L59" i="4" s="1"/>
  <c r="L58" i="4" a="1"/>
  <c r="L58" i="4" s="1"/>
  <c r="L57" i="4" a="1"/>
  <c r="L57" i="4" s="1"/>
  <c r="L56" i="4" a="1"/>
  <c r="L56" i="4" s="1"/>
  <c r="L55" i="4" a="1"/>
  <c r="L55" i="4" s="1"/>
  <c r="L54" i="4" a="1"/>
  <c r="L54" i="4" s="1"/>
  <c r="L53" i="4" a="1"/>
  <c r="L53" i="4" s="1"/>
  <c r="L52" i="4" a="1"/>
  <c r="L52" i="4" s="1"/>
  <c r="L51" i="4" a="1"/>
  <c r="L51" i="4" s="1"/>
  <c r="L50" i="4" a="1"/>
  <c r="L50" i="4" s="1"/>
  <c r="L49" i="4" a="1"/>
  <c r="L49" i="4" s="1"/>
  <c r="L48" i="4" a="1"/>
  <c r="L48" i="4" s="1"/>
  <c r="L47" i="4" a="1"/>
  <c r="L47" i="4" s="1"/>
  <c r="L46" i="4" a="1"/>
  <c r="L46" i="4" s="1"/>
  <c r="L45" i="4" a="1"/>
  <c r="L45" i="4" s="1"/>
  <c r="L44" i="4" a="1"/>
  <c r="L44" i="4" s="1"/>
  <c r="L43" i="4" a="1"/>
  <c r="L43" i="4" s="1"/>
  <c r="L42" i="4" a="1"/>
  <c r="L42" i="4" s="1"/>
  <c r="L41" i="4" a="1"/>
  <c r="L41" i="4" s="1"/>
  <c r="L40" i="4" a="1"/>
  <c r="L40" i="4" s="1"/>
  <c r="L39" i="4" a="1"/>
  <c r="L39" i="4" s="1"/>
  <c r="L38" i="4" a="1"/>
  <c r="L38" i="4" s="1"/>
  <c r="L37" i="4" a="1"/>
  <c r="L37" i="4" s="1"/>
  <c r="L36" i="4" a="1"/>
  <c r="L36" i="4" s="1"/>
  <c r="L35" i="4" a="1"/>
  <c r="L35" i="4" s="1"/>
  <c r="L34" i="4" a="1"/>
  <c r="L34" i="4" s="1"/>
  <c r="L33" i="4" a="1"/>
  <c r="L33" i="4" s="1"/>
  <c r="L32" i="4" a="1"/>
  <c r="L32" i="4" s="1"/>
  <c r="L31" i="4" a="1"/>
  <c r="L31" i="4" s="1"/>
  <c r="L30" i="4" a="1"/>
  <c r="L30" i="4" s="1"/>
  <c r="L29" i="4" a="1"/>
  <c r="L29" i="4" s="1"/>
  <c r="L28" i="4" a="1"/>
  <c r="L28" i="4" s="1"/>
  <c r="L27" i="4" a="1"/>
  <c r="L27" i="4" s="1"/>
  <c r="J601" i="4" a="1"/>
  <c r="J601" i="4" s="1"/>
  <c r="J600" i="4" a="1"/>
  <c r="J600" i="4" s="1"/>
  <c r="J599" i="4" a="1"/>
  <c r="J599" i="4" s="1"/>
  <c r="J598" i="4" a="1"/>
  <c r="J598" i="4" s="1"/>
  <c r="J597" i="4" a="1"/>
  <c r="J597" i="4" s="1"/>
  <c r="J596" i="4" a="1"/>
  <c r="J596" i="4" s="1"/>
  <c r="J595" i="4" a="1"/>
  <c r="J595" i="4" s="1"/>
  <c r="J594" i="4" a="1"/>
  <c r="J594" i="4" s="1"/>
  <c r="J593" i="4" a="1"/>
  <c r="J593" i="4" s="1"/>
  <c r="J592" i="4" a="1"/>
  <c r="J592" i="4" s="1"/>
  <c r="J591" i="4" a="1"/>
  <c r="J591" i="4" s="1"/>
  <c r="J590" i="4" a="1"/>
  <c r="J590" i="4" s="1"/>
  <c r="J589" i="4" a="1"/>
  <c r="J589" i="4" s="1"/>
  <c r="J588" i="4" a="1"/>
  <c r="J588" i="4" s="1"/>
  <c r="J587" i="4" a="1"/>
  <c r="J587" i="4" s="1"/>
  <c r="J586" i="4" a="1"/>
  <c r="J586" i="4" s="1"/>
  <c r="J585" i="4" a="1"/>
  <c r="J585" i="4" s="1"/>
  <c r="J584" i="4" a="1"/>
  <c r="J584" i="4" s="1"/>
  <c r="J583" i="4" a="1"/>
  <c r="J583" i="4" s="1"/>
  <c r="J582" i="4" a="1"/>
  <c r="J582" i="4" s="1"/>
  <c r="J581" i="4" a="1"/>
  <c r="J581" i="4" s="1"/>
  <c r="J580" i="4" a="1"/>
  <c r="J580" i="4" s="1"/>
  <c r="J579" i="4" a="1"/>
  <c r="J579" i="4" s="1"/>
  <c r="J578" i="4" a="1"/>
  <c r="J578" i="4" s="1"/>
  <c r="J577" i="4" a="1"/>
  <c r="J577" i="4" s="1"/>
  <c r="J576" i="4" a="1"/>
  <c r="J576" i="4" s="1"/>
  <c r="J575" i="4" a="1"/>
  <c r="J575" i="4" s="1"/>
  <c r="J574" i="4" a="1"/>
  <c r="J574" i="4" s="1"/>
  <c r="J573" i="4" a="1"/>
  <c r="J573" i="4" s="1"/>
  <c r="J572" i="4" a="1"/>
  <c r="J572" i="4" s="1"/>
  <c r="J571" i="4" a="1"/>
  <c r="J571" i="4" s="1"/>
  <c r="J570" i="4" a="1"/>
  <c r="J570" i="4" s="1"/>
  <c r="J569" i="4" a="1"/>
  <c r="J569" i="4" s="1"/>
  <c r="J568" i="4" a="1"/>
  <c r="J568" i="4" s="1"/>
  <c r="J567" i="4" a="1"/>
  <c r="J567" i="4" s="1"/>
  <c r="J566" i="4" a="1"/>
  <c r="J566" i="4" s="1"/>
  <c r="J565" i="4" a="1"/>
  <c r="J565" i="4" s="1"/>
  <c r="J564" i="4" a="1"/>
  <c r="J564" i="4" s="1"/>
  <c r="J563" i="4" a="1"/>
  <c r="J563" i="4" s="1"/>
  <c r="J562" i="4" a="1"/>
  <c r="J562" i="4" s="1"/>
  <c r="J561" i="4" a="1"/>
  <c r="J561" i="4" s="1"/>
  <c r="J560" i="4" a="1"/>
  <c r="J560" i="4" s="1"/>
  <c r="J559" i="4" a="1"/>
  <c r="J559" i="4" s="1"/>
  <c r="J558" i="4" a="1"/>
  <c r="J558" i="4" s="1"/>
  <c r="J557" i="4" a="1"/>
  <c r="J557" i="4" s="1"/>
  <c r="J556" i="4" a="1"/>
  <c r="J556" i="4" s="1"/>
  <c r="J555" i="4" a="1"/>
  <c r="J555" i="4" s="1"/>
  <c r="J554" i="4" a="1"/>
  <c r="J554" i="4" s="1"/>
  <c r="J553" i="4" a="1"/>
  <c r="J553" i="4" s="1"/>
  <c r="J552" i="4" a="1"/>
  <c r="J552" i="4" s="1"/>
  <c r="J551" i="4" a="1"/>
  <c r="J551" i="4" s="1"/>
  <c r="J550" i="4" a="1"/>
  <c r="J550" i="4" s="1"/>
  <c r="J549" i="4" a="1"/>
  <c r="J549" i="4" s="1"/>
  <c r="J548" i="4" a="1"/>
  <c r="J548" i="4" s="1"/>
  <c r="J547" i="4" a="1"/>
  <c r="J547" i="4" s="1"/>
  <c r="J546" i="4" a="1"/>
  <c r="J546" i="4" s="1"/>
  <c r="J545" i="4" a="1"/>
  <c r="J545" i="4" s="1"/>
  <c r="J544" i="4" a="1"/>
  <c r="J544" i="4" s="1"/>
  <c r="J543" i="4" a="1"/>
  <c r="J543" i="4" s="1"/>
  <c r="J542" i="4" a="1"/>
  <c r="J542" i="4" s="1"/>
  <c r="J541" i="4" a="1"/>
  <c r="J541" i="4" s="1"/>
  <c r="J540" i="4" a="1"/>
  <c r="J540" i="4" s="1"/>
  <c r="J539" i="4" a="1"/>
  <c r="J539" i="4" s="1"/>
  <c r="J538" i="4"/>
  <c r="J538" i="4" a="1"/>
  <c r="J537" i="4" a="1"/>
  <c r="J537" i="4" s="1"/>
  <c r="J536" i="4" a="1"/>
  <c r="J536" i="4" s="1"/>
  <c r="J535" i="4" a="1"/>
  <c r="J535" i="4" s="1"/>
  <c r="J534" i="4" a="1"/>
  <c r="J534" i="4" s="1"/>
  <c r="J533" i="4" a="1"/>
  <c r="J533" i="4" s="1"/>
  <c r="J532" i="4" a="1"/>
  <c r="J532" i="4" s="1"/>
  <c r="J531" i="4" a="1"/>
  <c r="J531" i="4" s="1"/>
  <c r="J530" i="4" a="1"/>
  <c r="J530" i="4" s="1"/>
  <c r="J529" i="4" a="1"/>
  <c r="J529" i="4" s="1"/>
  <c r="J528" i="4" a="1"/>
  <c r="J528" i="4" s="1"/>
  <c r="J527" i="4" a="1"/>
  <c r="J527" i="4" s="1"/>
  <c r="J526" i="4" a="1"/>
  <c r="J526" i="4" s="1"/>
  <c r="J525" i="4" a="1"/>
  <c r="J525" i="4" s="1"/>
  <c r="J524" i="4" a="1"/>
  <c r="J524" i="4" s="1"/>
  <c r="J523" i="4" a="1"/>
  <c r="J523" i="4" s="1"/>
  <c r="J522" i="4" a="1"/>
  <c r="J522" i="4" s="1"/>
  <c r="J521" i="4" a="1"/>
  <c r="J521" i="4" s="1"/>
  <c r="J520" i="4" a="1"/>
  <c r="J520" i="4" s="1"/>
  <c r="J519" i="4" a="1"/>
  <c r="J519" i="4" s="1"/>
  <c r="J518" i="4" a="1"/>
  <c r="J518" i="4" s="1"/>
  <c r="J517" i="4" a="1"/>
  <c r="J517" i="4" s="1"/>
  <c r="J516" i="4" a="1"/>
  <c r="J516" i="4" s="1"/>
  <c r="J515" i="4" a="1"/>
  <c r="J515" i="4" s="1"/>
  <c r="J514" i="4" a="1"/>
  <c r="J514" i="4" s="1"/>
  <c r="J513" i="4" a="1"/>
  <c r="J513" i="4" s="1"/>
  <c r="J512" i="4" a="1"/>
  <c r="J512" i="4" s="1"/>
  <c r="J511" i="4" a="1"/>
  <c r="J511" i="4" s="1"/>
  <c r="J510" i="4" a="1"/>
  <c r="J510" i="4" s="1"/>
  <c r="J509" i="4" a="1"/>
  <c r="J509" i="4" s="1"/>
  <c r="J508" i="4" a="1"/>
  <c r="J508" i="4" s="1"/>
  <c r="J507" i="4" a="1"/>
  <c r="J507" i="4" s="1"/>
  <c r="J506" i="4" a="1"/>
  <c r="J506" i="4" s="1"/>
  <c r="J505" i="4" a="1"/>
  <c r="J505" i="4" s="1"/>
  <c r="J504" i="4" a="1"/>
  <c r="J504" i="4" s="1"/>
  <c r="J503" i="4" a="1"/>
  <c r="J503" i="4" s="1"/>
  <c r="J502" i="4" a="1"/>
  <c r="J502" i="4" s="1"/>
  <c r="J501" i="4" a="1"/>
  <c r="J501" i="4" s="1"/>
  <c r="J500" i="4" a="1"/>
  <c r="J500" i="4" s="1"/>
  <c r="J499" i="4" a="1"/>
  <c r="J499" i="4" s="1"/>
  <c r="J498" i="4" a="1"/>
  <c r="J498" i="4" s="1"/>
  <c r="J497" i="4" a="1"/>
  <c r="J497" i="4" s="1"/>
  <c r="J496" i="4" a="1"/>
  <c r="J496" i="4" s="1"/>
  <c r="J495" i="4" a="1"/>
  <c r="J495" i="4" s="1"/>
  <c r="J494" i="4" a="1"/>
  <c r="J494" i="4" s="1"/>
  <c r="J493" i="4" a="1"/>
  <c r="J493" i="4" s="1"/>
  <c r="J492" i="4" a="1"/>
  <c r="J492" i="4" s="1"/>
  <c r="J491" i="4" a="1"/>
  <c r="J491" i="4" s="1"/>
  <c r="J490" i="4" a="1"/>
  <c r="J490" i="4" s="1"/>
  <c r="J489" i="4" a="1"/>
  <c r="J489" i="4" s="1"/>
  <c r="J488" i="4" a="1"/>
  <c r="J488" i="4" s="1"/>
  <c r="J487" i="4" a="1"/>
  <c r="J487" i="4" s="1"/>
  <c r="J486" i="4" a="1"/>
  <c r="J486" i="4" s="1"/>
  <c r="J485" i="4" a="1"/>
  <c r="J485" i="4" s="1"/>
  <c r="J484" i="4" a="1"/>
  <c r="J484" i="4" s="1"/>
  <c r="J483" i="4" a="1"/>
  <c r="J483" i="4" s="1"/>
  <c r="J482" i="4" a="1"/>
  <c r="J482" i="4" s="1"/>
  <c r="J481" i="4" a="1"/>
  <c r="J481" i="4" s="1"/>
  <c r="J480" i="4" a="1"/>
  <c r="J480" i="4" s="1"/>
  <c r="J479" i="4" a="1"/>
  <c r="J479" i="4" s="1"/>
  <c r="J478" i="4" a="1"/>
  <c r="J478" i="4" s="1"/>
  <c r="J477" i="4" a="1"/>
  <c r="J477" i="4" s="1"/>
  <c r="J476" i="4" a="1"/>
  <c r="J476" i="4" s="1"/>
  <c r="J475" i="4" a="1"/>
  <c r="J475" i="4" s="1"/>
  <c r="J474" i="4" a="1"/>
  <c r="J474" i="4" s="1"/>
  <c r="J473" i="4" a="1"/>
  <c r="J473" i="4" s="1"/>
  <c r="J472" i="4" a="1"/>
  <c r="J472" i="4" s="1"/>
  <c r="J471" i="4" a="1"/>
  <c r="J471" i="4" s="1"/>
  <c r="J470" i="4" a="1"/>
  <c r="J470" i="4" s="1"/>
  <c r="J469" i="4" a="1"/>
  <c r="J469" i="4" s="1"/>
  <c r="J468" i="4" a="1"/>
  <c r="J468" i="4" s="1"/>
  <c r="J467" i="4" a="1"/>
  <c r="J467" i="4" s="1"/>
  <c r="J466" i="4" a="1"/>
  <c r="J466" i="4" s="1"/>
  <c r="J465" i="4" a="1"/>
  <c r="J465" i="4" s="1"/>
  <c r="J464" i="4" a="1"/>
  <c r="J464" i="4" s="1"/>
  <c r="J463" i="4" a="1"/>
  <c r="J463" i="4" s="1"/>
  <c r="J462" i="4" a="1"/>
  <c r="J462" i="4" s="1"/>
  <c r="J461" i="4" a="1"/>
  <c r="J461" i="4" s="1"/>
  <c r="J460" i="4" a="1"/>
  <c r="J460" i="4" s="1"/>
  <c r="J459" i="4" a="1"/>
  <c r="J459" i="4" s="1"/>
  <c r="J458" i="4" a="1"/>
  <c r="J458" i="4" s="1"/>
  <c r="J457" i="4" a="1"/>
  <c r="J457" i="4" s="1"/>
  <c r="J456" i="4" a="1"/>
  <c r="J456" i="4" s="1"/>
  <c r="J455" i="4" a="1"/>
  <c r="J455" i="4" s="1"/>
  <c r="J454" i="4" a="1"/>
  <c r="J454" i="4" s="1"/>
  <c r="J453" i="4" a="1"/>
  <c r="J453" i="4" s="1"/>
  <c r="J452" i="4" a="1"/>
  <c r="J452" i="4" s="1"/>
  <c r="J451" i="4" a="1"/>
  <c r="J451" i="4" s="1"/>
  <c r="J450" i="4" a="1"/>
  <c r="J450" i="4" s="1"/>
  <c r="J449" i="4" a="1"/>
  <c r="J449" i="4" s="1"/>
  <c r="J448" i="4" a="1"/>
  <c r="J448" i="4" s="1"/>
  <c r="J447" i="4" a="1"/>
  <c r="J447" i="4" s="1"/>
  <c r="J446" i="4" a="1"/>
  <c r="J446" i="4" s="1"/>
  <c r="J445" i="4" a="1"/>
  <c r="J445" i="4" s="1"/>
  <c r="J444" i="4" a="1"/>
  <c r="J444" i="4" s="1"/>
  <c r="J443" i="4" a="1"/>
  <c r="J443" i="4" s="1"/>
  <c r="J442" i="4"/>
  <c r="J442" i="4" a="1"/>
  <c r="J441" i="4" a="1"/>
  <c r="J441" i="4" s="1"/>
  <c r="J440" i="4" a="1"/>
  <c r="J440" i="4" s="1"/>
  <c r="J439" i="4" a="1"/>
  <c r="J439" i="4" s="1"/>
  <c r="J438" i="4" a="1"/>
  <c r="J438" i="4" s="1"/>
  <c r="J437" i="4" a="1"/>
  <c r="J437" i="4" s="1"/>
  <c r="J436" i="4" a="1"/>
  <c r="J436" i="4" s="1"/>
  <c r="J435" i="4" a="1"/>
  <c r="J435" i="4" s="1"/>
  <c r="J434" i="4" a="1"/>
  <c r="J434" i="4" s="1"/>
  <c r="J433" i="4" a="1"/>
  <c r="J433" i="4" s="1"/>
  <c r="J432" i="4" a="1"/>
  <c r="J432" i="4" s="1"/>
  <c r="J431" i="4" a="1"/>
  <c r="J431" i="4" s="1"/>
  <c r="J430" i="4" a="1"/>
  <c r="J430" i="4" s="1"/>
  <c r="J429" i="4" a="1"/>
  <c r="J429" i="4" s="1"/>
  <c r="J428" i="4" a="1"/>
  <c r="J428" i="4" s="1"/>
  <c r="J427" i="4" a="1"/>
  <c r="J427" i="4" s="1"/>
  <c r="J426" i="4" a="1"/>
  <c r="J426" i="4" s="1"/>
  <c r="J425" i="4" a="1"/>
  <c r="J425" i="4" s="1"/>
  <c r="J424" i="4" a="1"/>
  <c r="J424" i="4" s="1"/>
  <c r="J423" i="4" a="1"/>
  <c r="J423" i="4" s="1"/>
  <c r="J422" i="4" a="1"/>
  <c r="J422" i="4" s="1"/>
  <c r="J421" i="4" a="1"/>
  <c r="J421" i="4" s="1"/>
  <c r="J420" i="4" a="1"/>
  <c r="J420" i="4" s="1"/>
  <c r="J419" i="4" a="1"/>
  <c r="J419" i="4" s="1"/>
  <c r="J418" i="4" a="1"/>
  <c r="J418" i="4" s="1"/>
  <c r="J417" i="4" a="1"/>
  <c r="J417" i="4" s="1"/>
  <c r="J416" i="4" a="1"/>
  <c r="J416" i="4" s="1"/>
  <c r="J415" i="4" a="1"/>
  <c r="J415" i="4" s="1"/>
  <c r="J414" i="4" a="1"/>
  <c r="J414" i="4" s="1"/>
  <c r="J413" i="4" a="1"/>
  <c r="J413" i="4" s="1"/>
  <c r="J412" i="4" a="1"/>
  <c r="J412" i="4" s="1"/>
  <c r="J411" i="4" a="1"/>
  <c r="J411" i="4" s="1"/>
  <c r="J410" i="4" a="1"/>
  <c r="J410" i="4" s="1"/>
  <c r="J409" i="4" a="1"/>
  <c r="J409" i="4" s="1"/>
  <c r="J408" i="4" a="1"/>
  <c r="J408" i="4" s="1"/>
  <c r="J407" i="4" a="1"/>
  <c r="J407" i="4" s="1"/>
  <c r="J406" i="4" a="1"/>
  <c r="J406" i="4" s="1"/>
  <c r="J405" i="4" a="1"/>
  <c r="J405" i="4" s="1"/>
  <c r="J404" i="4" a="1"/>
  <c r="J404" i="4" s="1"/>
  <c r="J403" i="4" a="1"/>
  <c r="J403" i="4" s="1"/>
  <c r="J402" i="4" a="1"/>
  <c r="J402" i="4" s="1"/>
  <c r="J401" i="4" a="1"/>
  <c r="J401" i="4" s="1"/>
  <c r="J400" i="4" a="1"/>
  <c r="J400" i="4" s="1"/>
  <c r="J399" i="4" a="1"/>
  <c r="J399" i="4" s="1"/>
  <c r="J398" i="4" a="1"/>
  <c r="J398" i="4" s="1"/>
  <c r="J397" i="4" a="1"/>
  <c r="J397" i="4" s="1"/>
  <c r="J396" i="4" a="1"/>
  <c r="J396" i="4" s="1"/>
  <c r="J395" i="4" a="1"/>
  <c r="J395" i="4" s="1"/>
  <c r="J394" i="4" a="1"/>
  <c r="J394" i="4" s="1"/>
  <c r="J393" i="4" a="1"/>
  <c r="J393" i="4" s="1"/>
  <c r="J392" i="4" a="1"/>
  <c r="J392" i="4" s="1"/>
  <c r="J391" i="4" a="1"/>
  <c r="J391" i="4" s="1"/>
  <c r="J390" i="4" a="1"/>
  <c r="J390" i="4" s="1"/>
  <c r="J389" i="4" a="1"/>
  <c r="J389" i="4" s="1"/>
  <c r="J388" i="4" a="1"/>
  <c r="J388" i="4" s="1"/>
  <c r="J387" i="4" a="1"/>
  <c r="J387" i="4" s="1"/>
  <c r="J386" i="4" a="1"/>
  <c r="J386" i="4" s="1"/>
  <c r="J385" i="4" a="1"/>
  <c r="J385" i="4" s="1"/>
  <c r="J384" i="4" a="1"/>
  <c r="J384" i="4" s="1"/>
  <c r="J383" i="4" a="1"/>
  <c r="J383" i="4" s="1"/>
  <c r="J382" i="4" a="1"/>
  <c r="J382" i="4" s="1"/>
  <c r="J381" i="4" a="1"/>
  <c r="J381" i="4" s="1"/>
  <c r="J380" i="4" a="1"/>
  <c r="J380" i="4" s="1"/>
  <c r="J379" i="4" a="1"/>
  <c r="J379" i="4" s="1"/>
  <c r="J378" i="4" a="1"/>
  <c r="J378" i="4" s="1"/>
  <c r="J377" i="4" a="1"/>
  <c r="J377" i="4" s="1"/>
  <c r="J376" i="4" a="1"/>
  <c r="J376" i="4" s="1"/>
  <c r="J375" i="4" a="1"/>
  <c r="J375" i="4" s="1"/>
  <c r="J374" i="4" a="1"/>
  <c r="J374" i="4" s="1"/>
  <c r="J373" i="4" a="1"/>
  <c r="J373" i="4" s="1"/>
  <c r="J372" i="4" a="1"/>
  <c r="J372" i="4" s="1"/>
  <c r="J371" i="4" a="1"/>
  <c r="J371" i="4" s="1"/>
  <c r="J370" i="4" a="1"/>
  <c r="J370" i="4" s="1"/>
  <c r="J369" i="4" a="1"/>
  <c r="J369" i="4" s="1"/>
  <c r="J368" i="4" a="1"/>
  <c r="J368" i="4" s="1"/>
  <c r="J367" i="4" a="1"/>
  <c r="J367" i="4" s="1"/>
  <c r="J366" i="4" a="1"/>
  <c r="J366" i="4" s="1"/>
  <c r="J365" i="4" a="1"/>
  <c r="J365" i="4" s="1"/>
  <c r="J364" i="4" a="1"/>
  <c r="J364" i="4" s="1"/>
  <c r="J363" i="4" a="1"/>
  <c r="J363" i="4" s="1"/>
  <c r="J362" i="4" a="1"/>
  <c r="J362" i="4" s="1"/>
  <c r="J361" i="4" a="1"/>
  <c r="J361" i="4" s="1"/>
  <c r="J360" i="4" a="1"/>
  <c r="J360" i="4" s="1"/>
  <c r="J359" i="4" a="1"/>
  <c r="J359" i="4" s="1"/>
  <c r="J358" i="4" a="1"/>
  <c r="J358" i="4" s="1"/>
  <c r="J357" i="4" a="1"/>
  <c r="J357" i="4" s="1"/>
  <c r="J356" i="4" a="1"/>
  <c r="J356" i="4" s="1"/>
  <c r="J355" i="4" a="1"/>
  <c r="J355" i="4" s="1"/>
  <c r="J354" i="4" a="1"/>
  <c r="J354" i="4" s="1"/>
  <c r="J353" i="4" a="1"/>
  <c r="J353" i="4" s="1"/>
  <c r="J352" i="4" a="1"/>
  <c r="J352" i="4" s="1"/>
  <c r="J351" i="4" a="1"/>
  <c r="J351" i="4" s="1"/>
  <c r="J350" i="4" a="1"/>
  <c r="J350" i="4" s="1"/>
  <c r="J349" i="4" a="1"/>
  <c r="J349" i="4" s="1"/>
  <c r="J348" i="4" a="1"/>
  <c r="J348" i="4" s="1"/>
  <c r="J347" i="4" a="1"/>
  <c r="J347" i="4" s="1"/>
  <c r="J346" i="4"/>
  <c r="J346" i="4" a="1"/>
  <c r="J345" i="4" a="1"/>
  <c r="J345" i="4" s="1"/>
  <c r="J344" i="4" a="1"/>
  <c r="J344" i="4" s="1"/>
  <c r="J343" i="4" a="1"/>
  <c r="J343" i="4" s="1"/>
  <c r="J342" i="4" a="1"/>
  <c r="J342" i="4" s="1"/>
  <c r="J341" i="4" a="1"/>
  <c r="J341" i="4" s="1"/>
  <c r="J340" i="4" a="1"/>
  <c r="J340" i="4" s="1"/>
  <c r="J339" i="4" a="1"/>
  <c r="J339" i="4" s="1"/>
  <c r="J338" i="4" a="1"/>
  <c r="J338" i="4" s="1"/>
  <c r="J337" i="4" a="1"/>
  <c r="J337" i="4" s="1"/>
  <c r="J336" i="4" a="1"/>
  <c r="J336" i="4" s="1"/>
  <c r="J335" i="4" a="1"/>
  <c r="J335" i="4" s="1"/>
  <c r="J334" i="4" a="1"/>
  <c r="J334" i="4" s="1"/>
  <c r="J333" i="4" a="1"/>
  <c r="J333" i="4" s="1"/>
  <c r="J332" i="4" a="1"/>
  <c r="J332" i="4" s="1"/>
  <c r="J331" i="4" a="1"/>
  <c r="J331" i="4" s="1"/>
  <c r="J330" i="4" a="1"/>
  <c r="J330" i="4" s="1"/>
  <c r="J329" i="4" a="1"/>
  <c r="J329" i="4" s="1"/>
  <c r="J328" i="4" a="1"/>
  <c r="J328" i="4" s="1"/>
  <c r="J327" i="4" a="1"/>
  <c r="J327" i="4" s="1"/>
  <c r="J326" i="4" a="1"/>
  <c r="J326" i="4" s="1"/>
  <c r="J325" i="4" a="1"/>
  <c r="J325" i="4" s="1"/>
  <c r="J324" i="4" a="1"/>
  <c r="J324" i="4" s="1"/>
  <c r="J323" i="4" a="1"/>
  <c r="J323" i="4" s="1"/>
  <c r="J322" i="4" a="1"/>
  <c r="J322" i="4" s="1"/>
  <c r="J321" i="4" a="1"/>
  <c r="J321" i="4" s="1"/>
  <c r="J320" i="4" a="1"/>
  <c r="J320" i="4" s="1"/>
  <c r="J319" i="4" a="1"/>
  <c r="J319" i="4" s="1"/>
  <c r="J318" i="4" a="1"/>
  <c r="J318" i="4" s="1"/>
  <c r="J317" i="4" a="1"/>
  <c r="J317" i="4" s="1"/>
  <c r="J316" i="4" a="1"/>
  <c r="J316" i="4" s="1"/>
  <c r="J315" i="4" a="1"/>
  <c r="J315" i="4" s="1"/>
  <c r="J314" i="4" a="1"/>
  <c r="J314" i="4" s="1"/>
  <c r="J313" i="4" a="1"/>
  <c r="J313" i="4" s="1"/>
  <c r="J312" i="4" a="1"/>
  <c r="J312" i="4" s="1"/>
  <c r="J311" i="4" a="1"/>
  <c r="J311" i="4" s="1"/>
  <c r="J310" i="4" a="1"/>
  <c r="J310" i="4" s="1"/>
  <c r="J309" i="4" a="1"/>
  <c r="J309" i="4" s="1"/>
  <c r="J308" i="4" a="1"/>
  <c r="J308" i="4" s="1"/>
  <c r="J307" i="4" a="1"/>
  <c r="J307" i="4" s="1"/>
  <c r="J306" i="4" a="1"/>
  <c r="J306" i="4" s="1"/>
  <c r="J305" i="4" a="1"/>
  <c r="J305" i="4" s="1"/>
  <c r="J304" i="4" a="1"/>
  <c r="J304" i="4" s="1"/>
  <c r="J303" i="4" a="1"/>
  <c r="J303" i="4" s="1"/>
  <c r="J302" i="4" a="1"/>
  <c r="J302" i="4" s="1"/>
  <c r="J301" i="4" a="1"/>
  <c r="J301" i="4" s="1"/>
  <c r="J300" i="4" a="1"/>
  <c r="J300" i="4" s="1"/>
  <c r="J299" i="4" a="1"/>
  <c r="J299" i="4" s="1"/>
  <c r="J298" i="4" a="1"/>
  <c r="J298" i="4" s="1"/>
  <c r="J297" i="4" a="1"/>
  <c r="J297" i="4" s="1"/>
  <c r="J296" i="4" a="1"/>
  <c r="J296" i="4" s="1"/>
  <c r="J295" i="4" a="1"/>
  <c r="J295" i="4" s="1"/>
  <c r="J294" i="4" a="1"/>
  <c r="J294" i="4" s="1"/>
  <c r="J293" i="4" a="1"/>
  <c r="J293" i="4" s="1"/>
  <c r="J292" i="4" a="1"/>
  <c r="J292" i="4" s="1"/>
  <c r="J291" i="4" a="1"/>
  <c r="J291" i="4" s="1"/>
  <c r="J290" i="4" a="1"/>
  <c r="J290" i="4" s="1"/>
  <c r="J289" i="4" a="1"/>
  <c r="J289" i="4" s="1"/>
  <c r="J288" i="4" a="1"/>
  <c r="J288" i="4" s="1"/>
  <c r="J287" i="4" a="1"/>
  <c r="J287" i="4" s="1"/>
  <c r="J286" i="4" a="1"/>
  <c r="J286" i="4" s="1"/>
  <c r="J285" i="4" a="1"/>
  <c r="J285" i="4" s="1"/>
  <c r="J284" i="4" a="1"/>
  <c r="J284" i="4" s="1"/>
  <c r="J283" i="4" a="1"/>
  <c r="J283" i="4" s="1"/>
  <c r="J282" i="4" a="1"/>
  <c r="J282" i="4" s="1"/>
  <c r="J281" i="4" a="1"/>
  <c r="J281" i="4" s="1"/>
  <c r="J280" i="4" a="1"/>
  <c r="J280" i="4" s="1"/>
  <c r="J279" i="4" a="1"/>
  <c r="J279" i="4" s="1"/>
  <c r="J278" i="4" a="1"/>
  <c r="J278" i="4" s="1"/>
  <c r="J277" i="4" a="1"/>
  <c r="J277" i="4" s="1"/>
  <c r="J276" i="4" a="1"/>
  <c r="J276" i="4" s="1"/>
  <c r="J275" i="4" a="1"/>
  <c r="J275" i="4" s="1"/>
  <c r="J274" i="4" a="1"/>
  <c r="J274" i="4" s="1"/>
  <c r="J273" i="4" a="1"/>
  <c r="J273" i="4" s="1"/>
  <c r="J272" i="4" a="1"/>
  <c r="J272" i="4" s="1"/>
  <c r="J271" i="4" a="1"/>
  <c r="J271" i="4" s="1"/>
  <c r="J270" i="4" a="1"/>
  <c r="J270" i="4" s="1"/>
  <c r="J269" i="4" a="1"/>
  <c r="J269" i="4" s="1"/>
  <c r="J268" i="4" a="1"/>
  <c r="J268" i="4" s="1"/>
  <c r="J267" i="4" a="1"/>
  <c r="J267" i="4" s="1"/>
  <c r="J266" i="4" a="1"/>
  <c r="J266" i="4" s="1"/>
  <c r="J265" i="4" a="1"/>
  <c r="J265" i="4" s="1"/>
  <c r="J264" i="4" a="1"/>
  <c r="J264" i="4" s="1"/>
  <c r="J263" i="4" a="1"/>
  <c r="J263" i="4" s="1"/>
  <c r="J262" i="4" a="1"/>
  <c r="J262" i="4" s="1"/>
  <c r="J261" i="4" a="1"/>
  <c r="J261" i="4" s="1"/>
  <c r="J260" i="4" a="1"/>
  <c r="J260" i="4" s="1"/>
  <c r="J259" i="4" a="1"/>
  <c r="J259" i="4" s="1"/>
  <c r="J258" i="4" a="1"/>
  <c r="J258" i="4" s="1"/>
  <c r="J257" i="4" a="1"/>
  <c r="J257" i="4" s="1"/>
  <c r="J256" i="4" a="1"/>
  <c r="J256" i="4" s="1"/>
  <c r="J255" i="4" a="1"/>
  <c r="J255" i="4" s="1"/>
  <c r="J254" i="4" a="1"/>
  <c r="J254" i="4" s="1"/>
  <c r="J253" i="4" a="1"/>
  <c r="J253" i="4" s="1"/>
  <c r="J252" i="4" a="1"/>
  <c r="J252" i="4" s="1"/>
  <c r="J251" i="4" a="1"/>
  <c r="J251" i="4" s="1"/>
  <c r="J250" i="4" a="1"/>
  <c r="J250" i="4" s="1"/>
  <c r="J249" i="4" a="1"/>
  <c r="J249" i="4" s="1"/>
  <c r="J248" i="4" a="1"/>
  <c r="J248" i="4" s="1"/>
  <c r="J247" i="4" a="1"/>
  <c r="J247" i="4" s="1"/>
  <c r="J246" i="4" a="1"/>
  <c r="J246" i="4" s="1"/>
  <c r="J245" i="4" a="1"/>
  <c r="J245" i="4" s="1"/>
  <c r="J244" i="4" a="1"/>
  <c r="J244" i="4" s="1"/>
  <c r="J243" i="4" a="1"/>
  <c r="J243" i="4" s="1"/>
  <c r="J242" i="4" a="1"/>
  <c r="J242" i="4" s="1"/>
  <c r="J241" i="4" a="1"/>
  <c r="J241" i="4" s="1"/>
  <c r="J240" i="4" a="1"/>
  <c r="J240" i="4" s="1"/>
  <c r="J239" i="4" a="1"/>
  <c r="J239" i="4" s="1"/>
  <c r="J238" i="4" a="1"/>
  <c r="J238" i="4" s="1"/>
  <c r="J237" i="4" a="1"/>
  <c r="J237" i="4" s="1"/>
  <c r="J236" i="4" a="1"/>
  <c r="J236" i="4" s="1"/>
  <c r="J235" i="4" a="1"/>
  <c r="J235" i="4" s="1"/>
  <c r="J234" i="4" a="1"/>
  <c r="J234" i="4" s="1"/>
  <c r="J233" i="4" a="1"/>
  <c r="J233" i="4" s="1"/>
  <c r="J232" i="4" a="1"/>
  <c r="J232" i="4" s="1"/>
  <c r="J231" i="4" a="1"/>
  <c r="J231" i="4" s="1"/>
  <c r="J230" i="4" a="1"/>
  <c r="J230" i="4" s="1"/>
  <c r="J229" i="4" a="1"/>
  <c r="J229" i="4" s="1"/>
  <c r="J228" i="4" a="1"/>
  <c r="J228" i="4" s="1"/>
  <c r="J227" i="4" a="1"/>
  <c r="J227" i="4" s="1"/>
  <c r="J226" i="4" a="1"/>
  <c r="J226" i="4" s="1"/>
  <c r="J225" i="4" a="1"/>
  <c r="J225" i="4" s="1"/>
  <c r="J224" i="4" a="1"/>
  <c r="J224" i="4" s="1"/>
  <c r="J223" i="4" a="1"/>
  <c r="J223" i="4" s="1"/>
  <c r="J222" i="4" a="1"/>
  <c r="J222" i="4" s="1"/>
  <c r="J221" i="4" a="1"/>
  <c r="J221" i="4" s="1"/>
  <c r="J220" i="4" a="1"/>
  <c r="J220" i="4" s="1"/>
  <c r="J219" i="4" a="1"/>
  <c r="J219" i="4" s="1"/>
  <c r="J218" i="4" a="1"/>
  <c r="J218" i="4" s="1"/>
  <c r="J217" i="4" a="1"/>
  <c r="J217" i="4" s="1"/>
  <c r="J216" i="4" a="1"/>
  <c r="J216" i="4" s="1"/>
  <c r="J215" i="4" a="1"/>
  <c r="J215" i="4" s="1"/>
  <c r="J214" i="4" a="1"/>
  <c r="J214" i="4" s="1"/>
  <c r="J213" i="4" a="1"/>
  <c r="J213" i="4" s="1"/>
  <c r="J212" i="4" a="1"/>
  <c r="J212" i="4" s="1"/>
  <c r="J211" i="4" a="1"/>
  <c r="J211" i="4" s="1"/>
  <c r="J210" i="4" a="1"/>
  <c r="J210" i="4" s="1"/>
  <c r="J209" i="4" a="1"/>
  <c r="J209" i="4" s="1"/>
  <c r="J208" i="4" a="1"/>
  <c r="J208" i="4" s="1"/>
  <c r="J207" i="4" a="1"/>
  <c r="J207" i="4" s="1"/>
  <c r="J206" i="4" a="1"/>
  <c r="J206" i="4" s="1"/>
  <c r="J205" i="4" a="1"/>
  <c r="J205" i="4" s="1"/>
  <c r="J204" i="4" a="1"/>
  <c r="J204" i="4" s="1"/>
  <c r="J203" i="4" a="1"/>
  <c r="J203" i="4" s="1"/>
  <c r="J202" i="4" a="1"/>
  <c r="J202" i="4" s="1"/>
  <c r="J201" i="4" a="1"/>
  <c r="J201" i="4" s="1"/>
  <c r="J200" i="4" a="1"/>
  <c r="J200" i="4" s="1"/>
  <c r="J199" i="4" a="1"/>
  <c r="J199" i="4" s="1"/>
  <c r="J198" i="4" a="1"/>
  <c r="J198" i="4" s="1"/>
  <c r="J197" i="4" a="1"/>
  <c r="J197" i="4" s="1"/>
  <c r="J196" i="4" a="1"/>
  <c r="J196" i="4" s="1"/>
  <c r="J195" i="4" a="1"/>
  <c r="J195" i="4" s="1"/>
  <c r="J194" i="4" a="1"/>
  <c r="J194" i="4" s="1"/>
  <c r="J193" i="4" a="1"/>
  <c r="J193" i="4" s="1"/>
  <c r="J192" i="4" a="1"/>
  <c r="J192" i="4" s="1"/>
  <c r="J191" i="4" a="1"/>
  <c r="J191" i="4" s="1"/>
  <c r="J190" i="4" a="1"/>
  <c r="J190" i="4" s="1"/>
  <c r="J189" i="4" a="1"/>
  <c r="J189" i="4" s="1"/>
  <c r="J188" i="4" a="1"/>
  <c r="J188" i="4" s="1"/>
  <c r="J187" i="4" a="1"/>
  <c r="J187" i="4" s="1"/>
  <c r="J186" i="4" a="1"/>
  <c r="J186" i="4" s="1"/>
  <c r="J185" i="4" a="1"/>
  <c r="J185" i="4" s="1"/>
  <c r="J184" i="4" a="1"/>
  <c r="J184" i="4" s="1"/>
  <c r="J183" i="4" a="1"/>
  <c r="J183" i="4" s="1"/>
  <c r="J182" i="4" a="1"/>
  <c r="J182" i="4" s="1"/>
  <c r="J181" i="4" a="1"/>
  <c r="J181" i="4" s="1"/>
  <c r="J180" i="4" a="1"/>
  <c r="J180" i="4" s="1"/>
  <c r="J179" i="4" a="1"/>
  <c r="J179" i="4" s="1"/>
  <c r="J178" i="4" a="1"/>
  <c r="J178" i="4" s="1"/>
  <c r="J177" i="4" a="1"/>
  <c r="J177" i="4" s="1"/>
  <c r="J176" i="4" a="1"/>
  <c r="J176" i="4" s="1"/>
  <c r="J175" i="4" a="1"/>
  <c r="J175" i="4" s="1"/>
  <c r="J174" i="4" a="1"/>
  <c r="J174" i="4" s="1"/>
  <c r="J173" i="4" a="1"/>
  <c r="J173" i="4" s="1"/>
  <c r="J172" i="4" a="1"/>
  <c r="J172" i="4" s="1"/>
  <c r="J171" i="4" a="1"/>
  <c r="J171" i="4" s="1"/>
  <c r="J170" i="4" a="1"/>
  <c r="J170" i="4" s="1"/>
  <c r="J169" i="4" a="1"/>
  <c r="J169" i="4" s="1"/>
  <c r="J168" i="4" a="1"/>
  <c r="J168" i="4" s="1"/>
  <c r="J167" i="4" a="1"/>
  <c r="J167" i="4" s="1"/>
  <c r="J166" i="4" a="1"/>
  <c r="J166" i="4" s="1"/>
  <c r="J165" i="4" a="1"/>
  <c r="J165" i="4" s="1"/>
  <c r="J164" i="4" a="1"/>
  <c r="J164" i="4" s="1"/>
  <c r="J163" i="4" a="1"/>
  <c r="J163" i="4" s="1"/>
  <c r="J162" i="4" a="1"/>
  <c r="J162" i="4" s="1"/>
  <c r="J161" i="4" a="1"/>
  <c r="J161" i="4" s="1"/>
  <c r="J160" i="4" a="1"/>
  <c r="J160" i="4" s="1"/>
  <c r="J159" i="4" a="1"/>
  <c r="J159" i="4" s="1"/>
  <c r="J158" i="4" a="1"/>
  <c r="J158" i="4" s="1"/>
  <c r="J157" i="4" a="1"/>
  <c r="J157" i="4" s="1"/>
  <c r="J156" i="4" a="1"/>
  <c r="J156" i="4" s="1"/>
  <c r="J155" i="4" a="1"/>
  <c r="J155" i="4" s="1"/>
  <c r="J154" i="4" a="1"/>
  <c r="J154" i="4" s="1"/>
  <c r="J153" i="4" a="1"/>
  <c r="J153" i="4" s="1"/>
  <c r="J152" i="4" a="1"/>
  <c r="J152" i="4" s="1"/>
  <c r="J151" i="4" a="1"/>
  <c r="J151" i="4" s="1"/>
  <c r="J150" i="4" a="1"/>
  <c r="J150" i="4" s="1"/>
  <c r="J149" i="4" a="1"/>
  <c r="J149" i="4" s="1"/>
  <c r="J148" i="4" a="1"/>
  <c r="J148" i="4" s="1"/>
  <c r="J147" i="4" a="1"/>
  <c r="J147" i="4" s="1"/>
  <c r="J146" i="4" a="1"/>
  <c r="J146" i="4" s="1"/>
  <c r="J145" i="4" a="1"/>
  <c r="J145" i="4" s="1"/>
  <c r="J144" i="4" a="1"/>
  <c r="J144" i="4" s="1"/>
  <c r="J143" i="4" a="1"/>
  <c r="J143" i="4" s="1"/>
  <c r="J142" i="4" a="1"/>
  <c r="J142" i="4" s="1"/>
  <c r="J141" i="4" a="1"/>
  <c r="J141" i="4" s="1"/>
  <c r="J140" i="4" a="1"/>
  <c r="J140" i="4" s="1"/>
  <c r="J139" i="4" a="1"/>
  <c r="J139" i="4" s="1"/>
  <c r="J138" i="4" a="1"/>
  <c r="J138" i="4" s="1"/>
  <c r="J137" i="4" a="1"/>
  <c r="J137" i="4" s="1"/>
  <c r="J136" i="4" a="1"/>
  <c r="J136" i="4" s="1"/>
  <c r="J135" i="4" a="1"/>
  <c r="J135" i="4" s="1"/>
  <c r="J134" i="4" a="1"/>
  <c r="J134" i="4" s="1"/>
  <c r="J133" i="4" a="1"/>
  <c r="J133" i="4" s="1"/>
  <c r="J132" i="4" a="1"/>
  <c r="J132" i="4" s="1"/>
  <c r="J131" i="4" a="1"/>
  <c r="J131" i="4" s="1"/>
  <c r="J130" i="4" a="1"/>
  <c r="J130" i="4" s="1"/>
  <c r="J129" i="4" a="1"/>
  <c r="J129" i="4" s="1"/>
  <c r="J128" i="4" a="1"/>
  <c r="J128" i="4" s="1"/>
  <c r="J127" i="4" a="1"/>
  <c r="J127" i="4" s="1"/>
  <c r="J126" i="4" a="1"/>
  <c r="J126" i="4" s="1"/>
  <c r="J125" i="4" a="1"/>
  <c r="J125" i="4" s="1"/>
  <c r="J124" i="4" a="1"/>
  <c r="J124" i="4" s="1"/>
  <c r="J123" i="4" a="1"/>
  <c r="J123" i="4" s="1"/>
  <c r="J122" i="4" a="1"/>
  <c r="J122" i="4" s="1"/>
  <c r="J121" i="4" a="1"/>
  <c r="J121" i="4" s="1"/>
  <c r="J120" i="4" a="1"/>
  <c r="J120" i="4" s="1"/>
  <c r="J119" i="4" a="1"/>
  <c r="J119" i="4" s="1"/>
  <c r="J118" i="4" a="1"/>
  <c r="J118" i="4" s="1"/>
  <c r="J117" i="4" a="1"/>
  <c r="J117" i="4" s="1"/>
  <c r="J116" i="4" a="1"/>
  <c r="J116" i="4" s="1"/>
  <c r="J115" i="4" a="1"/>
  <c r="J115" i="4" s="1"/>
  <c r="J114" i="4" a="1"/>
  <c r="J114" i="4" s="1"/>
  <c r="J113" i="4" a="1"/>
  <c r="J113" i="4" s="1"/>
  <c r="J112" i="4" a="1"/>
  <c r="J112" i="4" s="1"/>
  <c r="J111" i="4" a="1"/>
  <c r="J111" i="4" s="1"/>
  <c r="J110" i="4" a="1"/>
  <c r="J110" i="4" s="1"/>
  <c r="J109" i="4" a="1"/>
  <c r="J109" i="4" s="1"/>
  <c r="J108" i="4" a="1"/>
  <c r="J108" i="4" s="1"/>
  <c r="J107" i="4" a="1"/>
  <c r="J107" i="4" s="1"/>
  <c r="J106" i="4" a="1"/>
  <c r="J106" i="4" s="1"/>
  <c r="J105" i="4" a="1"/>
  <c r="J105" i="4" s="1"/>
  <c r="J104" i="4" a="1"/>
  <c r="J104" i="4" s="1"/>
  <c r="J103" i="4" a="1"/>
  <c r="J103" i="4" s="1"/>
  <c r="J102" i="4" a="1"/>
  <c r="J102" i="4" s="1"/>
  <c r="J101" i="4" a="1"/>
  <c r="J101" i="4" s="1"/>
  <c r="J100" i="4" a="1"/>
  <c r="J100" i="4" s="1"/>
  <c r="J99" i="4" a="1"/>
  <c r="J99" i="4" s="1"/>
  <c r="J98" i="4" a="1"/>
  <c r="J98" i="4" s="1"/>
  <c r="J97" i="4" a="1"/>
  <c r="J97" i="4" s="1"/>
  <c r="J96" i="4" a="1"/>
  <c r="J96" i="4" s="1"/>
  <c r="J95" i="4" a="1"/>
  <c r="J95" i="4" s="1"/>
  <c r="J94" i="4" a="1"/>
  <c r="J94" i="4" s="1"/>
  <c r="J93" i="4" a="1"/>
  <c r="J93" i="4" s="1"/>
  <c r="J92" i="4" a="1"/>
  <c r="J92" i="4" s="1"/>
  <c r="J91" i="4" a="1"/>
  <c r="J91" i="4" s="1"/>
  <c r="J90" i="4" a="1"/>
  <c r="J90" i="4" s="1"/>
  <c r="J89" i="4" a="1"/>
  <c r="J89" i="4" s="1"/>
  <c r="J88" i="4" a="1"/>
  <c r="J88" i="4" s="1"/>
  <c r="J87" i="4" a="1"/>
  <c r="J87" i="4" s="1"/>
  <c r="J86" i="4" a="1"/>
  <c r="J86" i="4" s="1"/>
  <c r="J85" i="4" a="1"/>
  <c r="J85" i="4" s="1"/>
  <c r="J84" i="4" a="1"/>
  <c r="J84" i="4" s="1"/>
  <c r="J83" i="4" a="1"/>
  <c r="J83" i="4" s="1"/>
  <c r="J82" i="4" a="1"/>
  <c r="J82" i="4" s="1"/>
  <c r="J81" i="4" a="1"/>
  <c r="J81" i="4" s="1"/>
  <c r="J80" i="4" a="1"/>
  <c r="J80" i="4" s="1"/>
  <c r="J79" i="4" a="1"/>
  <c r="J79" i="4" s="1"/>
  <c r="J78" i="4" a="1"/>
  <c r="J78" i="4" s="1"/>
  <c r="J77" i="4" a="1"/>
  <c r="J77" i="4" s="1"/>
  <c r="J76" i="4" a="1"/>
  <c r="J76" i="4" s="1"/>
  <c r="J75" i="4" a="1"/>
  <c r="J75" i="4" s="1"/>
  <c r="J74" i="4" a="1"/>
  <c r="J74" i="4" s="1"/>
  <c r="J73" i="4" a="1"/>
  <c r="J73" i="4" s="1"/>
  <c r="J72" i="4" a="1"/>
  <c r="J72" i="4" s="1"/>
  <c r="J71" i="4" a="1"/>
  <c r="J71" i="4" s="1"/>
  <c r="J70" i="4" a="1"/>
  <c r="J70" i="4" s="1"/>
  <c r="J69" i="4" a="1"/>
  <c r="J69" i="4" s="1"/>
  <c r="J68" i="4" a="1"/>
  <c r="J68" i="4" s="1"/>
  <c r="J67" i="4" a="1"/>
  <c r="J67" i="4" s="1"/>
  <c r="J66" i="4" a="1"/>
  <c r="J66" i="4" s="1"/>
  <c r="J65" i="4" a="1"/>
  <c r="J65" i="4" s="1"/>
  <c r="J64" i="4" a="1"/>
  <c r="J64" i="4" s="1"/>
  <c r="J63" i="4" a="1"/>
  <c r="J63" i="4" s="1"/>
  <c r="J62" i="4" a="1"/>
  <c r="J62" i="4" s="1"/>
  <c r="J61" i="4" a="1"/>
  <c r="J61" i="4" s="1"/>
  <c r="J60" i="4" a="1"/>
  <c r="J60" i="4" s="1"/>
  <c r="J59" i="4" a="1"/>
  <c r="J59" i="4" s="1"/>
  <c r="J58" i="4" a="1"/>
  <c r="J58" i="4" s="1"/>
  <c r="J57" i="4" a="1"/>
  <c r="J57" i="4" s="1"/>
  <c r="J56" i="4" a="1"/>
  <c r="J56" i="4" s="1"/>
  <c r="J55" i="4" a="1"/>
  <c r="J55" i="4" s="1"/>
  <c r="J54" i="4" a="1"/>
  <c r="J54" i="4" s="1"/>
  <c r="J53" i="4" a="1"/>
  <c r="J53" i="4" s="1"/>
  <c r="J52" i="4" a="1"/>
  <c r="J52" i="4" s="1"/>
  <c r="J51" i="4" a="1"/>
  <c r="J51" i="4" s="1"/>
  <c r="J50" i="4" a="1"/>
  <c r="J50" i="4" s="1"/>
  <c r="J49" i="4" a="1"/>
  <c r="J49" i="4" s="1"/>
  <c r="J48" i="4" a="1"/>
  <c r="J48" i="4" s="1"/>
  <c r="J47" i="4" a="1"/>
  <c r="J47" i="4" s="1"/>
  <c r="J46" i="4" a="1"/>
  <c r="J46" i="4" s="1"/>
  <c r="J45" i="4" a="1"/>
  <c r="J45" i="4" s="1"/>
  <c r="J44" i="4" a="1"/>
  <c r="J44" i="4" s="1"/>
  <c r="J43" i="4" a="1"/>
  <c r="J43" i="4" s="1"/>
  <c r="J42" i="4" a="1"/>
  <c r="J42" i="4" s="1"/>
  <c r="J41" i="4" a="1"/>
  <c r="J41" i="4" s="1"/>
  <c r="J40" i="4" a="1"/>
  <c r="J40" i="4" s="1"/>
  <c r="J39" i="4" a="1"/>
  <c r="J39" i="4" s="1"/>
  <c r="J38" i="4" a="1"/>
  <c r="J38" i="4" s="1"/>
  <c r="J37" i="4" a="1"/>
  <c r="J37" i="4" s="1"/>
  <c r="J36" i="4" a="1"/>
  <c r="J36" i="4" s="1"/>
  <c r="J35" i="4" a="1"/>
  <c r="J35" i="4" s="1"/>
  <c r="J34" i="4" a="1"/>
  <c r="J34" i="4" s="1"/>
  <c r="J33" i="4" a="1"/>
  <c r="J33" i="4" s="1"/>
  <c r="J32" i="4" a="1"/>
  <c r="J32" i="4" s="1"/>
  <c r="J31" i="4" a="1"/>
  <c r="J31" i="4" s="1"/>
  <c r="J30" i="4" a="1"/>
  <c r="J30" i="4" s="1"/>
  <c r="J29" i="4" a="1"/>
  <c r="J29" i="4" s="1"/>
  <c r="J28" i="4" a="1"/>
  <c r="J28" i="4" s="1"/>
  <c r="J27" i="4" a="1"/>
  <c r="J27" i="4" s="1"/>
  <c r="J26" i="4" a="1"/>
  <c r="J26" i="4" s="1"/>
  <c r="J25" i="4" a="1"/>
  <c r="J25" i="4" s="1"/>
  <c r="J24" i="4" a="1"/>
  <c r="J24" i="4" s="1"/>
  <c r="J23" i="4" a="1"/>
  <c r="J23" i="4" s="1"/>
  <c r="J22" i="4" a="1"/>
  <c r="J22" i="4" s="1"/>
  <c r="P36" i="4" a="1"/>
  <c r="P36" i="4" s="1"/>
  <c r="N31" i="4" a="1"/>
  <c r="N31" i="4" s="1"/>
  <c r="L26" i="4" a="1"/>
  <c r="L26" i="4" s="1"/>
  <c r="J21" i="4" a="1"/>
  <c r="J21" i="4" s="1"/>
  <c r="T21" i="4" a="1"/>
  <c r="T21" i="4" s="1"/>
  <c r="X31" i="4" a="1"/>
  <c r="X31" i="4" s="1"/>
  <c r="AH601" i="4" a="1"/>
  <c r="AH601" i="4" s="1"/>
  <c r="AH600" i="4" a="1"/>
  <c r="AH600" i="4" s="1"/>
  <c r="AH599" i="4" a="1"/>
  <c r="AH599" i="4" s="1"/>
  <c r="AH598" i="4" a="1"/>
  <c r="AH598" i="4" s="1"/>
  <c r="AH597" i="4" a="1"/>
  <c r="AH597" i="4" s="1"/>
  <c r="AH596" i="4" a="1"/>
  <c r="AH596" i="4" s="1"/>
  <c r="AH595" i="4" a="1"/>
  <c r="AH595" i="4" s="1"/>
  <c r="AH594" i="4" a="1"/>
  <c r="AH594" i="4" s="1"/>
  <c r="AH593" i="4" a="1"/>
  <c r="AH593" i="4" s="1"/>
  <c r="AH592" i="4" a="1"/>
  <c r="AH592" i="4" s="1"/>
  <c r="AH591" i="4" a="1"/>
  <c r="AH591" i="4" s="1"/>
  <c r="AH590" i="4" a="1"/>
  <c r="AH590" i="4" s="1"/>
  <c r="AH589" i="4" a="1"/>
  <c r="AH589" i="4" s="1"/>
  <c r="AH588" i="4" a="1"/>
  <c r="AH588" i="4" s="1"/>
  <c r="AH587" i="4" a="1"/>
  <c r="AH587" i="4" s="1"/>
  <c r="AH586" i="4" a="1"/>
  <c r="AH586" i="4" s="1"/>
  <c r="AH585" i="4" a="1"/>
  <c r="AH585" i="4" s="1"/>
  <c r="AH584" i="4" a="1"/>
  <c r="AH584" i="4" s="1"/>
  <c r="AH583" i="4" a="1"/>
  <c r="AH583" i="4" s="1"/>
  <c r="AH582" i="4" a="1"/>
  <c r="AH582" i="4" s="1"/>
  <c r="AH581" i="4" a="1"/>
  <c r="AH581" i="4" s="1"/>
  <c r="AH580" i="4" a="1"/>
  <c r="AH580" i="4" s="1"/>
  <c r="AH579" i="4" a="1"/>
  <c r="AH579" i="4" s="1"/>
  <c r="AH578" i="4" a="1"/>
  <c r="AH578" i="4" s="1"/>
  <c r="AH577" i="4" a="1"/>
  <c r="AH577" i="4" s="1"/>
  <c r="AH576" i="4" a="1"/>
  <c r="AH576" i="4" s="1"/>
  <c r="AH575" i="4" a="1"/>
  <c r="AH575" i="4" s="1"/>
  <c r="AH574" i="4" a="1"/>
  <c r="AH574" i="4" s="1"/>
  <c r="AH573" i="4" a="1"/>
  <c r="AH573" i="4" s="1"/>
  <c r="AH572" i="4" a="1"/>
  <c r="AH572" i="4" s="1"/>
  <c r="AH571" i="4" a="1"/>
  <c r="AH571" i="4" s="1"/>
  <c r="AH570" i="4" a="1"/>
  <c r="AH570" i="4" s="1"/>
  <c r="AH569" i="4" a="1"/>
  <c r="AH569" i="4" s="1"/>
  <c r="AH568" i="4" a="1"/>
  <c r="AH568" i="4" s="1"/>
  <c r="AH567" i="4" a="1"/>
  <c r="AH567" i="4" s="1"/>
  <c r="AH566" i="4" a="1"/>
  <c r="AH566" i="4" s="1"/>
  <c r="AH565" i="4" a="1"/>
  <c r="AH565" i="4" s="1"/>
  <c r="AH564" i="4" a="1"/>
  <c r="AH564" i="4" s="1"/>
  <c r="AH563" i="4" a="1"/>
  <c r="AH563" i="4" s="1"/>
  <c r="AH562" i="4" a="1"/>
  <c r="AH562" i="4" s="1"/>
  <c r="AH561" i="4" a="1"/>
  <c r="AH561" i="4" s="1"/>
  <c r="AH560" i="4" a="1"/>
  <c r="AH560" i="4" s="1"/>
  <c r="AH559" i="4" a="1"/>
  <c r="AH559" i="4" s="1"/>
  <c r="AH558" i="4"/>
  <c r="AH558" i="4" a="1"/>
  <c r="AH557" i="4" a="1"/>
  <c r="AH557" i="4" s="1"/>
  <c r="AH556" i="4" a="1"/>
  <c r="AH556" i="4" s="1"/>
  <c r="AH555" i="4" a="1"/>
  <c r="AH555" i="4" s="1"/>
  <c r="AH554" i="4" a="1"/>
  <c r="AH554" i="4" s="1"/>
  <c r="AH553" i="4" a="1"/>
  <c r="AH553" i="4" s="1"/>
  <c r="AH552" i="4" a="1"/>
  <c r="AH552" i="4" s="1"/>
  <c r="AH551" i="4" a="1"/>
  <c r="AH551" i="4" s="1"/>
  <c r="AH550" i="4" a="1"/>
  <c r="AH550" i="4" s="1"/>
  <c r="AH549" i="4" a="1"/>
  <c r="AH549" i="4" s="1"/>
  <c r="AH548" i="4" a="1"/>
  <c r="AH548" i="4" s="1"/>
  <c r="AH547" i="4" a="1"/>
  <c r="AH547" i="4" s="1"/>
  <c r="AH546" i="4" a="1"/>
  <c r="AH546" i="4" s="1"/>
  <c r="AH545" i="4" a="1"/>
  <c r="AH545" i="4" s="1"/>
  <c r="AH544" i="4" a="1"/>
  <c r="AH544" i="4" s="1"/>
  <c r="AH543" i="4" a="1"/>
  <c r="AH543" i="4" s="1"/>
  <c r="AH542" i="4" a="1"/>
  <c r="AH542" i="4" s="1"/>
  <c r="AH541" i="4" a="1"/>
  <c r="AH541" i="4" s="1"/>
  <c r="AH540" i="4" a="1"/>
  <c r="AH540" i="4" s="1"/>
  <c r="AH539" i="4" a="1"/>
  <c r="AH539" i="4" s="1"/>
  <c r="AH538" i="4" a="1"/>
  <c r="AH538" i="4" s="1"/>
  <c r="AH537" i="4" a="1"/>
  <c r="AH537" i="4" s="1"/>
  <c r="AH536" i="4" a="1"/>
  <c r="AH536" i="4" s="1"/>
  <c r="AH535" i="4" a="1"/>
  <c r="AH535" i="4" s="1"/>
  <c r="AH534" i="4" a="1"/>
  <c r="AH534" i="4" s="1"/>
  <c r="AH533" i="4" a="1"/>
  <c r="AH533" i="4" s="1"/>
  <c r="AH532" i="4" a="1"/>
  <c r="AH532" i="4" s="1"/>
  <c r="AH531" i="4"/>
  <c r="AH531" i="4" a="1"/>
  <c r="AH530" i="4" a="1"/>
  <c r="AH530" i="4" s="1"/>
  <c r="AH529" i="4" a="1"/>
  <c r="AH529" i="4" s="1"/>
  <c r="AH528" i="4" a="1"/>
  <c r="AH528" i="4" s="1"/>
  <c r="AH527" i="4" a="1"/>
  <c r="AH527" i="4" s="1"/>
  <c r="AH526" i="4" a="1"/>
  <c r="AH526" i="4" s="1"/>
  <c r="AH525" i="4" a="1"/>
  <c r="AH525" i="4" s="1"/>
  <c r="AH524" i="4" a="1"/>
  <c r="AH524" i="4" s="1"/>
  <c r="AH523" i="4" a="1"/>
  <c r="AH523" i="4" s="1"/>
  <c r="AH522" i="4" a="1"/>
  <c r="AH522" i="4" s="1"/>
  <c r="AH521" i="4" a="1"/>
  <c r="AH521" i="4" s="1"/>
  <c r="AH520" i="4" a="1"/>
  <c r="AH520" i="4" s="1"/>
  <c r="AH519" i="4" a="1"/>
  <c r="AH519" i="4" s="1"/>
  <c r="AH518" i="4" a="1"/>
  <c r="AH518" i="4" s="1"/>
  <c r="AH517" i="4" a="1"/>
  <c r="AH517" i="4" s="1"/>
  <c r="AH516" i="4" a="1"/>
  <c r="AH516" i="4" s="1"/>
  <c r="AH515" i="4"/>
  <c r="AH515" i="4" a="1"/>
  <c r="AH514" i="4" a="1"/>
  <c r="AH514" i="4" s="1"/>
  <c r="AH513" i="4" a="1"/>
  <c r="AH513" i="4" s="1"/>
  <c r="AH512" i="4" a="1"/>
  <c r="AH512" i="4" s="1"/>
  <c r="AH511" i="4" a="1"/>
  <c r="AH511" i="4" s="1"/>
  <c r="AH510" i="4" a="1"/>
  <c r="AH510" i="4" s="1"/>
  <c r="AH509" i="4" a="1"/>
  <c r="AH509" i="4" s="1"/>
  <c r="AH508" i="4" a="1"/>
  <c r="AH508" i="4" s="1"/>
  <c r="AH507" i="4" a="1"/>
  <c r="AH507" i="4" s="1"/>
  <c r="AH506" i="4" a="1"/>
  <c r="AH506" i="4" s="1"/>
  <c r="AH505" i="4" a="1"/>
  <c r="AH505" i="4" s="1"/>
  <c r="AH504" i="4" a="1"/>
  <c r="AH504" i="4" s="1"/>
  <c r="AH503" i="4" a="1"/>
  <c r="AH503" i="4" s="1"/>
  <c r="AH502" i="4" a="1"/>
  <c r="AH502" i="4" s="1"/>
  <c r="AH501" i="4" a="1"/>
  <c r="AH501" i="4" s="1"/>
  <c r="AH500" i="4" a="1"/>
  <c r="AH500" i="4" s="1"/>
  <c r="AH499" i="4" a="1"/>
  <c r="AH499" i="4" s="1"/>
  <c r="AH498" i="4" a="1"/>
  <c r="AH498" i="4" s="1"/>
  <c r="AH497" i="4" a="1"/>
  <c r="AH497" i="4" s="1"/>
  <c r="AH496" i="4" a="1"/>
  <c r="AH496" i="4" s="1"/>
  <c r="AH495" i="4" a="1"/>
  <c r="AH495" i="4" s="1"/>
  <c r="AH494" i="4"/>
  <c r="AH494" i="4" a="1"/>
  <c r="AH493" i="4" a="1"/>
  <c r="AH493" i="4" s="1"/>
  <c r="AH492" i="4" a="1"/>
  <c r="AH492" i="4" s="1"/>
  <c r="AH491" i="4" a="1"/>
  <c r="AH491" i="4" s="1"/>
  <c r="AH490" i="4" a="1"/>
  <c r="AH490" i="4" s="1"/>
  <c r="AH489" i="4" a="1"/>
  <c r="AH489" i="4" s="1"/>
  <c r="AH488" i="4" a="1"/>
  <c r="AH488" i="4" s="1"/>
  <c r="AH487" i="4" a="1"/>
  <c r="AH487" i="4" s="1"/>
  <c r="AH486" i="4" a="1"/>
  <c r="AH486" i="4" s="1"/>
  <c r="AH485" i="4" a="1"/>
  <c r="AH485" i="4" s="1"/>
  <c r="AH484" i="4" a="1"/>
  <c r="AH484" i="4" s="1"/>
  <c r="AH483" i="4" a="1"/>
  <c r="AH483" i="4" s="1"/>
  <c r="AH482" i="4" a="1"/>
  <c r="AH482" i="4" s="1"/>
  <c r="AH481" i="4" a="1"/>
  <c r="AH481" i="4" s="1"/>
  <c r="AH480" i="4" a="1"/>
  <c r="AH480" i="4" s="1"/>
  <c r="AH479" i="4" a="1"/>
  <c r="AH479" i="4" s="1"/>
  <c r="AH478" i="4" a="1"/>
  <c r="AH478" i="4" s="1"/>
  <c r="AH477" i="4" a="1"/>
  <c r="AH477" i="4" s="1"/>
  <c r="AH476" i="4" a="1"/>
  <c r="AH476" i="4" s="1"/>
  <c r="AH475" i="4" a="1"/>
  <c r="AH475" i="4" s="1"/>
  <c r="AH474" i="4" a="1"/>
  <c r="AH474" i="4" s="1"/>
  <c r="AH473" i="4" a="1"/>
  <c r="AH473" i="4" s="1"/>
  <c r="AH472" i="4" a="1"/>
  <c r="AH472" i="4" s="1"/>
  <c r="AH471" i="4" a="1"/>
  <c r="AH471" i="4" s="1"/>
  <c r="AH470" i="4" a="1"/>
  <c r="AH470" i="4" s="1"/>
  <c r="AH469" i="4" a="1"/>
  <c r="AH469" i="4" s="1"/>
  <c r="AH468" i="4" a="1"/>
  <c r="AH468" i="4" s="1"/>
  <c r="AH467" i="4" a="1"/>
  <c r="AH467" i="4" s="1"/>
  <c r="AH466" i="4" a="1"/>
  <c r="AH466" i="4" s="1"/>
  <c r="AH465" i="4" a="1"/>
  <c r="AH465" i="4" s="1"/>
  <c r="AH464" i="4" a="1"/>
  <c r="AH464" i="4" s="1"/>
  <c r="AH463" i="4" a="1"/>
  <c r="AH463" i="4" s="1"/>
  <c r="AH462" i="4" a="1"/>
  <c r="AH462" i="4" s="1"/>
  <c r="AH461" i="4" a="1"/>
  <c r="AH461" i="4" s="1"/>
  <c r="AH460" i="4" a="1"/>
  <c r="AH460" i="4" s="1"/>
  <c r="AH459" i="4" a="1"/>
  <c r="AH459" i="4" s="1"/>
  <c r="AH458" i="4" a="1"/>
  <c r="AH458" i="4" s="1"/>
  <c r="AH457" i="4" a="1"/>
  <c r="AH457" i="4" s="1"/>
  <c r="AH456" i="4" a="1"/>
  <c r="AH456" i="4" s="1"/>
  <c r="AH455" i="4" a="1"/>
  <c r="AH455" i="4" s="1"/>
  <c r="AH454" i="4" a="1"/>
  <c r="AH454" i="4" s="1"/>
  <c r="AH453" i="4" a="1"/>
  <c r="AH453" i="4" s="1"/>
  <c r="AH452" i="4" a="1"/>
  <c r="AH452" i="4" s="1"/>
  <c r="AH451" i="4" a="1"/>
  <c r="AH451" i="4" s="1"/>
  <c r="AH450" i="4" a="1"/>
  <c r="AH450" i="4" s="1"/>
  <c r="AH449" i="4" a="1"/>
  <c r="AH449" i="4" s="1"/>
  <c r="AH448" i="4" a="1"/>
  <c r="AH448" i="4" s="1"/>
  <c r="AH447" i="4" a="1"/>
  <c r="AH447" i="4" s="1"/>
  <c r="AH446" i="4" a="1"/>
  <c r="AH446" i="4" s="1"/>
  <c r="AH445" i="4" a="1"/>
  <c r="AH445" i="4" s="1"/>
  <c r="AH444" i="4" a="1"/>
  <c r="AH444" i="4" s="1"/>
  <c r="AH443" i="4" a="1"/>
  <c r="AH443" i="4" s="1"/>
  <c r="AH442" i="4" a="1"/>
  <c r="AH442" i="4" s="1"/>
  <c r="AH441" i="4" a="1"/>
  <c r="AH441" i="4" s="1"/>
  <c r="AH440" i="4" a="1"/>
  <c r="AH440" i="4" s="1"/>
  <c r="AH439" i="4" a="1"/>
  <c r="AH439" i="4" s="1"/>
  <c r="AH438" i="4" a="1"/>
  <c r="AH438" i="4" s="1"/>
  <c r="AH437" i="4" a="1"/>
  <c r="AH437" i="4" s="1"/>
  <c r="AH436" i="4" a="1"/>
  <c r="AH436" i="4" s="1"/>
  <c r="AH435" i="4" a="1"/>
  <c r="AH435" i="4" s="1"/>
  <c r="AH434" i="4" a="1"/>
  <c r="AH434" i="4" s="1"/>
  <c r="AH433" i="4" a="1"/>
  <c r="AH433" i="4" s="1"/>
  <c r="AH432" i="4" a="1"/>
  <c r="AH432" i="4" s="1"/>
  <c r="AH431" i="4" a="1"/>
  <c r="AH431" i="4" s="1"/>
  <c r="AH430" i="4" a="1"/>
  <c r="AH430" i="4" s="1"/>
  <c r="AH429" i="4" a="1"/>
  <c r="AH429" i="4" s="1"/>
  <c r="AH428" i="4" a="1"/>
  <c r="AH428" i="4" s="1"/>
  <c r="AH427" i="4" a="1"/>
  <c r="AH427" i="4" s="1"/>
  <c r="AH426" i="4" a="1"/>
  <c r="AH426" i="4" s="1"/>
  <c r="AH425" i="4" a="1"/>
  <c r="AH425" i="4" s="1"/>
  <c r="AH424" i="4" a="1"/>
  <c r="AH424" i="4" s="1"/>
  <c r="AH423" i="4" a="1"/>
  <c r="AH423" i="4" s="1"/>
  <c r="AH422" i="4" a="1"/>
  <c r="AH422" i="4" s="1"/>
  <c r="AH421" i="4" a="1"/>
  <c r="AH421" i="4" s="1"/>
  <c r="AH420" i="4" a="1"/>
  <c r="AH420" i="4" s="1"/>
  <c r="AH419" i="4" a="1"/>
  <c r="AH419" i="4" s="1"/>
  <c r="AH418" i="4" a="1"/>
  <c r="AH418" i="4" s="1"/>
  <c r="AH417" i="4" a="1"/>
  <c r="AH417" i="4" s="1"/>
  <c r="AH416" i="4" a="1"/>
  <c r="AH416" i="4" s="1"/>
  <c r="AH415" i="4" a="1"/>
  <c r="AH415" i="4" s="1"/>
  <c r="AH414" i="4" a="1"/>
  <c r="AH414" i="4" s="1"/>
  <c r="AH413" i="4" a="1"/>
  <c r="AH413" i="4" s="1"/>
  <c r="AH412" i="4" a="1"/>
  <c r="AH412" i="4" s="1"/>
  <c r="AH411" i="4" a="1"/>
  <c r="AH411" i="4" s="1"/>
  <c r="AH410" i="4" a="1"/>
  <c r="AH410" i="4" s="1"/>
  <c r="AH409" i="4" a="1"/>
  <c r="AH409" i="4" s="1"/>
  <c r="AH408" i="4" a="1"/>
  <c r="AH408" i="4" s="1"/>
  <c r="AH407" i="4" a="1"/>
  <c r="AH407" i="4" s="1"/>
  <c r="AH406" i="4" a="1"/>
  <c r="AH406" i="4" s="1"/>
  <c r="AH405" i="4" a="1"/>
  <c r="AH405" i="4" s="1"/>
  <c r="AH404" i="4" a="1"/>
  <c r="AH404" i="4" s="1"/>
  <c r="AH403" i="4" a="1"/>
  <c r="AH403" i="4" s="1"/>
  <c r="AH402" i="4" a="1"/>
  <c r="AH402" i="4" s="1"/>
  <c r="AH401" i="4" a="1"/>
  <c r="AH401" i="4" s="1"/>
  <c r="AH400" i="4" a="1"/>
  <c r="AH400" i="4" s="1"/>
  <c r="AH399" i="4" a="1"/>
  <c r="AH399" i="4" s="1"/>
  <c r="AH398" i="4" a="1"/>
  <c r="AH398" i="4" s="1"/>
  <c r="AH397" i="4" a="1"/>
  <c r="AH397" i="4" s="1"/>
  <c r="AH396" i="4" a="1"/>
  <c r="AH396" i="4" s="1"/>
  <c r="AH395" i="4" a="1"/>
  <c r="AH395" i="4" s="1"/>
  <c r="AH394" i="4" a="1"/>
  <c r="AH394" i="4" s="1"/>
  <c r="AH393" i="4" a="1"/>
  <c r="AH393" i="4" s="1"/>
  <c r="AH392" i="4" a="1"/>
  <c r="AH392" i="4" s="1"/>
  <c r="AH391" i="4" a="1"/>
  <c r="AH391" i="4" s="1"/>
  <c r="AH390" i="4" a="1"/>
  <c r="AH390" i="4" s="1"/>
  <c r="AH389" i="4" a="1"/>
  <c r="AH389" i="4" s="1"/>
  <c r="AH388" i="4" a="1"/>
  <c r="AH388" i="4" s="1"/>
  <c r="AH387" i="4" a="1"/>
  <c r="AH387" i="4" s="1"/>
  <c r="AH386" i="4" a="1"/>
  <c r="AH386" i="4" s="1"/>
  <c r="AH385" i="4" a="1"/>
  <c r="AH385" i="4" s="1"/>
  <c r="AH384" i="4" a="1"/>
  <c r="AH384" i="4" s="1"/>
  <c r="AH383" i="4" a="1"/>
  <c r="AH383" i="4" s="1"/>
  <c r="AH382" i="4" a="1"/>
  <c r="AH382" i="4" s="1"/>
  <c r="AH381" i="4" a="1"/>
  <c r="AH381" i="4" s="1"/>
  <c r="AH380" i="4" a="1"/>
  <c r="AH380" i="4" s="1"/>
  <c r="AH379" i="4" a="1"/>
  <c r="AH379" i="4" s="1"/>
  <c r="AH378" i="4" a="1"/>
  <c r="AH378" i="4" s="1"/>
  <c r="AH377" i="4" a="1"/>
  <c r="AH377" i="4" s="1"/>
  <c r="AH376" i="4" a="1"/>
  <c r="AH376" i="4" s="1"/>
  <c r="AH375" i="4" a="1"/>
  <c r="AH375" i="4" s="1"/>
  <c r="AH374" i="4" a="1"/>
  <c r="AH374" i="4" s="1"/>
  <c r="AH373" i="4" a="1"/>
  <c r="AH373" i="4" s="1"/>
  <c r="AH372" i="4" a="1"/>
  <c r="AH372" i="4" s="1"/>
  <c r="AH371" i="4" a="1"/>
  <c r="AH371" i="4" s="1"/>
  <c r="AH370" i="4" a="1"/>
  <c r="AH370" i="4" s="1"/>
  <c r="AH369" i="4" a="1"/>
  <c r="AH369" i="4" s="1"/>
  <c r="AH368" i="4" a="1"/>
  <c r="AH368" i="4" s="1"/>
  <c r="AH367" i="4" a="1"/>
  <c r="AH367" i="4" s="1"/>
  <c r="AH366" i="4" a="1"/>
  <c r="AH366" i="4" s="1"/>
  <c r="AH365" i="4" a="1"/>
  <c r="AH365" i="4" s="1"/>
  <c r="AH364" i="4" a="1"/>
  <c r="AH364" i="4" s="1"/>
  <c r="AH363" i="4" a="1"/>
  <c r="AH363" i="4" s="1"/>
  <c r="AH362" i="4" a="1"/>
  <c r="AH362" i="4" s="1"/>
  <c r="AH361" i="4" a="1"/>
  <c r="AH361" i="4" s="1"/>
  <c r="AH360" i="4" a="1"/>
  <c r="AH360" i="4" s="1"/>
  <c r="AH359" i="4" a="1"/>
  <c r="AH359" i="4" s="1"/>
  <c r="AH358" i="4" a="1"/>
  <c r="AH358" i="4" s="1"/>
  <c r="AH357" i="4" a="1"/>
  <c r="AH357" i="4" s="1"/>
  <c r="AH356" i="4" a="1"/>
  <c r="AH356" i="4" s="1"/>
  <c r="AH355" i="4" a="1"/>
  <c r="AH355" i="4" s="1"/>
  <c r="AH354" i="4" a="1"/>
  <c r="AH354" i="4" s="1"/>
  <c r="AH353" i="4" a="1"/>
  <c r="AH353" i="4" s="1"/>
  <c r="AH352" i="4" a="1"/>
  <c r="AH352" i="4" s="1"/>
  <c r="AH351" i="4" a="1"/>
  <c r="AH351" i="4" s="1"/>
  <c r="AH350" i="4" a="1"/>
  <c r="AH350" i="4" s="1"/>
  <c r="AH349" i="4" a="1"/>
  <c r="AH349" i="4" s="1"/>
  <c r="AH348" i="4" a="1"/>
  <c r="AH348" i="4" s="1"/>
  <c r="AH347" i="4" a="1"/>
  <c r="AH347" i="4" s="1"/>
  <c r="AH346" i="4" a="1"/>
  <c r="AH346" i="4" s="1"/>
  <c r="AH345" i="4" a="1"/>
  <c r="AH345" i="4" s="1"/>
  <c r="AH344" i="4" a="1"/>
  <c r="AH344" i="4" s="1"/>
  <c r="AH343" i="4" a="1"/>
  <c r="AH343" i="4" s="1"/>
  <c r="AH342" i="4" a="1"/>
  <c r="AH342" i="4" s="1"/>
  <c r="AH341" i="4" a="1"/>
  <c r="AH341" i="4" s="1"/>
  <c r="AH340" i="4" a="1"/>
  <c r="AH340" i="4" s="1"/>
  <c r="AH339" i="4" a="1"/>
  <c r="AH339" i="4" s="1"/>
  <c r="AH338" i="4" a="1"/>
  <c r="AH338" i="4" s="1"/>
  <c r="AH337" i="4" a="1"/>
  <c r="AH337" i="4" s="1"/>
  <c r="AH336" i="4" a="1"/>
  <c r="AH336" i="4" s="1"/>
  <c r="AH335" i="4" a="1"/>
  <c r="AH335" i="4" s="1"/>
  <c r="AH334" i="4" a="1"/>
  <c r="AH334" i="4" s="1"/>
  <c r="AH333" i="4" a="1"/>
  <c r="AH333" i="4" s="1"/>
  <c r="AH332" i="4" a="1"/>
  <c r="AH332" i="4" s="1"/>
  <c r="AH331" i="4" a="1"/>
  <c r="AH331" i="4" s="1"/>
  <c r="AH330" i="4" a="1"/>
  <c r="AH330" i="4" s="1"/>
  <c r="AH329" i="4" a="1"/>
  <c r="AH329" i="4" s="1"/>
  <c r="AH328" i="4" a="1"/>
  <c r="AH328" i="4" s="1"/>
  <c r="AH327" i="4" a="1"/>
  <c r="AH327" i="4" s="1"/>
  <c r="AH326" i="4" a="1"/>
  <c r="AH326" i="4" s="1"/>
  <c r="AH325" i="4" a="1"/>
  <c r="AH325" i="4" s="1"/>
  <c r="AH324" i="4" a="1"/>
  <c r="AH324" i="4" s="1"/>
  <c r="AH323" i="4" a="1"/>
  <c r="AH323" i="4" s="1"/>
  <c r="AH322" i="4" a="1"/>
  <c r="AH322" i="4" s="1"/>
  <c r="AH321" i="4" a="1"/>
  <c r="AH321" i="4" s="1"/>
  <c r="AH320" i="4" a="1"/>
  <c r="AH320" i="4" s="1"/>
  <c r="AH319" i="4" a="1"/>
  <c r="AH319" i="4" s="1"/>
  <c r="AH318" i="4" a="1"/>
  <c r="AH318" i="4" s="1"/>
  <c r="AH317" i="4" a="1"/>
  <c r="AH317" i="4" s="1"/>
  <c r="AH316" i="4" a="1"/>
  <c r="AH316" i="4" s="1"/>
  <c r="AH315" i="4" a="1"/>
  <c r="AH315" i="4" s="1"/>
  <c r="AH314" i="4" a="1"/>
  <c r="AH314" i="4" s="1"/>
  <c r="AH313" i="4" a="1"/>
  <c r="AH313" i="4" s="1"/>
  <c r="AH312" i="4" a="1"/>
  <c r="AH312" i="4" s="1"/>
  <c r="AH311" i="4" a="1"/>
  <c r="AH311" i="4" s="1"/>
  <c r="AH310" i="4" a="1"/>
  <c r="AH310" i="4" s="1"/>
  <c r="AH309" i="4" a="1"/>
  <c r="AH309" i="4" s="1"/>
  <c r="AH308" i="4" a="1"/>
  <c r="AH308" i="4" s="1"/>
  <c r="AH307" i="4" a="1"/>
  <c r="AH307" i="4" s="1"/>
  <c r="AH306" i="4" a="1"/>
  <c r="AH306" i="4" s="1"/>
  <c r="AH305" i="4" a="1"/>
  <c r="AH305" i="4" s="1"/>
  <c r="AH304" i="4" a="1"/>
  <c r="AH304" i="4" s="1"/>
  <c r="AH303" i="4" a="1"/>
  <c r="AH303" i="4" s="1"/>
  <c r="AH302" i="4" a="1"/>
  <c r="AH302" i="4" s="1"/>
  <c r="AH301" i="4" a="1"/>
  <c r="AH301" i="4" s="1"/>
  <c r="AH300" i="4" a="1"/>
  <c r="AH300" i="4" s="1"/>
  <c r="AH299" i="4" a="1"/>
  <c r="AH299" i="4" s="1"/>
  <c r="AH298" i="4" a="1"/>
  <c r="AH298" i="4" s="1"/>
  <c r="AH297" i="4" a="1"/>
  <c r="AH297" i="4" s="1"/>
  <c r="AH296" i="4" a="1"/>
  <c r="AH296" i="4" s="1"/>
  <c r="AH295" i="4" a="1"/>
  <c r="AH295" i="4" s="1"/>
  <c r="AH294" i="4" a="1"/>
  <c r="AH294" i="4" s="1"/>
  <c r="AH293" i="4" a="1"/>
  <c r="AH293" i="4" s="1"/>
  <c r="AH292" i="4" a="1"/>
  <c r="AH292" i="4" s="1"/>
  <c r="AH291" i="4" a="1"/>
  <c r="AH291" i="4" s="1"/>
  <c r="AH290" i="4" a="1"/>
  <c r="AH290" i="4" s="1"/>
  <c r="AH289" i="4" a="1"/>
  <c r="AH289" i="4" s="1"/>
  <c r="AH288" i="4" a="1"/>
  <c r="AH288" i="4" s="1"/>
  <c r="AH287" i="4" a="1"/>
  <c r="AH287" i="4" s="1"/>
  <c r="AH286" i="4" a="1"/>
  <c r="AH286" i="4" s="1"/>
  <c r="AH285" i="4" a="1"/>
  <c r="AH285" i="4" s="1"/>
  <c r="AH284" i="4" a="1"/>
  <c r="AH284" i="4" s="1"/>
  <c r="AH283" i="4" a="1"/>
  <c r="AH283" i="4" s="1"/>
  <c r="AH282" i="4" a="1"/>
  <c r="AH282" i="4" s="1"/>
  <c r="AH281" i="4" a="1"/>
  <c r="AH281" i="4" s="1"/>
  <c r="AH280" i="4" a="1"/>
  <c r="AH280" i="4" s="1"/>
  <c r="AH279" i="4" a="1"/>
  <c r="AH279" i="4" s="1"/>
  <c r="AH278" i="4" a="1"/>
  <c r="AH278" i="4" s="1"/>
  <c r="AH277" i="4" a="1"/>
  <c r="AH277" i="4" s="1"/>
  <c r="AH276" i="4" a="1"/>
  <c r="AH276" i="4" s="1"/>
  <c r="AH275" i="4" a="1"/>
  <c r="AH275" i="4" s="1"/>
  <c r="AH274" i="4" a="1"/>
  <c r="AH274" i="4" s="1"/>
  <c r="AH273" i="4" a="1"/>
  <c r="AH273" i="4" s="1"/>
  <c r="AH272" i="4" a="1"/>
  <c r="AH272" i="4" s="1"/>
  <c r="AH271" i="4" a="1"/>
  <c r="AH271" i="4" s="1"/>
  <c r="AH270" i="4" a="1"/>
  <c r="AH270" i="4" s="1"/>
  <c r="AH269" i="4" a="1"/>
  <c r="AH269" i="4" s="1"/>
  <c r="AH268" i="4" a="1"/>
  <c r="AH268" i="4" s="1"/>
  <c r="AH267" i="4" a="1"/>
  <c r="AH267" i="4" s="1"/>
  <c r="AH266" i="4" a="1"/>
  <c r="AH266" i="4" s="1"/>
  <c r="AH265" i="4" a="1"/>
  <c r="AH265" i="4" s="1"/>
  <c r="AH264" i="4" a="1"/>
  <c r="AH264" i="4" s="1"/>
  <c r="AH263" i="4" a="1"/>
  <c r="AH263" i="4" s="1"/>
  <c r="AH262" i="4" a="1"/>
  <c r="AH262" i="4" s="1"/>
  <c r="AH261" i="4" a="1"/>
  <c r="AH261" i="4" s="1"/>
  <c r="AH260" i="4" a="1"/>
  <c r="AH260" i="4" s="1"/>
  <c r="AH259" i="4" a="1"/>
  <c r="AH259" i="4" s="1"/>
  <c r="AH258" i="4" a="1"/>
  <c r="AH258" i="4" s="1"/>
  <c r="AH257" i="4" a="1"/>
  <c r="AH257" i="4" s="1"/>
  <c r="AH256" i="4" a="1"/>
  <c r="AH256" i="4" s="1"/>
  <c r="AH255" i="4" a="1"/>
  <c r="AH255" i="4" s="1"/>
  <c r="AH254" i="4" a="1"/>
  <c r="AH254" i="4" s="1"/>
  <c r="AH253" i="4" a="1"/>
  <c r="AH253" i="4" s="1"/>
  <c r="AH252" i="4" a="1"/>
  <c r="AH252" i="4" s="1"/>
  <c r="AH251" i="4" a="1"/>
  <c r="AH251" i="4" s="1"/>
  <c r="AH250" i="4" a="1"/>
  <c r="AH250" i="4" s="1"/>
  <c r="AH249" i="4" a="1"/>
  <c r="AH249" i="4" s="1"/>
  <c r="AH248" i="4" a="1"/>
  <c r="AH248" i="4" s="1"/>
  <c r="AH247" i="4" a="1"/>
  <c r="AH247" i="4" s="1"/>
  <c r="AH246" i="4" a="1"/>
  <c r="AH246" i="4" s="1"/>
  <c r="AH245" i="4" a="1"/>
  <c r="AH245" i="4" s="1"/>
  <c r="AH244" i="4" a="1"/>
  <c r="AH244" i="4" s="1"/>
  <c r="AH243" i="4" a="1"/>
  <c r="AH243" i="4" s="1"/>
  <c r="AH242" i="4" a="1"/>
  <c r="AH242" i="4" s="1"/>
  <c r="AH241" i="4" a="1"/>
  <c r="AH241" i="4" s="1"/>
  <c r="AH240" i="4" a="1"/>
  <c r="AH240" i="4" s="1"/>
  <c r="AH239" i="4" a="1"/>
  <c r="AH239" i="4" s="1"/>
  <c r="AH238" i="4" a="1"/>
  <c r="AH238" i="4" s="1"/>
  <c r="AH237" i="4" a="1"/>
  <c r="AH237" i="4" s="1"/>
  <c r="AH236" i="4" a="1"/>
  <c r="AH236" i="4" s="1"/>
  <c r="AH235" i="4" a="1"/>
  <c r="AH235" i="4" s="1"/>
  <c r="AH234" i="4" a="1"/>
  <c r="AH234" i="4" s="1"/>
  <c r="AH233" i="4" a="1"/>
  <c r="AH233" i="4" s="1"/>
  <c r="AH232" i="4" a="1"/>
  <c r="AH232" i="4" s="1"/>
  <c r="AH231" i="4" a="1"/>
  <c r="AH231" i="4" s="1"/>
  <c r="AH230" i="4" a="1"/>
  <c r="AH230" i="4" s="1"/>
  <c r="AH229" i="4" a="1"/>
  <c r="AH229" i="4" s="1"/>
  <c r="AH228" i="4" a="1"/>
  <c r="AH228" i="4" s="1"/>
  <c r="AH227" i="4" a="1"/>
  <c r="AH227" i="4" s="1"/>
  <c r="AH226" i="4" a="1"/>
  <c r="AH226" i="4" s="1"/>
  <c r="AH225" i="4" a="1"/>
  <c r="AH225" i="4" s="1"/>
  <c r="AH224" i="4" a="1"/>
  <c r="AH224" i="4" s="1"/>
  <c r="AH223" i="4" a="1"/>
  <c r="AH223" i="4" s="1"/>
  <c r="AH222" i="4" a="1"/>
  <c r="AH222" i="4" s="1"/>
  <c r="AH221" i="4" a="1"/>
  <c r="AH221" i="4" s="1"/>
  <c r="AH220" i="4" a="1"/>
  <c r="AH220" i="4" s="1"/>
  <c r="AH219" i="4" a="1"/>
  <c r="AH219" i="4" s="1"/>
  <c r="AH218" i="4" a="1"/>
  <c r="AH218" i="4" s="1"/>
  <c r="AH217" i="4" a="1"/>
  <c r="AH217" i="4" s="1"/>
  <c r="AH216" i="4" a="1"/>
  <c r="AH216" i="4" s="1"/>
  <c r="AH215" i="4" a="1"/>
  <c r="AH215" i="4" s="1"/>
  <c r="AH214" i="4" a="1"/>
  <c r="AH214" i="4" s="1"/>
  <c r="AH213" i="4" a="1"/>
  <c r="AH213" i="4" s="1"/>
  <c r="AH212" i="4" a="1"/>
  <c r="AH212" i="4" s="1"/>
  <c r="AH211" i="4" a="1"/>
  <c r="AH211" i="4" s="1"/>
  <c r="AH210" i="4" a="1"/>
  <c r="AH210" i="4" s="1"/>
  <c r="AH209" i="4" a="1"/>
  <c r="AH209" i="4" s="1"/>
  <c r="AH208" i="4" a="1"/>
  <c r="AH208" i="4" s="1"/>
  <c r="AH207" i="4" a="1"/>
  <c r="AH207" i="4" s="1"/>
  <c r="AH206" i="4" a="1"/>
  <c r="AH206" i="4" s="1"/>
  <c r="AH205" i="4" a="1"/>
  <c r="AH205" i="4" s="1"/>
  <c r="AH204" i="4" a="1"/>
  <c r="AH204" i="4" s="1"/>
  <c r="AH203" i="4" a="1"/>
  <c r="AH203" i="4" s="1"/>
  <c r="AH202" i="4" a="1"/>
  <c r="AH202" i="4" s="1"/>
  <c r="AH201" i="4" a="1"/>
  <c r="AH201" i="4" s="1"/>
  <c r="AH200" i="4" a="1"/>
  <c r="AH200" i="4" s="1"/>
  <c r="AH199" i="4" a="1"/>
  <c r="AH199" i="4" s="1"/>
  <c r="AH198" i="4" a="1"/>
  <c r="AH198" i="4" s="1"/>
  <c r="AH197" i="4" a="1"/>
  <c r="AH197" i="4" s="1"/>
  <c r="AH196" i="4" a="1"/>
  <c r="AH196" i="4" s="1"/>
  <c r="AH195" i="4" a="1"/>
  <c r="AH195" i="4" s="1"/>
  <c r="AH194" i="4" a="1"/>
  <c r="AH194" i="4" s="1"/>
  <c r="AH193" i="4" a="1"/>
  <c r="AH193" i="4" s="1"/>
  <c r="AH192" i="4" a="1"/>
  <c r="AH192" i="4" s="1"/>
  <c r="AH191" i="4" a="1"/>
  <c r="AH191" i="4" s="1"/>
  <c r="AH190" i="4" a="1"/>
  <c r="AH190" i="4" s="1"/>
  <c r="AH189" i="4" a="1"/>
  <c r="AH189" i="4" s="1"/>
  <c r="AH188" i="4" a="1"/>
  <c r="AH188" i="4" s="1"/>
  <c r="AH187" i="4" a="1"/>
  <c r="AH187" i="4" s="1"/>
  <c r="AH186" i="4" a="1"/>
  <c r="AH186" i="4" s="1"/>
  <c r="AH185" i="4" a="1"/>
  <c r="AH185" i="4" s="1"/>
  <c r="AH184" i="4" a="1"/>
  <c r="AH184" i="4" s="1"/>
  <c r="AH183" i="4" a="1"/>
  <c r="AH183" i="4" s="1"/>
  <c r="AH182" i="4" a="1"/>
  <c r="AH182" i="4" s="1"/>
  <c r="AH181" i="4" a="1"/>
  <c r="AH181" i="4" s="1"/>
  <c r="AH180" i="4" a="1"/>
  <c r="AH180" i="4" s="1"/>
  <c r="AH179" i="4" a="1"/>
  <c r="AH179" i="4" s="1"/>
  <c r="AH178" i="4" a="1"/>
  <c r="AH178" i="4" s="1"/>
  <c r="AH177" i="4" a="1"/>
  <c r="AH177" i="4" s="1"/>
  <c r="AH176" i="4" a="1"/>
  <c r="AH176" i="4" s="1"/>
  <c r="AH175" i="4" a="1"/>
  <c r="AH175" i="4" s="1"/>
  <c r="AH174" i="4" a="1"/>
  <c r="AH174" i="4" s="1"/>
  <c r="AH173" i="4" a="1"/>
  <c r="AH173" i="4" s="1"/>
  <c r="AH172" i="4" a="1"/>
  <c r="AH172" i="4" s="1"/>
  <c r="AH171" i="4" a="1"/>
  <c r="AH171" i="4" s="1"/>
  <c r="AH170" i="4" a="1"/>
  <c r="AH170" i="4" s="1"/>
  <c r="AH169" i="4" a="1"/>
  <c r="AH169" i="4" s="1"/>
  <c r="AH168" i="4" a="1"/>
  <c r="AH168" i="4" s="1"/>
  <c r="AH167" i="4" a="1"/>
  <c r="AH167" i="4" s="1"/>
  <c r="AH166" i="4" a="1"/>
  <c r="AH166" i="4" s="1"/>
  <c r="AH165" i="4" a="1"/>
  <c r="AH165" i="4" s="1"/>
  <c r="AH164" i="4" a="1"/>
  <c r="AH164" i="4" s="1"/>
  <c r="AH163" i="4" a="1"/>
  <c r="AH163" i="4" s="1"/>
  <c r="AH162" i="4" a="1"/>
  <c r="AH162" i="4" s="1"/>
  <c r="AH161" i="4" a="1"/>
  <c r="AH161" i="4" s="1"/>
  <c r="AH160" i="4" a="1"/>
  <c r="AH160" i="4" s="1"/>
  <c r="AH159" i="4" a="1"/>
  <c r="AH159" i="4" s="1"/>
  <c r="AH158" i="4" a="1"/>
  <c r="AH158" i="4" s="1"/>
  <c r="AH157" i="4" a="1"/>
  <c r="AH157" i="4" s="1"/>
  <c r="AH156" i="4" a="1"/>
  <c r="AH156" i="4" s="1"/>
  <c r="AH155" i="4" a="1"/>
  <c r="AH155" i="4" s="1"/>
  <c r="AH154" i="4" a="1"/>
  <c r="AH154" i="4" s="1"/>
  <c r="AH153" i="4" a="1"/>
  <c r="AH153" i="4" s="1"/>
  <c r="AH152" i="4" a="1"/>
  <c r="AH152" i="4" s="1"/>
  <c r="AH151" i="4" a="1"/>
  <c r="AH151" i="4" s="1"/>
  <c r="AH150" i="4" a="1"/>
  <c r="AH150" i="4" s="1"/>
  <c r="AH149" i="4" a="1"/>
  <c r="AH149" i="4" s="1"/>
  <c r="AH148" i="4" a="1"/>
  <c r="AH148" i="4" s="1"/>
  <c r="AH147" i="4" a="1"/>
  <c r="AH147" i="4" s="1"/>
  <c r="AH146" i="4" a="1"/>
  <c r="AH146" i="4" s="1"/>
  <c r="AH145" i="4" a="1"/>
  <c r="AH145" i="4" s="1"/>
  <c r="AH144" i="4" a="1"/>
  <c r="AH144" i="4" s="1"/>
  <c r="AH143" i="4" a="1"/>
  <c r="AH143" i="4" s="1"/>
  <c r="AH142" i="4" a="1"/>
  <c r="AH142" i="4" s="1"/>
  <c r="AH141" i="4" a="1"/>
  <c r="AH141" i="4" s="1"/>
  <c r="AH140" i="4" a="1"/>
  <c r="AH140" i="4" s="1"/>
  <c r="AH139" i="4" a="1"/>
  <c r="AH139" i="4" s="1"/>
  <c r="AH138" i="4" a="1"/>
  <c r="AH138" i="4" s="1"/>
  <c r="AH137" i="4" a="1"/>
  <c r="AH137" i="4" s="1"/>
  <c r="AH136" i="4" a="1"/>
  <c r="AH136" i="4" s="1"/>
  <c r="AH135" i="4" a="1"/>
  <c r="AH135" i="4" s="1"/>
  <c r="AH134" i="4" a="1"/>
  <c r="AH134" i="4" s="1"/>
  <c r="AH133" i="4" a="1"/>
  <c r="AH133" i="4" s="1"/>
  <c r="AH132" i="4" a="1"/>
  <c r="AH132" i="4" s="1"/>
  <c r="AH131" i="4" a="1"/>
  <c r="AH131" i="4" s="1"/>
  <c r="AH130" i="4" a="1"/>
  <c r="AH130" i="4" s="1"/>
  <c r="AH129" i="4" a="1"/>
  <c r="AH129" i="4" s="1"/>
  <c r="AH128" i="4" a="1"/>
  <c r="AH128" i="4" s="1"/>
  <c r="AH127" i="4" a="1"/>
  <c r="AH127" i="4" s="1"/>
  <c r="AH126" i="4" a="1"/>
  <c r="AH126" i="4" s="1"/>
  <c r="AH125" i="4" a="1"/>
  <c r="AH125" i="4" s="1"/>
  <c r="AH124" i="4" a="1"/>
  <c r="AH124" i="4" s="1"/>
  <c r="AH123" i="4" a="1"/>
  <c r="AH123" i="4" s="1"/>
  <c r="AH122" i="4" a="1"/>
  <c r="AH122" i="4" s="1"/>
  <c r="AH121" i="4" a="1"/>
  <c r="AH121" i="4" s="1"/>
  <c r="AH120" i="4" a="1"/>
  <c r="AH120" i="4" s="1"/>
  <c r="AH119" i="4" a="1"/>
  <c r="AH119" i="4" s="1"/>
  <c r="AH118" i="4" a="1"/>
  <c r="AH118" i="4" s="1"/>
  <c r="AH117" i="4" a="1"/>
  <c r="AH117" i="4" s="1"/>
  <c r="AH116" i="4" a="1"/>
  <c r="AH116" i="4" s="1"/>
  <c r="AH115" i="4" a="1"/>
  <c r="AH115" i="4" s="1"/>
  <c r="AH114" i="4" a="1"/>
  <c r="AH114" i="4" s="1"/>
  <c r="AH113" i="4" a="1"/>
  <c r="AH113" i="4" s="1"/>
  <c r="AH112" i="4" a="1"/>
  <c r="AH112" i="4" s="1"/>
  <c r="AH111" i="4" a="1"/>
  <c r="AH111" i="4" s="1"/>
  <c r="AH110" i="4" a="1"/>
  <c r="AH110" i="4" s="1"/>
  <c r="AH109" i="4" a="1"/>
  <c r="AH109" i="4" s="1"/>
  <c r="AH108" i="4" a="1"/>
  <c r="AH108" i="4" s="1"/>
  <c r="AH107" i="4" a="1"/>
  <c r="AH107" i="4" s="1"/>
  <c r="AH106" i="4" a="1"/>
  <c r="AH106" i="4" s="1"/>
  <c r="AH105" i="4" a="1"/>
  <c r="AH105" i="4" s="1"/>
  <c r="AH104" i="4" a="1"/>
  <c r="AH104" i="4" s="1"/>
  <c r="AH103" i="4" a="1"/>
  <c r="AH103" i="4" s="1"/>
  <c r="AH102" i="4" a="1"/>
  <c r="AH102" i="4" s="1"/>
  <c r="AH101" i="4" a="1"/>
  <c r="AH101" i="4" s="1"/>
  <c r="AH100" i="4" a="1"/>
  <c r="AH100" i="4" s="1"/>
  <c r="AH99" i="4" a="1"/>
  <c r="AH99" i="4" s="1"/>
  <c r="AH98" i="4" a="1"/>
  <c r="AH98" i="4" s="1"/>
  <c r="AH97" i="4" a="1"/>
  <c r="AH97" i="4" s="1"/>
  <c r="AH96" i="4" a="1"/>
  <c r="AH96" i="4" s="1"/>
  <c r="AH95" i="4" a="1"/>
  <c r="AH95" i="4" s="1"/>
  <c r="AH94" i="4" a="1"/>
  <c r="AH94" i="4" s="1"/>
  <c r="AH93" i="4" a="1"/>
  <c r="AH93" i="4" s="1"/>
  <c r="AH92" i="4" a="1"/>
  <c r="AH92" i="4" s="1"/>
  <c r="AH91" i="4" a="1"/>
  <c r="AH91" i="4" s="1"/>
  <c r="AH90" i="4" a="1"/>
  <c r="AH90" i="4" s="1"/>
  <c r="AH89" i="4" a="1"/>
  <c r="AH89" i="4" s="1"/>
  <c r="AH88" i="4" a="1"/>
  <c r="AH88" i="4" s="1"/>
  <c r="AH87" i="4" a="1"/>
  <c r="AH87" i="4" s="1"/>
  <c r="AH86" i="4" a="1"/>
  <c r="AH86" i="4" s="1"/>
  <c r="AH85" i="4" a="1"/>
  <c r="AH85" i="4" s="1"/>
  <c r="AH84" i="4" a="1"/>
  <c r="AH84" i="4" s="1"/>
  <c r="AH83" i="4" a="1"/>
  <c r="AH83" i="4" s="1"/>
  <c r="AH82" i="4" a="1"/>
  <c r="AH82" i="4" s="1"/>
  <c r="AH81" i="4" a="1"/>
  <c r="AH81" i="4" s="1"/>
  <c r="AH80" i="4" a="1"/>
  <c r="AH80" i="4" s="1"/>
  <c r="AH79" i="4" a="1"/>
  <c r="AH79" i="4" s="1"/>
  <c r="AH78" i="4" a="1"/>
  <c r="AH78" i="4" s="1"/>
  <c r="AH77" i="4" a="1"/>
  <c r="AH77" i="4" s="1"/>
  <c r="AH76" i="4" a="1"/>
  <c r="AH76" i="4" s="1"/>
  <c r="AH75" i="4" a="1"/>
  <c r="AH75" i="4" s="1"/>
  <c r="AH74" i="4" a="1"/>
  <c r="AH74" i="4" s="1"/>
  <c r="AH73" i="4" a="1"/>
  <c r="AH73" i="4" s="1"/>
  <c r="AH72" i="4" a="1"/>
  <c r="AH72" i="4" s="1"/>
  <c r="AH71" i="4" a="1"/>
  <c r="AH71" i="4" s="1"/>
  <c r="AH70" i="4" a="1"/>
  <c r="AH70" i="4" s="1"/>
  <c r="AH69" i="4" a="1"/>
  <c r="AH69" i="4" s="1"/>
  <c r="AH68" i="4" a="1"/>
  <c r="AH68" i="4" s="1"/>
  <c r="AH67" i="4" a="1"/>
  <c r="AH67" i="4" s="1"/>
  <c r="AH66" i="4" a="1"/>
  <c r="AH66" i="4" s="1"/>
  <c r="AH65" i="4" a="1"/>
  <c r="AH65" i="4" s="1"/>
  <c r="AH64" i="4" a="1"/>
  <c r="AH64" i="4" s="1"/>
  <c r="AH63" i="4" a="1"/>
  <c r="AH63" i="4" s="1"/>
  <c r="AH62" i="4" a="1"/>
  <c r="AH62" i="4" s="1"/>
  <c r="AH61" i="4" a="1"/>
  <c r="AH61" i="4" s="1"/>
  <c r="AH60" i="4" a="1"/>
  <c r="AH60" i="4" s="1"/>
  <c r="AH59" i="4" a="1"/>
  <c r="AH59" i="4" s="1"/>
  <c r="AH58" i="4" a="1"/>
  <c r="AH58" i="4" s="1"/>
  <c r="AH57" i="4" a="1"/>
  <c r="AH57" i="4" s="1"/>
  <c r="AH56" i="4" a="1"/>
  <c r="AH56" i="4" s="1"/>
  <c r="AH55" i="4" a="1"/>
  <c r="AH55" i="4" s="1"/>
  <c r="AH54" i="4" a="1"/>
  <c r="AH54" i="4" s="1"/>
  <c r="AH53" i="4" a="1"/>
  <c r="AH53" i="4" s="1"/>
  <c r="AH52" i="4" a="1"/>
  <c r="AH52" i="4" s="1"/>
  <c r="AH51" i="4" a="1"/>
  <c r="AH51" i="4" s="1"/>
  <c r="AH50" i="4" a="1"/>
  <c r="AH50" i="4" s="1"/>
  <c r="AH49" i="4" a="1"/>
  <c r="AH49" i="4" s="1"/>
  <c r="AH48" i="4" a="1"/>
  <c r="AH48" i="4" s="1"/>
  <c r="AH47" i="4" a="1"/>
  <c r="AH47" i="4" s="1"/>
  <c r="AH46" i="4" a="1"/>
  <c r="AH46" i="4" s="1"/>
  <c r="AH45" i="4" a="1"/>
  <c r="AH45" i="4" s="1"/>
  <c r="AH44" i="4" a="1"/>
  <c r="AH44" i="4" s="1"/>
  <c r="AH43" i="4" a="1"/>
  <c r="AH43" i="4" s="1"/>
  <c r="AH42" i="4" a="1"/>
  <c r="AH42" i="4" s="1"/>
  <c r="AH41" i="4" a="1"/>
  <c r="AH41" i="4" s="1"/>
  <c r="AH40" i="4" a="1"/>
  <c r="AH40" i="4" s="1"/>
  <c r="AH39" i="4" a="1"/>
  <c r="AH39" i="4" s="1"/>
  <c r="AH38" i="4" a="1"/>
  <c r="AH38" i="4" s="1"/>
  <c r="AH37" i="4" a="1"/>
  <c r="AH37" i="4" s="1"/>
  <c r="AH36" i="4" a="1"/>
  <c r="AH36" i="4" s="1"/>
  <c r="AH35" i="4" a="1"/>
  <c r="AH35" i="4" s="1"/>
  <c r="AH34" i="4" a="1"/>
  <c r="AH34" i="4" s="1"/>
  <c r="AH33" i="4" a="1"/>
  <c r="AH33" i="4" s="1"/>
  <c r="AH32" i="4" a="1"/>
  <c r="AH32" i="4" s="1"/>
  <c r="AH31" i="4" a="1"/>
  <c r="AH31" i="4" s="1"/>
  <c r="Z36" i="4" a="1"/>
  <c r="Z36" i="4" s="1"/>
  <c r="V26" i="4" a="1"/>
  <c r="V26" i="4" s="1"/>
  <c r="H601" i="4" a="1"/>
  <c r="H601" i="4" s="1"/>
  <c r="H600" i="4" a="1"/>
  <c r="H600" i="4" s="1"/>
  <c r="H599" i="4" a="1"/>
  <c r="H599" i="4" s="1"/>
  <c r="H598" i="4" a="1"/>
  <c r="H598" i="4" s="1"/>
  <c r="H597" i="4" a="1"/>
  <c r="H597" i="4" s="1"/>
  <c r="H596" i="4" a="1"/>
  <c r="H596" i="4" s="1"/>
  <c r="H595" i="4" a="1"/>
  <c r="H595" i="4" s="1"/>
  <c r="H594" i="4" a="1"/>
  <c r="H594" i="4" s="1"/>
  <c r="H593" i="4" a="1"/>
  <c r="H593" i="4" s="1"/>
  <c r="H592" i="4" a="1"/>
  <c r="H592" i="4" s="1"/>
  <c r="H591" i="4" a="1"/>
  <c r="H591" i="4" s="1"/>
  <c r="H590" i="4" a="1"/>
  <c r="H590" i="4" s="1"/>
  <c r="H589" i="4" a="1"/>
  <c r="H589" i="4" s="1"/>
  <c r="H588" i="4" a="1"/>
  <c r="H588" i="4" s="1"/>
  <c r="H587" i="4" a="1"/>
  <c r="H587" i="4" s="1"/>
  <c r="H586" i="4" a="1"/>
  <c r="H586" i="4" s="1"/>
  <c r="H585" i="4" a="1"/>
  <c r="H585" i="4" s="1"/>
  <c r="H584" i="4" a="1"/>
  <c r="H584" i="4" s="1"/>
  <c r="H583" i="4" a="1"/>
  <c r="H583" i="4" s="1"/>
  <c r="H582" i="4" a="1"/>
  <c r="H582" i="4" s="1"/>
  <c r="H581" i="4" a="1"/>
  <c r="H581" i="4" s="1"/>
  <c r="H580" i="4" a="1"/>
  <c r="H580" i="4" s="1"/>
  <c r="H579" i="4" a="1"/>
  <c r="H579" i="4" s="1"/>
  <c r="H578" i="4" a="1"/>
  <c r="H578" i="4" s="1"/>
  <c r="H577" i="4" a="1"/>
  <c r="H577" i="4" s="1"/>
  <c r="H576" i="4" a="1"/>
  <c r="H576" i="4" s="1"/>
  <c r="H575" i="4" a="1"/>
  <c r="H575" i="4" s="1"/>
  <c r="H574" i="4" a="1"/>
  <c r="H574" i="4" s="1"/>
  <c r="H573" i="4" a="1"/>
  <c r="H573" i="4" s="1"/>
  <c r="H572" i="4" a="1"/>
  <c r="H572" i="4" s="1"/>
  <c r="H571" i="4" a="1"/>
  <c r="H571" i="4" s="1"/>
  <c r="H570" i="4" a="1"/>
  <c r="H570" i="4" s="1"/>
  <c r="H569" i="4" a="1"/>
  <c r="H569" i="4" s="1"/>
  <c r="H568" i="4" a="1"/>
  <c r="H568" i="4" s="1"/>
  <c r="H567" i="4" a="1"/>
  <c r="H567" i="4" s="1"/>
  <c r="H566" i="4" a="1"/>
  <c r="H566" i="4" s="1"/>
  <c r="H565" i="4" a="1"/>
  <c r="H565" i="4" s="1"/>
  <c r="H564" i="4" a="1"/>
  <c r="H564" i="4" s="1"/>
  <c r="H563" i="4" a="1"/>
  <c r="H563" i="4" s="1"/>
  <c r="H562" i="4" a="1"/>
  <c r="H562" i="4" s="1"/>
  <c r="H561" i="4" a="1"/>
  <c r="H561" i="4" s="1"/>
  <c r="H560" i="4" a="1"/>
  <c r="H560" i="4" s="1"/>
  <c r="H559" i="4" a="1"/>
  <c r="H559" i="4" s="1"/>
  <c r="H558" i="4" a="1"/>
  <c r="H558" i="4" s="1"/>
  <c r="H557" i="4"/>
  <c r="H557" i="4" a="1"/>
  <c r="H556" i="4" a="1"/>
  <c r="H556" i="4" s="1"/>
  <c r="H555" i="4" a="1"/>
  <c r="H555" i="4" s="1"/>
  <c r="H554" i="4" a="1"/>
  <c r="H554" i="4" s="1"/>
  <c r="H553" i="4" a="1"/>
  <c r="H553" i="4" s="1"/>
  <c r="H552" i="4" a="1"/>
  <c r="H552" i="4" s="1"/>
  <c r="H551" i="4" a="1"/>
  <c r="H551" i="4" s="1"/>
  <c r="H550" i="4" a="1"/>
  <c r="H550" i="4" s="1"/>
  <c r="H549" i="4" a="1"/>
  <c r="H549" i="4" s="1"/>
  <c r="H548" i="4" a="1"/>
  <c r="H548" i="4" s="1"/>
  <c r="H547" i="4" a="1"/>
  <c r="H547" i="4" s="1"/>
  <c r="H546" i="4" a="1"/>
  <c r="H546" i="4" s="1"/>
  <c r="H545" i="4" a="1"/>
  <c r="H545" i="4" s="1"/>
  <c r="H544" i="4" a="1"/>
  <c r="H544" i="4" s="1"/>
  <c r="H543" i="4" a="1"/>
  <c r="H543" i="4" s="1"/>
  <c r="H542" i="4" a="1"/>
  <c r="H542" i="4" s="1"/>
  <c r="H541" i="4" a="1"/>
  <c r="H541" i="4" s="1"/>
  <c r="H540" i="4" a="1"/>
  <c r="H540" i="4" s="1"/>
  <c r="H539" i="4" a="1"/>
  <c r="H539" i="4" s="1"/>
  <c r="H538" i="4" a="1"/>
  <c r="H538" i="4" s="1"/>
  <c r="H537" i="4" a="1"/>
  <c r="H537" i="4" s="1"/>
  <c r="H536" i="4" a="1"/>
  <c r="H536" i="4" s="1"/>
  <c r="H535" i="4" a="1"/>
  <c r="H535" i="4" s="1"/>
  <c r="H534" i="4" a="1"/>
  <c r="H534" i="4" s="1"/>
  <c r="H533" i="4" a="1"/>
  <c r="H533" i="4" s="1"/>
  <c r="H532" i="4" a="1"/>
  <c r="H532" i="4" s="1"/>
  <c r="H531" i="4" a="1"/>
  <c r="H531" i="4" s="1"/>
  <c r="H530" i="4" a="1"/>
  <c r="H530" i="4" s="1"/>
  <c r="H529" i="4" a="1"/>
  <c r="H529" i="4" s="1"/>
  <c r="H528" i="4" a="1"/>
  <c r="H528" i="4" s="1"/>
  <c r="H527" i="4" a="1"/>
  <c r="H527" i="4" s="1"/>
  <c r="H526" i="4" a="1"/>
  <c r="H526" i="4" s="1"/>
  <c r="H525" i="4" a="1"/>
  <c r="H525" i="4" s="1"/>
  <c r="H524" i="4" a="1"/>
  <c r="H524" i="4" s="1"/>
  <c r="H523" i="4" a="1"/>
  <c r="H523" i="4" s="1"/>
  <c r="H522" i="4" a="1"/>
  <c r="H522" i="4" s="1"/>
  <c r="H521" i="4" a="1"/>
  <c r="H521" i="4" s="1"/>
  <c r="H520" i="4" a="1"/>
  <c r="H520" i="4" s="1"/>
  <c r="H519" i="4" a="1"/>
  <c r="H519" i="4" s="1"/>
  <c r="H518" i="4" a="1"/>
  <c r="H518" i="4" s="1"/>
  <c r="H517" i="4" a="1"/>
  <c r="H517" i="4" s="1"/>
  <c r="H516" i="4" a="1"/>
  <c r="H516" i="4" s="1"/>
  <c r="H515" i="4" a="1"/>
  <c r="H515" i="4" s="1"/>
  <c r="H514" i="4" a="1"/>
  <c r="H514" i="4" s="1"/>
  <c r="H513" i="4" a="1"/>
  <c r="H513" i="4" s="1"/>
  <c r="H512" i="4" a="1"/>
  <c r="H512" i="4" s="1"/>
  <c r="H511" i="4" a="1"/>
  <c r="H511" i="4" s="1"/>
  <c r="H510" i="4" a="1"/>
  <c r="H510" i="4" s="1"/>
  <c r="H509" i="4" a="1"/>
  <c r="H509" i="4" s="1"/>
  <c r="H508" i="4" a="1"/>
  <c r="H508" i="4" s="1"/>
  <c r="H507" i="4" a="1"/>
  <c r="H507" i="4" s="1"/>
  <c r="H506" i="4" a="1"/>
  <c r="H506" i="4" s="1"/>
  <c r="H505" i="4" a="1"/>
  <c r="H505" i="4" s="1"/>
  <c r="H504" i="4" a="1"/>
  <c r="H504" i="4" s="1"/>
  <c r="H503" i="4" a="1"/>
  <c r="H503" i="4" s="1"/>
  <c r="H502" i="4" a="1"/>
  <c r="H502" i="4" s="1"/>
  <c r="H501" i="4" a="1"/>
  <c r="H501" i="4" s="1"/>
  <c r="H500" i="4" a="1"/>
  <c r="H500" i="4" s="1"/>
  <c r="H499" i="4" a="1"/>
  <c r="H499" i="4" s="1"/>
  <c r="H498" i="4" a="1"/>
  <c r="H498" i="4" s="1"/>
  <c r="H497" i="4" a="1"/>
  <c r="H497" i="4" s="1"/>
  <c r="H496" i="4" a="1"/>
  <c r="H496" i="4" s="1"/>
  <c r="H495" i="4" a="1"/>
  <c r="H495" i="4" s="1"/>
  <c r="H494" i="4" a="1"/>
  <c r="H494" i="4" s="1"/>
  <c r="H493" i="4" a="1"/>
  <c r="H493" i="4" s="1"/>
  <c r="H492" i="4" a="1"/>
  <c r="H492" i="4" s="1"/>
  <c r="H491" i="4" a="1"/>
  <c r="H491" i="4" s="1"/>
  <c r="H490" i="4" a="1"/>
  <c r="H490" i="4" s="1"/>
  <c r="H489" i="4" a="1"/>
  <c r="H489" i="4" s="1"/>
  <c r="H488" i="4" a="1"/>
  <c r="H488" i="4" s="1"/>
  <c r="H487" i="4" a="1"/>
  <c r="H487" i="4" s="1"/>
  <c r="H486" i="4" a="1"/>
  <c r="H486" i="4" s="1"/>
  <c r="H485" i="4" a="1"/>
  <c r="H485" i="4" s="1"/>
  <c r="H484" i="4" a="1"/>
  <c r="H484" i="4" s="1"/>
  <c r="H483" i="4" a="1"/>
  <c r="H483" i="4" s="1"/>
  <c r="H482" i="4" a="1"/>
  <c r="H482" i="4" s="1"/>
  <c r="H481" i="4" a="1"/>
  <c r="H481" i="4" s="1"/>
  <c r="H480" i="4" a="1"/>
  <c r="H480" i="4" s="1"/>
  <c r="H479" i="4" a="1"/>
  <c r="H479" i="4" s="1"/>
  <c r="H478" i="4" a="1"/>
  <c r="H478" i="4" s="1"/>
  <c r="H477" i="4" a="1"/>
  <c r="H477" i="4" s="1"/>
  <c r="H476" i="4" a="1"/>
  <c r="H476" i="4" s="1"/>
  <c r="H475" i="4" a="1"/>
  <c r="H475" i="4" s="1"/>
  <c r="H474" i="4" a="1"/>
  <c r="H474" i="4" s="1"/>
  <c r="H473" i="4" a="1"/>
  <c r="H473" i="4" s="1"/>
  <c r="H472" i="4" a="1"/>
  <c r="H472" i="4" s="1"/>
  <c r="H471" i="4" a="1"/>
  <c r="H471" i="4" s="1"/>
  <c r="H470" i="4" a="1"/>
  <c r="H470" i="4" s="1"/>
  <c r="H469" i="4" a="1"/>
  <c r="H469" i="4" s="1"/>
  <c r="H468" i="4" a="1"/>
  <c r="H468" i="4" s="1"/>
  <c r="H467" i="4" a="1"/>
  <c r="H467" i="4" s="1"/>
  <c r="H466" i="4" a="1"/>
  <c r="H466" i="4" s="1"/>
  <c r="H465" i="4" a="1"/>
  <c r="H465" i="4" s="1"/>
  <c r="H464" i="4" a="1"/>
  <c r="H464" i="4" s="1"/>
  <c r="H463" i="4" a="1"/>
  <c r="H463" i="4" s="1"/>
  <c r="H462" i="4" a="1"/>
  <c r="H462" i="4" s="1"/>
  <c r="H461" i="4"/>
  <c r="H461" i="4" a="1"/>
  <c r="H460" i="4" a="1"/>
  <c r="H460" i="4" s="1"/>
  <c r="H459" i="4" a="1"/>
  <c r="H459" i="4" s="1"/>
  <c r="H458" i="4" a="1"/>
  <c r="H458" i="4" s="1"/>
  <c r="H457" i="4" a="1"/>
  <c r="H457" i="4" s="1"/>
  <c r="H456" i="4" a="1"/>
  <c r="H456" i="4" s="1"/>
  <c r="H455" i="4" a="1"/>
  <c r="H455" i="4" s="1"/>
  <c r="H454" i="4" a="1"/>
  <c r="H454" i="4" s="1"/>
  <c r="H453" i="4" a="1"/>
  <c r="H453" i="4" s="1"/>
  <c r="H452" i="4" a="1"/>
  <c r="H452" i="4" s="1"/>
  <c r="H451" i="4" a="1"/>
  <c r="H451" i="4" s="1"/>
  <c r="H450" i="4" a="1"/>
  <c r="H450" i="4" s="1"/>
  <c r="H449" i="4" a="1"/>
  <c r="H449" i="4" s="1"/>
  <c r="H448" i="4" a="1"/>
  <c r="H448" i="4" s="1"/>
  <c r="H447" i="4" a="1"/>
  <c r="H447" i="4" s="1"/>
  <c r="H446" i="4" a="1"/>
  <c r="H446" i="4" s="1"/>
  <c r="H445" i="4" a="1"/>
  <c r="H445" i="4" s="1"/>
  <c r="H444" i="4" a="1"/>
  <c r="H444" i="4" s="1"/>
  <c r="H443" i="4" a="1"/>
  <c r="H443" i="4" s="1"/>
  <c r="H442" i="4" a="1"/>
  <c r="H442" i="4" s="1"/>
  <c r="H441" i="4" a="1"/>
  <c r="H441" i="4" s="1"/>
  <c r="H440" i="4" a="1"/>
  <c r="H440" i="4" s="1"/>
  <c r="H439" i="4" a="1"/>
  <c r="H439" i="4" s="1"/>
  <c r="H438" i="4" a="1"/>
  <c r="H438" i="4" s="1"/>
  <c r="H437" i="4" a="1"/>
  <c r="H437" i="4" s="1"/>
  <c r="H436" i="4" a="1"/>
  <c r="H436" i="4" s="1"/>
  <c r="H435" i="4" a="1"/>
  <c r="H435" i="4" s="1"/>
  <c r="H434" i="4" a="1"/>
  <c r="H434" i="4" s="1"/>
  <c r="H433" i="4" a="1"/>
  <c r="H433" i="4" s="1"/>
  <c r="H432" i="4" a="1"/>
  <c r="H432" i="4" s="1"/>
  <c r="H431" i="4" a="1"/>
  <c r="H431" i="4" s="1"/>
  <c r="H430" i="4" a="1"/>
  <c r="H430" i="4" s="1"/>
  <c r="H429" i="4" a="1"/>
  <c r="H429" i="4" s="1"/>
  <c r="H428" i="4" a="1"/>
  <c r="H428" i="4" s="1"/>
  <c r="H427" i="4" a="1"/>
  <c r="H427" i="4" s="1"/>
  <c r="H426" i="4" a="1"/>
  <c r="H426" i="4" s="1"/>
  <c r="H425" i="4" a="1"/>
  <c r="H425" i="4" s="1"/>
  <c r="H424" i="4" a="1"/>
  <c r="H424" i="4" s="1"/>
  <c r="H423" i="4" a="1"/>
  <c r="H423" i="4" s="1"/>
  <c r="H422" i="4" a="1"/>
  <c r="H422" i="4" s="1"/>
  <c r="H421" i="4" a="1"/>
  <c r="H421" i="4" s="1"/>
  <c r="H420" i="4" a="1"/>
  <c r="H420" i="4" s="1"/>
  <c r="H419" i="4" a="1"/>
  <c r="H419" i="4" s="1"/>
  <c r="H418" i="4" a="1"/>
  <c r="H418" i="4" s="1"/>
  <c r="H417" i="4" a="1"/>
  <c r="H417" i="4" s="1"/>
  <c r="H416" i="4" a="1"/>
  <c r="H416" i="4" s="1"/>
  <c r="H415" i="4" a="1"/>
  <c r="H415" i="4" s="1"/>
  <c r="H414" i="4" a="1"/>
  <c r="H414" i="4" s="1"/>
  <c r="H413" i="4" a="1"/>
  <c r="H413" i="4" s="1"/>
  <c r="H412" i="4" a="1"/>
  <c r="H412" i="4" s="1"/>
  <c r="H411" i="4" a="1"/>
  <c r="H411" i="4" s="1"/>
  <c r="H410" i="4" a="1"/>
  <c r="H410" i="4" s="1"/>
  <c r="H409" i="4" a="1"/>
  <c r="H409" i="4" s="1"/>
  <c r="H408" i="4" a="1"/>
  <c r="H408" i="4" s="1"/>
  <c r="H407" i="4" a="1"/>
  <c r="H407" i="4" s="1"/>
  <c r="H406" i="4" a="1"/>
  <c r="H406" i="4" s="1"/>
  <c r="H405" i="4" a="1"/>
  <c r="H405" i="4" s="1"/>
  <c r="H404" i="4" a="1"/>
  <c r="H404" i="4" s="1"/>
  <c r="H403" i="4" a="1"/>
  <c r="H403" i="4" s="1"/>
  <c r="H402" i="4" a="1"/>
  <c r="H402" i="4" s="1"/>
  <c r="H401" i="4" a="1"/>
  <c r="H401" i="4" s="1"/>
  <c r="H400" i="4" a="1"/>
  <c r="H400" i="4" s="1"/>
  <c r="H399" i="4" a="1"/>
  <c r="H399" i="4" s="1"/>
  <c r="H398" i="4" a="1"/>
  <c r="H398" i="4" s="1"/>
  <c r="H397" i="4" a="1"/>
  <c r="H397" i="4" s="1"/>
  <c r="H396" i="4" a="1"/>
  <c r="H396" i="4" s="1"/>
  <c r="H395" i="4" a="1"/>
  <c r="H395" i="4" s="1"/>
  <c r="H394" i="4" a="1"/>
  <c r="H394" i="4" s="1"/>
  <c r="H393" i="4" a="1"/>
  <c r="H393" i="4" s="1"/>
  <c r="H392" i="4" a="1"/>
  <c r="H392" i="4" s="1"/>
  <c r="H391" i="4" a="1"/>
  <c r="H391" i="4" s="1"/>
  <c r="H390" i="4" a="1"/>
  <c r="H390" i="4" s="1"/>
  <c r="H389" i="4" a="1"/>
  <c r="H389" i="4" s="1"/>
  <c r="H388" i="4" a="1"/>
  <c r="H388" i="4" s="1"/>
  <c r="H387" i="4" a="1"/>
  <c r="H387" i="4" s="1"/>
  <c r="H386" i="4" a="1"/>
  <c r="H386" i="4" s="1"/>
  <c r="H385" i="4" a="1"/>
  <c r="H385" i="4" s="1"/>
  <c r="H384" i="4" a="1"/>
  <c r="H384" i="4" s="1"/>
  <c r="H383" i="4" a="1"/>
  <c r="H383" i="4" s="1"/>
  <c r="H382" i="4" a="1"/>
  <c r="H382" i="4" s="1"/>
  <c r="H381" i="4" a="1"/>
  <c r="H381" i="4" s="1"/>
  <c r="H380" i="4" a="1"/>
  <c r="H380" i="4" s="1"/>
  <c r="H379" i="4" a="1"/>
  <c r="H379" i="4" s="1"/>
  <c r="H378" i="4" a="1"/>
  <c r="H378" i="4" s="1"/>
  <c r="H377" i="4" a="1"/>
  <c r="H377" i="4" s="1"/>
  <c r="H376" i="4" a="1"/>
  <c r="H376" i="4" s="1"/>
  <c r="H375" i="4" a="1"/>
  <c r="H375" i="4" s="1"/>
  <c r="H374" i="4" a="1"/>
  <c r="H374" i="4" s="1"/>
  <c r="H373" i="4" a="1"/>
  <c r="H373" i="4" s="1"/>
  <c r="H372" i="4" a="1"/>
  <c r="H372" i="4" s="1"/>
  <c r="H371" i="4" a="1"/>
  <c r="H371" i="4" s="1"/>
  <c r="H370" i="4" a="1"/>
  <c r="H370" i="4" s="1"/>
  <c r="H369" i="4" a="1"/>
  <c r="H369" i="4" s="1"/>
  <c r="H368" i="4" a="1"/>
  <c r="H368" i="4" s="1"/>
  <c r="H367" i="4" a="1"/>
  <c r="H367" i="4" s="1"/>
  <c r="H366" i="4" a="1"/>
  <c r="H366" i="4" s="1"/>
  <c r="H365" i="4" a="1"/>
  <c r="H365" i="4" s="1"/>
  <c r="H364" i="4" a="1"/>
  <c r="H364" i="4" s="1"/>
  <c r="H363" i="4" a="1"/>
  <c r="H363" i="4" s="1"/>
  <c r="H362" i="4" a="1"/>
  <c r="H362" i="4" s="1"/>
  <c r="H361" i="4" a="1"/>
  <c r="H361" i="4" s="1"/>
  <c r="H360" i="4" a="1"/>
  <c r="H360" i="4" s="1"/>
  <c r="H359" i="4" a="1"/>
  <c r="H359" i="4" s="1"/>
  <c r="H358" i="4" a="1"/>
  <c r="H358" i="4" s="1"/>
  <c r="H357" i="4" a="1"/>
  <c r="H357" i="4" s="1"/>
  <c r="H356" i="4" a="1"/>
  <c r="H356" i="4" s="1"/>
  <c r="H355" i="4" a="1"/>
  <c r="H355" i="4" s="1"/>
  <c r="H354" i="4" a="1"/>
  <c r="H354" i="4" s="1"/>
  <c r="H353" i="4" a="1"/>
  <c r="H353" i="4" s="1"/>
  <c r="H352" i="4" a="1"/>
  <c r="H352" i="4" s="1"/>
  <c r="H351" i="4" a="1"/>
  <c r="H351" i="4" s="1"/>
  <c r="H350" i="4" a="1"/>
  <c r="H350" i="4" s="1"/>
  <c r="H349" i="4" a="1"/>
  <c r="H349" i="4" s="1"/>
  <c r="H348" i="4" a="1"/>
  <c r="H348" i="4" s="1"/>
  <c r="H347" i="4" a="1"/>
  <c r="H347" i="4" s="1"/>
  <c r="H346" i="4" a="1"/>
  <c r="H346" i="4" s="1"/>
  <c r="H345" i="4" a="1"/>
  <c r="H345" i="4" s="1"/>
  <c r="H344" i="4" a="1"/>
  <c r="H344" i="4" s="1"/>
  <c r="H343" i="4" a="1"/>
  <c r="H343" i="4" s="1"/>
  <c r="H342" i="4" a="1"/>
  <c r="H342" i="4" s="1"/>
  <c r="H341" i="4" a="1"/>
  <c r="H341" i="4" s="1"/>
  <c r="H340" i="4" a="1"/>
  <c r="H340" i="4" s="1"/>
  <c r="H339" i="4" a="1"/>
  <c r="H339" i="4" s="1"/>
  <c r="H338" i="4" a="1"/>
  <c r="H338" i="4" s="1"/>
  <c r="H337" i="4" a="1"/>
  <c r="H337" i="4" s="1"/>
  <c r="H336" i="4" a="1"/>
  <c r="H336" i="4" s="1"/>
  <c r="H335" i="4" a="1"/>
  <c r="H335" i="4" s="1"/>
  <c r="H334" i="4" a="1"/>
  <c r="H334" i="4" s="1"/>
  <c r="H333" i="4" a="1"/>
  <c r="H333" i="4" s="1"/>
  <c r="H332" i="4" a="1"/>
  <c r="H332" i="4" s="1"/>
  <c r="H331" i="4" a="1"/>
  <c r="H331" i="4" s="1"/>
  <c r="H330" i="4" a="1"/>
  <c r="H330" i="4" s="1"/>
  <c r="H329" i="4" a="1"/>
  <c r="H329" i="4" s="1"/>
  <c r="H328" i="4" a="1"/>
  <c r="H328" i="4" s="1"/>
  <c r="H327" i="4" a="1"/>
  <c r="H327" i="4" s="1"/>
  <c r="H326" i="4" a="1"/>
  <c r="H326" i="4" s="1"/>
  <c r="H325" i="4" a="1"/>
  <c r="H325" i="4" s="1"/>
  <c r="H324" i="4" a="1"/>
  <c r="H324" i="4" s="1"/>
  <c r="H323" i="4" a="1"/>
  <c r="H323" i="4" s="1"/>
  <c r="H322" i="4" a="1"/>
  <c r="H322" i="4" s="1"/>
  <c r="H321" i="4" a="1"/>
  <c r="H321" i="4" s="1"/>
  <c r="H320" i="4" a="1"/>
  <c r="H320" i="4" s="1"/>
  <c r="H319" i="4" a="1"/>
  <c r="H319" i="4" s="1"/>
  <c r="H318" i="4" a="1"/>
  <c r="H318" i="4" s="1"/>
  <c r="H317" i="4" a="1"/>
  <c r="H317" i="4" s="1"/>
  <c r="H316" i="4" a="1"/>
  <c r="H316" i="4" s="1"/>
  <c r="H315" i="4" a="1"/>
  <c r="H315" i="4" s="1"/>
  <c r="H314" i="4" a="1"/>
  <c r="H314" i="4" s="1"/>
  <c r="H313" i="4" a="1"/>
  <c r="H313" i="4" s="1"/>
  <c r="H312" i="4" a="1"/>
  <c r="H312" i="4" s="1"/>
  <c r="H311" i="4" a="1"/>
  <c r="H311" i="4" s="1"/>
  <c r="H310" i="4" a="1"/>
  <c r="H310" i="4" s="1"/>
  <c r="H309" i="4" a="1"/>
  <c r="H309" i="4" s="1"/>
  <c r="H308" i="4" a="1"/>
  <c r="H308" i="4" s="1"/>
  <c r="H307" i="4" a="1"/>
  <c r="H307" i="4" s="1"/>
  <c r="H306" i="4" a="1"/>
  <c r="H306" i="4" s="1"/>
  <c r="H305" i="4" a="1"/>
  <c r="H305" i="4" s="1"/>
  <c r="H304" i="4" a="1"/>
  <c r="H304" i="4" s="1"/>
  <c r="H303" i="4" a="1"/>
  <c r="H303" i="4" s="1"/>
  <c r="H302" i="4" a="1"/>
  <c r="H302" i="4" s="1"/>
  <c r="H301" i="4" a="1"/>
  <c r="H301" i="4" s="1"/>
  <c r="H300" i="4" a="1"/>
  <c r="H300" i="4" s="1"/>
  <c r="H299" i="4" a="1"/>
  <c r="H299" i="4" s="1"/>
  <c r="H298" i="4" a="1"/>
  <c r="H298" i="4" s="1"/>
  <c r="H297" i="4" a="1"/>
  <c r="H297" i="4" s="1"/>
  <c r="H296" i="4" a="1"/>
  <c r="H296" i="4" s="1"/>
  <c r="H295" i="4" a="1"/>
  <c r="H295" i="4" s="1"/>
  <c r="H294" i="4" a="1"/>
  <c r="H294" i="4" s="1"/>
  <c r="H293" i="4" a="1"/>
  <c r="H293" i="4" s="1"/>
  <c r="H292" i="4" a="1"/>
  <c r="H292" i="4" s="1"/>
  <c r="H291" i="4" a="1"/>
  <c r="H291" i="4" s="1"/>
  <c r="H290" i="4" a="1"/>
  <c r="H290" i="4" s="1"/>
  <c r="H289" i="4" a="1"/>
  <c r="H289" i="4" s="1"/>
  <c r="H288" i="4" a="1"/>
  <c r="H288" i="4" s="1"/>
  <c r="H287" i="4" a="1"/>
  <c r="H287" i="4" s="1"/>
  <c r="H286" i="4" a="1"/>
  <c r="H286" i="4" s="1"/>
  <c r="H285" i="4" a="1"/>
  <c r="H285" i="4" s="1"/>
  <c r="H284" i="4" a="1"/>
  <c r="H284" i="4" s="1"/>
  <c r="H283" i="4" a="1"/>
  <c r="H283" i="4" s="1"/>
  <c r="H282" i="4" a="1"/>
  <c r="H282" i="4" s="1"/>
  <c r="H281" i="4" a="1"/>
  <c r="H281" i="4" s="1"/>
  <c r="H280" i="4" a="1"/>
  <c r="H280" i="4" s="1"/>
  <c r="H279" i="4" a="1"/>
  <c r="H279" i="4" s="1"/>
  <c r="H278" i="4" a="1"/>
  <c r="H278" i="4" s="1"/>
  <c r="H277" i="4" a="1"/>
  <c r="H277" i="4" s="1"/>
  <c r="H276" i="4" a="1"/>
  <c r="H276" i="4" s="1"/>
  <c r="H275" i="4" a="1"/>
  <c r="H275" i="4" s="1"/>
  <c r="H274" i="4" a="1"/>
  <c r="H274" i="4" s="1"/>
  <c r="H273" i="4" a="1"/>
  <c r="H273" i="4" s="1"/>
  <c r="H272" i="4" a="1"/>
  <c r="H272" i="4" s="1"/>
  <c r="H271" i="4" a="1"/>
  <c r="H271" i="4" s="1"/>
  <c r="H270" i="4" a="1"/>
  <c r="H270" i="4" s="1"/>
  <c r="H269" i="4" a="1"/>
  <c r="H269" i="4" s="1"/>
  <c r="H268" i="4" a="1"/>
  <c r="H268" i="4" s="1"/>
  <c r="H267" i="4" a="1"/>
  <c r="H267" i="4" s="1"/>
  <c r="H266" i="4" a="1"/>
  <c r="H266" i="4" s="1"/>
  <c r="H265" i="4" a="1"/>
  <c r="H265" i="4" s="1"/>
  <c r="H264" i="4" a="1"/>
  <c r="H264" i="4" s="1"/>
  <c r="H263" i="4" a="1"/>
  <c r="H263" i="4" s="1"/>
  <c r="H262" i="4" a="1"/>
  <c r="H262" i="4" s="1"/>
  <c r="H261" i="4" a="1"/>
  <c r="H261" i="4" s="1"/>
  <c r="H260" i="4" a="1"/>
  <c r="H260" i="4" s="1"/>
  <c r="H259" i="4" a="1"/>
  <c r="H259" i="4" s="1"/>
  <c r="H258" i="4"/>
  <c r="H258" i="4" a="1"/>
  <c r="H257" i="4" a="1"/>
  <c r="H257" i="4" s="1"/>
  <c r="H256" i="4" a="1"/>
  <c r="H256" i="4" s="1"/>
  <c r="H255" i="4" a="1"/>
  <c r="H255" i="4" s="1"/>
  <c r="H254" i="4" a="1"/>
  <c r="H254" i="4" s="1"/>
  <c r="H253" i="4" a="1"/>
  <c r="H253" i="4" s="1"/>
  <c r="H252" i="4" a="1"/>
  <c r="H252" i="4" s="1"/>
  <c r="H251" i="4" a="1"/>
  <c r="H251" i="4" s="1"/>
  <c r="H250" i="4" a="1"/>
  <c r="H250" i="4" s="1"/>
  <c r="H249" i="4" a="1"/>
  <c r="H249" i="4" s="1"/>
  <c r="H248" i="4" a="1"/>
  <c r="H248" i="4" s="1"/>
  <c r="H247" i="4" a="1"/>
  <c r="H247" i="4" s="1"/>
  <c r="H246" i="4" a="1"/>
  <c r="H246" i="4" s="1"/>
  <c r="H245" i="4" a="1"/>
  <c r="H245" i="4" s="1"/>
  <c r="H244" i="4" a="1"/>
  <c r="H244" i="4" s="1"/>
  <c r="H243" i="4" a="1"/>
  <c r="H243" i="4" s="1"/>
  <c r="H242" i="4" a="1"/>
  <c r="H242" i="4" s="1"/>
  <c r="H241" i="4" a="1"/>
  <c r="H241" i="4" s="1"/>
  <c r="H240" i="4" a="1"/>
  <c r="H240" i="4" s="1"/>
  <c r="H239" i="4" a="1"/>
  <c r="H239" i="4" s="1"/>
  <c r="H238" i="4" a="1"/>
  <c r="H238" i="4" s="1"/>
  <c r="H237" i="4" a="1"/>
  <c r="H237" i="4" s="1"/>
  <c r="H236" i="4" a="1"/>
  <c r="H236" i="4" s="1"/>
  <c r="H235" i="4" a="1"/>
  <c r="H235" i="4" s="1"/>
  <c r="H234" i="4" a="1"/>
  <c r="H234" i="4" s="1"/>
  <c r="H233" i="4" a="1"/>
  <c r="H233" i="4" s="1"/>
  <c r="H232" i="4" a="1"/>
  <c r="H232" i="4" s="1"/>
  <c r="H231" i="4" a="1"/>
  <c r="H231" i="4" s="1"/>
  <c r="H230" i="4" a="1"/>
  <c r="H230" i="4" s="1"/>
  <c r="H229" i="4" a="1"/>
  <c r="H229" i="4" s="1"/>
  <c r="H228" i="4" a="1"/>
  <c r="H228" i="4" s="1"/>
  <c r="H227" i="4" a="1"/>
  <c r="H227" i="4" s="1"/>
  <c r="H226" i="4" a="1"/>
  <c r="H226" i="4" s="1"/>
  <c r="H225" i="4" a="1"/>
  <c r="H225" i="4" s="1"/>
  <c r="H224" i="4" a="1"/>
  <c r="H224" i="4" s="1"/>
  <c r="H223" i="4" a="1"/>
  <c r="H223" i="4" s="1"/>
  <c r="H222" i="4" a="1"/>
  <c r="H222" i="4" s="1"/>
  <c r="H221" i="4" a="1"/>
  <c r="H221" i="4" s="1"/>
  <c r="H220" i="4" a="1"/>
  <c r="H220" i="4" s="1"/>
  <c r="H219" i="4" a="1"/>
  <c r="H219" i="4" s="1"/>
  <c r="H218" i="4" a="1"/>
  <c r="H218" i="4" s="1"/>
  <c r="H217" i="4" a="1"/>
  <c r="H217" i="4" s="1"/>
  <c r="H216" i="4" a="1"/>
  <c r="H216" i="4" s="1"/>
  <c r="H215" i="4" a="1"/>
  <c r="H215" i="4" s="1"/>
  <c r="H214" i="4" a="1"/>
  <c r="H214" i="4" s="1"/>
  <c r="H213" i="4" a="1"/>
  <c r="H213" i="4" s="1"/>
  <c r="H212" i="4" a="1"/>
  <c r="H212" i="4" s="1"/>
  <c r="H211" i="4" a="1"/>
  <c r="H211" i="4" s="1"/>
  <c r="H210" i="4" a="1"/>
  <c r="H210" i="4" s="1"/>
  <c r="H209" i="4" a="1"/>
  <c r="H209" i="4" s="1"/>
  <c r="H208" i="4" a="1"/>
  <c r="H208" i="4" s="1"/>
  <c r="H207" i="4" a="1"/>
  <c r="H207" i="4" s="1"/>
  <c r="H206" i="4" a="1"/>
  <c r="H206" i="4" s="1"/>
  <c r="H205" i="4" a="1"/>
  <c r="H205" i="4" s="1"/>
  <c r="H204" i="4" a="1"/>
  <c r="H204" i="4" s="1"/>
  <c r="H203" i="4" a="1"/>
  <c r="H203" i="4" s="1"/>
  <c r="H202" i="4" a="1"/>
  <c r="H202" i="4" s="1"/>
  <c r="H201" i="4" a="1"/>
  <c r="H201" i="4" s="1"/>
  <c r="H200" i="4" a="1"/>
  <c r="H200" i="4" s="1"/>
  <c r="H199" i="4" a="1"/>
  <c r="H199" i="4" s="1"/>
  <c r="H198" i="4" a="1"/>
  <c r="H198" i="4" s="1"/>
  <c r="H197" i="4" a="1"/>
  <c r="H197" i="4" s="1"/>
  <c r="H196" i="4" a="1"/>
  <c r="H196" i="4" s="1"/>
  <c r="H195" i="4" a="1"/>
  <c r="H195" i="4" s="1"/>
  <c r="H194" i="4" a="1"/>
  <c r="H194" i="4" s="1"/>
  <c r="H193" i="4" a="1"/>
  <c r="H193" i="4" s="1"/>
  <c r="H192" i="4" a="1"/>
  <c r="H192" i="4" s="1"/>
  <c r="H191" i="4" a="1"/>
  <c r="H191" i="4" s="1"/>
  <c r="H190" i="4" a="1"/>
  <c r="H190" i="4" s="1"/>
  <c r="H189" i="4" a="1"/>
  <c r="H189" i="4" s="1"/>
  <c r="H188" i="4" a="1"/>
  <c r="H188" i="4" s="1"/>
  <c r="H187" i="4" a="1"/>
  <c r="H187" i="4" s="1"/>
  <c r="H186" i="4" a="1"/>
  <c r="H186" i="4" s="1"/>
  <c r="H185" i="4" a="1"/>
  <c r="H185" i="4" s="1"/>
  <c r="H184" i="4" a="1"/>
  <c r="H184" i="4" s="1"/>
  <c r="H183" i="4" a="1"/>
  <c r="H183" i="4" s="1"/>
  <c r="H182" i="4" a="1"/>
  <c r="H182" i="4" s="1"/>
  <c r="H181" i="4" a="1"/>
  <c r="H181" i="4" s="1"/>
  <c r="H180" i="4" a="1"/>
  <c r="H180" i="4" s="1"/>
  <c r="H179" i="4" a="1"/>
  <c r="H179" i="4" s="1"/>
  <c r="H178" i="4" a="1"/>
  <c r="H178" i="4" s="1"/>
  <c r="H177" i="4" a="1"/>
  <c r="H177" i="4" s="1"/>
  <c r="H176" i="4" a="1"/>
  <c r="H176" i="4" s="1"/>
  <c r="H175" i="4" a="1"/>
  <c r="H175" i="4" s="1"/>
  <c r="H174" i="4" a="1"/>
  <c r="H174" i="4" s="1"/>
  <c r="H173" i="4" a="1"/>
  <c r="H173" i="4" s="1"/>
  <c r="H172" i="4" a="1"/>
  <c r="H172" i="4" s="1"/>
  <c r="H171" i="4" a="1"/>
  <c r="H171" i="4" s="1"/>
  <c r="H170" i="4" a="1"/>
  <c r="H170" i="4" s="1"/>
  <c r="H169" i="4" a="1"/>
  <c r="H169" i="4" s="1"/>
  <c r="H168" i="4" a="1"/>
  <c r="H168" i="4" s="1"/>
  <c r="H167" i="4" a="1"/>
  <c r="H167" i="4" s="1"/>
  <c r="H166" i="4" a="1"/>
  <c r="H166" i="4" s="1"/>
  <c r="H165" i="4" a="1"/>
  <c r="H165" i="4" s="1"/>
  <c r="H164" i="4" a="1"/>
  <c r="H164" i="4" s="1"/>
  <c r="H163" i="4" a="1"/>
  <c r="H163" i="4" s="1"/>
  <c r="H162" i="4" a="1"/>
  <c r="H162" i="4" s="1"/>
  <c r="H161" i="4" a="1"/>
  <c r="H161" i="4" s="1"/>
  <c r="H160" i="4" a="1"/>
  <c r="H160" i="4" s="1"/>
  <c r="H159" i="4" a="1"/>
  <c r="H159" i="4" s="1"/>
  <c r="H158" i="4" a="1"/>
  <c r="H158" i="4" s="1"/>
  <c r="H157" i="4" a="1"/>
  <c r="H157" i="4" s="1"/>
  <c r="H156" i="4" a="1"/>
  <c r="H156" i="4" s="1"/>
  <c r="H155" i="4" a="1"/>
  <c r="H155" i="4" s="1"/>
  <c r="H154" i="4" a="1"/>
  <c r="H154" i="4" s="1"/>
  <c r="H153" i="4" a="1"/>
  <c r="H153" i="4" s="1"/>
  <c r="H152" i="4" a="1"/>
  <c r="H152" i="4" s="1"/>
  <c r="H151" i="4" a="1"/>
  <c r="H151" i="4" s="1"/>
  <c r="H150" i="4" a="1"/>
  <c r="H150" i="4" s="1"/>
  <c r="H149" i="4" a="1"/>
  <c r="H149" i="4" s="1"/>
  <c r="H148" i="4" a="1"/>
  <c r="H148" i="4" s="1"/>
  <c r="H147" i="4" a="1"/>
  <c r="H147" i="4" s="1"/>
  <c r="H146" i="4" a="1"/>
  <c r="H146" i="4" s="1"/>
  <c r="H145" i="4" a="1"/>
  <c r="H145" i="4" s="1"/>
  <c r="H144" i="4" a="1"/>
  <c r="H144" i="4" s="1"/>
  <c r="H143" i="4" a="1"/>
  <c r="H143" i="4" s="1"/>
  <c r="H142" i="4" a="1"/>
  <c r="H142" i="4" s="1"/>
  <c r="H141" i="4" a="1"/>
  <c r="H141" i="4" s="1"/>
  <c r="H140" i="4" a="1"/>
  <c r="H140" i="4" s="1"/>
  <c r="H139" i="4" a="1"/>
  <c r="H139" i="4" s="1"/>
  <c r="H138" i="4" a="1"/>
  <c r="H138" i="4" s="1"/>
  <c r="H137" i="4" a="1"/>
  <c r="H137" i="4" s="1"/>
  <c r="H136" i="4" a="1"/>
  <c r="H136" i="4" s="1"/>
  <c r="H135" i="4" a="1"/>
  <c r="H135" i="4" s="1"/>
  <c r="H134" i="4" a="1"/>
  <c r="H134" i="4" s="1"/>
  <c r="H133" i="4" a="1"/>
  <c r="H133" i="4" s="1"/>
  <c r="H132" i="4" a="1"/>
  <c r="H132" i="4" s="1"/>
  <c r="H131" i="4" a="1"/>
  <c r="H131" i="4" s="1"/>
  <c r="H130" i="4" a="1"/>
  <c r="H130" i="4" s="1"/>
  <c r="H129" i="4" a="1"/>
  <c r="H129" i="4" s="1"/>
  <c r="H128" i="4" a="1"/>
  <c r="H128" i="4" s="1"/>
  <c r="H127" i="4" a="1"/>
  <c r="H127" i="4" s="1"/>
  <c r="H126" i="4" a="1"/>
  <c r="H126" i="4" s="1"/>
  <c r="H125" i="4" a="1"/>
  <c r="H125" i="4" s="1"/>
  <c r="H124" i="4" a="1"/>
  <c r="H124" i="4" s="1"/>
  <c r="H123" i="4" a="1"/>
  <c r="H123" i="4" s="1"/>
  <c r="H122" i="4" a="1"/>
  <c r="H122" i="4" s="1"/>
  <c r="H121" i="4" a="1"/>
  <c r="H121" i="4" s="1"/>
  <c r="H120" i="4" a="1"/>
  <c r="H120" i="4" s="1"/>
  <c r="H119" i="4" a="1"/>
  <c r="H119" i="4" s="1"/>
  <c r="H118" i="4" a="1"/>
  <c r="H118" i="4" s="1"/>
  <c r="H117" i="4" a="1"/>
  <c r="H117" i="4" s="1"/>
  <c r="H116" i="4" a="1"/>
  <c r="H116" i="4" s="1"/>
  <c r="H115" i="4" a="1"/>
  <c r="H115" i="4" s="1"/>
  <c r="H114" i="4" a="1"/>
  <c r="H114" i="4" s="1"/>
  <c r="H113" i="4" a="1"/>
  <c r="H113" i="4" s="1"/>
  <c r="H112" i="4" a="1"/>
  <c r="H112" i="4" s="1"/>
  <c r="H111" i="4" a="1"/>
  <c r="H111" i="4" s="1"/>
  <c r="H110" i="4" a="1"/>
  <c r="H110" i="4" s="1"/>
  <c r="H109" i="4" a="1"/>
  <c r="H109" i="4" s="1"/>
  <c r="H108" i="4" a="1"/>
  <c r="H108" i="4" s="1"/>
  <c r="H107" i="4" a="1"/>
  <c r="H107" i="4" s="1"/>
  <c r="H106" i="4" a="1"/>
  <c r="H106" i="4" s="1"/>
  <c r="H105" i="4" a="1"/>
  <c r="H105" i="4" s="1"/>
  <c r="H104" i="4" a="1"/>
  <c r="H104" i="4" s="1"/>
  <c r="H103" i="4" a="1"/>
  <c r="H103" i="4" s="1"/>
  <c r="H102" i="4" a="1"/>
  <c r="H102" i="4" s="1"/>
  <c r="H101" i="4" a="1"/>
  <c r="H101" i="4" s="1"/>
  <c r="H100" i="4" a="1"/>
  <c r="H100" i="4" s="1"/>
  <c r="H99" i="4" a="1"/>
  <c r="H99" i="4" s="1"/>
  <c r="H98" i="4" a="1"/>
  <c r="H98" i="4" s="1"/>
  <c r="H97" i="4" a="1"/>
  <c r="H97" i="4" s="1"/>
  <c r="H96" i="4" a="1"/>
  <c r="H96" i="4" s="1"/>
  <c r="H95" i="4" a="1"/>
  <c r="H95" i="4" s="1"/>
  <c r="H94" i="4" a="1"/>
  <c r="H94" i="4" s="1"/>
  <c r="H93" i="4" a="1"/>
  <c r="H93" i="4" s="1"/>
  <c r="H92" i="4" a="1"/>
  <c r="H92" i="4" s="1"/>
  <c r="H91" i="4" a="1"/>
  <c r="H91" i="4" s="1"/>
  <c r="H90" i="4" a="1"/>
  <c r="H90" i="4" s="1"/>
  <c r="H89" i="4" a="1"/>
  <c r="H89" i="4" s="1"/>
  <c r="H88" i="4" a="1"/>
  <c r="H88" i="4" s="1"/>
  <c r="H87" i="4" a="1"/>
  <c r="H87" i="4" s="1"/>
  <c r="H86" i="4" a="1"/>
  <c r="H86" i="4" s="1"/>
  <c r="H85" i="4" a="1"/>
  <c r="H85" i="4" s="1"/>
  <c r="H84" i="4" a="1"/>
  <c r="H84" i="4" s="1"/>
  <c r="H83" i="4" a="1"/>
  <c r="H83" i="4" s="1"/>
  <c r="H82" i="4" a="1"/>
  <c r="H82" i="4" s="1"/>
  <c r="H81" i="4" a="1"/>
  <c r="H81" i="4" s="1"/>
  <c r="H80" i="4" a="1"/>
  <c r="H80" i="4" s="1"/>
  <c r="H79" i="4" a="1"/>
  <c r="H79" i="4" s="1"/>
  <c r="H78" i="4" a="1"/>
  <c r="H78" i="4" s="1"/>
  <c r="H77" i="4" a="1"/>
  <c r="H77" i="4" s="1"/>
  <c r="H76" i="4" a="1"/>
  <c r="H76" i="4" s="1"/>
  <c r="H75" i="4" a="1"/>
  <c r="H75" i="4" s="1"/>
  <c r="H74" i="4" a="1"/>
  <c r="H74" i="4" s="1"/>
  <c r="H73" i="4" a="1"/>
  <c r="H73" i="4" s="1"/>
  <c r="H72" i="4" a="1"/>
  <c r="H72" i="4" s="1"/>
  <c r="H71" i="4" a="1"/>
  <c r="H71" i="4" s="1"/>
  <c r="H70" i="4" a="1"/>
  <c r="H70" i="4" s="1"/>
  <c r="H69" i="4" a="1"/>
  <c r="H69" i="4" s="1"/>
  <c r="H68" i="4" a="1"/>
  <c r="H68" i="4" s="1"/>
  <c r="H67" i="4" a="1"/>
  <c r="H67" i="4" s="1"/>
  <c r="H66" i="4" a="1"/>
  <c r="H66" i="4" s="1"/>
  <c r="H65" i="4" a="1"/>
  <c r="H65" i="4" s="1"/>
  <c r="H64" i="4" a="1"/>
  <c r="H64" i="4" s="1"/>
  <c r="H63" i="4" a="1"/>
  <c r="H63" i="4" s="1"/>
  <c r="H62" i="4" a="1"/>
  <c r="H62" i="4" s="1"/>
  <c r="H61" i="4" a="1"/>
  <c r="H61" i="4" s="1"/>
  <c r="H60" i="4" a="1"/>
  <c r="H60" i="4" s="1"/>
  <c r="H59" i="4" a="1"/>
  <c r="H59" i="4" s="1"/>
  <c r="H58" i="4" a="1"/>
  <c r="H58" i="4" s="1"/>
  <c r="H57" i="4" a="1"/>
  <c r="H57" i="4" s="1"/>
  <c r="H56" i="4" a="1"/>
  <c r="H56" i="4" s="1"/>
  <c r="H55" i="4" a="1"/>
  <c r="H55" i="4" s="1"/>
  <c r="H54" i="4" a="1"/>
  <c r="H54" i="4" s="1"/>
  <c r="H53" i="4" a="1"/>
  <c r="H53" i="4" s="1"/>
  <c r="H52" i="4" a="1"/>
  <c r="H52" i="4" s="1"/>
  <c r="H51" i="4" a="1"/>
  <c r="H51" i="4" s="1"/>
  <c r="H50" i="4" a="1"/>
  <c r="H50" i="4" s="1"/>
  <c r="H49" i="4" a="1"/>
  <c r="H49" i="4" s="1"/>
  <c r="H48" i="4" a="1"/>
  <c r="H48" i="4" s="1"/>
  <c r="H47" i="4" a="1"/>
  <c r="H47" i="4" s="1"/>
  <c r="H46" i="4" a="1"/>
  <c r="H46" i="4" s="1"/>
  <c r="H45" i="4" a="1"/>
  <c r="H45" i="4" s="1"/>
  <c r="H44" i="4" a="1"/>
  <c r="H44" i="4" s="1"/>
  <c r="H43" i="4" a="1"/>
  <c r="H43" i="4" s="1"/>
  <c r="H42" i="4" a="1"/>
  <c r="H42" i="4" s="1"/>
  <c r="H41" i="4" a="1"/>
  <c r="H41" i="4" s="1"/>
  <c r="H40" i="4" a="1"/>
  <c r="H40" i="4" s="1"/>
  <c r="H39" i="4" a="1"/>
  <c r="H39" i="4" s="1"/>
  <c r="H38" i="4" a="1"/>
  <c r="H38" i="4" s="1"/>
  <c r="H37" i="4" a="1"/>
  <c r="H37" i="4" s="1"/>
  <c r="H36" i="4" a="1"/>
  <c r="H36" i="4" s="1"/>
  <c r="H35" i="4" a="1"/>
  <c r="H35" i="4" s="1"/>
  <c r="H34" i="4" a="1"/>
  <c r="H34" i="4" s="1"/>
  <c r="H33" i="4" a="1"/>
  <c r="H33" i="4" s="1"/>
  <c r="H32" i="4" a="1"/>
  <c r="H32" i="4" s="1"/>
  <c r="H31" i="4" a="1"/>
  <c r="H31" i="4" s="1"/>
  <c r="H30" i="4" a="1"/>
  <c r="H30" i="4" s="1"/>
  <c r="H29" i="4" a="1"/>
  <c r="H29" i="4" s="1"/>
  <c r="H28" i="4" a="1"/>
  <c r="H28" i="4" s="1"/>
  <c r="H27" i="4" a="1"/>
  <c r="H27" i="4" s="1"/>
  <c r="H26" i="4" a="1"/>
  <c r="H26" i="4" s="1"/>
  <c r="H25" i="4" a="1"/>
  <c r="H25" i="4" s="1"/>
  <c r="H24" i="4" a="1"/>
  <c r="H24" i="4" s="1"/>
  <c r="H23" i="4" a="1"/>
  <c r="H23" i="4" s="1"/>
  <c r="H22" i="4" a="1"/>
  <c r="H22" i="4" s="1"/>
  <c r="H21" i="4" a="1"/>
  <c r="H21" i="4" s="1"/>
  <c r="H20" i="4" a="1"/>
  <c r="H20" i="4" s="1"/>
  <c r="H19" i="4" a="1"/>
  <c r="H19" i="4" s="1"/>
  <c r="H18" i="4" a="1"/>
  <c r="H18" i="4" s="1"/>
  <c r="H17" i="4" a="1"/>
  <c r="H17" i="4" s="1"/>
  <c r="H16" i="4" a="1"/>
  <c r="H16" i="4" s="1"/>
  <c r="R601" i="4" a="1"/>
  <c r="R601" i="4" s="1"/>
  <c r="R600" i="4" a="1"/>
  <c r="R600" i="4" s="1"/>
  <c r="R599" i="4" a="1"/>
  <c r="R599" i="4" s="1"/>
  <c r="R598" i="4" a="1"/>
  <c r="R598" i="4" s="1"/>
  <c r="R597" i="4" a="1"/>
  <c r="R597" i="4" s="1"/>
  <c r="R596" i="4" a="1"/>
  <c r="R596" i="4" s="1"/>
  <c r="R595" i="4" a="1"/>
  <c r="R595" i="4" s="1"/>
  <c r="R594" i="4" a="1"/>
  <c r="R594" i="4" s="1"/>
  <c r="R593" i="4" a="1"/>
  <c r="R593" i="4" s="1"/>
  <c r="R592" i="4" a="1"/>
  <c r="R592" i="4" s="1"/>
  <c r="R591" i="4" a="1"/>
  <c r="R591" i="4" s="1"/>
  <c r="R590" i="4" a="1"/>
  <c r="R590" i="4" s="1"/>
  <c r="R589" i="4" a="1"/>
  <c r="R589" i="4" s="1"/>
  <c r="R588" i="4" a="1"/>
  <c r="R588" i="4" s="1"/>
  <c r="R587" i="4" a="1"/>
  <c r="R587" i="4" s="1"/>
  <c r="R586" i="4" a="1"/>
  <c r="R586" i="4" s="1"/>
  <c r="R585" i="4" a="1"/>
  <c r="R585" i="4" s="1"/>
  <c r="R584" i="4" a="1"/>
  <c r="R584" i="4" s="1"/>
  <c r="R583" i="4" a="1"/>
  <c r="R583" i="4" s="1"/>
  <c r="R582" i="4" a="1"/>
  <c r="R582" i="4" s="1"/>
  <c r="R581" i="4" a="1"/>
  <c r="R581" i="4" s="1"/>
  <c r="R580" i="4" a="1"/>
  <c r="R580" i="4" s="1"/>
  <c r="R579" i="4" a="1"/>
  <c r="R579" i="4" s="1"/>
  <c r="R578" i="4" a="1"/>
  <c r="R578" i="4" s="1"/>
  <c r="R577" i="4" a="1"/>
  <c r="R577" i="4" s="1"/>
  <c r="R576" i="4" a="1"/>
  <c r="R576" i="4" s="1"/>
  <c r="R575" i="4" a="1"/>
  <c r="R575" i="4" s="1"/>
  <c r="R574" i="4" a="1"/>
  <c r="R574" i="4" s="1"/>
  <c r="R573" i="4" a="1"/>
  <c r="R573" i="4" s="1"/>
  <c r="R572" i="4" a="1"/>
  <c r="R572" i="4" s="1"/>
  <c r="R571" i="4" a="1"/>
  <c r="R571" i="4" s="1"/>
  <c r="R570" i="4" a="1"/>
  <c r="R570" i="4" s="1"/>
  <c r="R569" i="4" a="1"/>
  <c r="R569" i="4" s="1"/>
  <c r="R568" i="4" a="1"/>
  <c r="R568" i="4" s="1"/>
  <c r="R567" i="4" a="1"/>
  <c r="R567" i="4" s="1"/>
  <c r="R566" i="4" a="1"/>
  <c r="R566" i="4" s="1"/>
  <c r="R565" i="4" a="1"/>
  <c r="R565" i="4" s="1"/>
  <c r="R564" i="4" a="1"/>
  <c r="R564" i="4" s="1"/>
  <c r="R563" i="4" a="1"/>
  <c r="R563" i="4" s="1"/>
  <c r="R562" i="4" a="1"/>
  <c r="R562" i="4" s="1"/>
  <c r="R561" i="4" a="1"/>
  <c r="R561" i="4" s="1"/>
  <c r="R560" i="4" a="1"/>
  <c r="R560" i="4" s="1"/>
  <c r="R559" i="4" a="1"/>
  <c r="R559" i="4" s="1"/>
  <c r="R558" i="4" a="1"/>
  <c r="R558" i="4" s="1"/>
  <c r="R557" i="4" a="1"/>
  <c r="R557" i="4" s="1"/>
  <c r="R556" i="4" a="1"/>
  <c r="R556" i="4" s="1"/>
  <c r="R555" i="4" a="1"/>
  <c r="R555" i="4" s="1"/>
  <c r="R554" i="4" a="1"/>
  <c r="R554" i="4" s="1"/>
  <c r="R553" i="4" a="1"/>
  <c r="R553" i="4" s="1"/>
  <c r="R552" i="4" a="1"/>
  <c r="R552" i="4" s="1"/>
  <c r="R551" i="4" a="1"/>
  <c r="R551" i="4" s="1"/>
  <c r="R550" i="4" a="1"/>
  <c r="R550" i="4" s="1"/>
  <c r="R549" i="4" a="1"/>
  <c r="R549" i="4" s="1"/>
  <c r="R548" i="4" a="1"/>
  <c r="R548" i="4" s="1"/>
  <c r="R547" i="4" a="1"/>
  <c r="R547" i="4" s="1"/>
  <c r="R546" i="4" a="1"/>
  <c r="R546" i="4" s="1"/>
  <c r="R545" i="4" a="1"/>
  <c r="R545" i="4" s="1"/>
  <c r="R544" i="4" a="1"/>
  <c r="R544" i="4" s="1"/>
  <c r="R543" i="4" a="1"/>
  <c r="R543" i="4" s="1"/>
  <c r="R542" i="4" a="1"/>
  <c r="R542" i="4" s="1"/>
  <c r="R541" i="4" a="1"/>
  <c r="R541" i="4" s="1"/>
  <c r="R540" i="4" a="1"/>
  <c r="R540" i="4" s="1"/>
  <c r="R539" i="4" a="1"/>
  <c r="R539" i="4" s="1"/>
  <c r="R538" i="4" a="1"/>
  <c r="R538" i="4" s="1"/>
  <c r="R537" i="4" a="1"/>
  <c r="R537" i="4" s="1"/>
  <c r="R536" i="4" a="1"/>
  <c r="R536" i="4" s="1"/>
  <c r="R535" i="4" a="1"/>
  <c r="R535" i="4" s="1"/>
  <c r="R534" i="4" a="1"/>
  <c r="R534" i="4" s="1"/>
  <c r="R533" i="4" a="1"/>
  <c r="R533" i="4" s="1"/>
  <c r="R532" i="4" a="1"/>
  <c r="R532" i="4" s="1"/>
  <c r="R531" i="4" a="1"/>
  <c r="R531" i="4" s="1"/>
  <c r="R530" i="4" a="1"/>
  <c r="R530" i="4" s="1"/>
  <c r="R529" i="4" a="1"/>
  <c r="R529" i="4" s="1"/>
  <c r="R528" i="4" a="1"/>
  <c r="R528" i="4" s="1"/>
  <c r="R527" i="4" a="1"/>
  <c r="R527" i="4" s="1"/>
  <c r="R526" i="4" a="1"/>
  <c r="R526" i="4" s="1"/>
  <c r="R525" i="4" a="1"/>
  <c r="R525" i="4" s="1"/>
  <c r="R524" i="4" a="1"/>
  <c r="R524" i="4" s="1"/>
  <c r="R523" i="4" a="1"/>
  <c r="R523" i="4" s="1"/>
  <c r="R522" i="4" a="1"/>
  <c r="R522" i="4" s="1"/>
  <c r="R521" i="4" a="1"/>
  <c r="R521" i="4" s="1"/>
  <c r="R520" i="4" a="1"/>
  <c r="R520" i="4" s="1"/>
  <c r="R519" i="4" a="1"/>
  <c r="R519" i="4" s="1"/>
  <c r="R518" i="4" a="1"/>
  <c r="R518" i="4" s="1"/>
  <c r="R517" i="4" a="1"/>
  <c r="R517" i="4" s="1"/>
  <c r="R516" i="4" a="1"/>
  <c r="R516" i="4" s="1"/>
  <c r="R515" i="4" a="1"/>
  <c r="R515" i="4" s="1"/>
  <c r="R514" i="4" a="1"/>
  <c r="R514" i="4" s="1"/>
  <c r="R513" i="4" a="1"/>
  <c r="R513" i="4" s="1"/>
  <c r="R512" i="4" a="1"/>
  <c r="R512" i="4" s="1"/>
  <c r="R511" i="4" a="1"/>
  <c r="R511" i="4" s="1"/>
  <c r="R510" i="4" a="1"/>
  <c r="R510" i="4" s="1"/>
  <c r="R509" i="4" a="1"/>
  <c r="R509" i="4" s="1"/>
  <c r="R508" i="4" a="1"/>
  <c r="R508" i="4" s="1"/>
  <c r="R507" i="4" a="1"/>
  <c r="R507" i="4" s="1"/>
  <c r="R506" i="4" a="1"/>
  <c r="R506" i="4" s="1"/>
  <c r="R505" i="4" a="1"/>
  <c r="R505" i="4" s="1"/>
  <c r="R504" i="4" a="1"/>
  <c r="R504" i="4" s="1"/>
  <c r="R503" i="4" a="1"/>
  <c r="R503" i="4" s="1"/>
  <c r="R502" i="4" a="1"/>
  <c r="R502" i="4" s="1"/>
  <c r="R501" i="4" a="1"/>
  <c r="R501" i="4" s="1"/>
  <c r="R500" i="4" a="1"/>
  <c r="R500" i="4" s="1"/>
  <c r="R499" i="4" a="1"/>
  <c r="R499" i="4" s="1"/>
  <c r="R498" i="4" a="1"/>
  <c r="R498" i="4" s="1"/>
  <c r="R497" i="4" a="1"/>
  <c r="R497" i="4" s="1"/>
  <c r="R496" i="4" a="1"/>
  <c r="R496" i="4" s="1"/>
  <c r="R495" i="4" a="1"/>
  <c r="R495" i="4" s="1"/>
  <c r="R494" i="4" a="1"/>
  <c r="R494" i="4" s="1"/>
  <c r="R493" i="4" a="1"/>
  <c r="R493" i="4" s="1"/>
  <c r="R492" i="4" a="1"/>
  <c r="R492" i="4" s="1"/>
  <c r="R491" i="4" a="1"/>
  <c r="R491" i="4" s="1"/>
  <c r="R490" i="4" a="1"/>
  <c r="R490" i="4" s="1"/>
  <c r="R489" i="4" a="1"/>
  <c r="R489" i="4" s="1"/>
  <c r="R488" i="4" a="1"/>
  <c r="R488" i="4" s="1"/>
  <c r="R487" i="4" a="1"/>
  <c r="R487" i="4" s="1"/>
  <c r="R486" i="4" a="1"/>
  <c r="R486" i="4" s="1"/>
  <c r="R485" i="4" a="1"/>
  <c r="R485" i="4" s="1"/>
  <c r="R484" i="4" a="1"/>
  <c r="R484" i="4" s="1"/>
  <c r="R483" i="4" a="1"/>
  <c r="R483" i="4" s="1"/>
  <c r="R482" i="4" a="1"/>
  <c r="R482" i="4" s="1"/>
  <c r="R481" i="4" a="1"/>
  <c r="R481" i="4" s="1"/>
  <c r="R480" i="4" a="1"/>
  <c r="R480" i="4" s="1"/>
  <c r="R479" i="4" a="1"/>
  <c r="R479" i="4" s="1"/>
  <c r="R478" i="4" a="1"/>
  <c r="R478" i="4" s="1"/>
  <c r="R477" i="4" a="1"/>
  <c r="R477" i="4" s="1"/>
  <c r="R476" i="4" a="1"/>
  <c r="R476" i="4" s="1"/>
  <c r="R475" i="4" a="1"/>
  <c r="R475" i="4" s="1"/>
  <c r="R474" i="4" a="1"/>
  <c r="R474" i="4" s="1"/>
  <c r="R473" i="4" a="1"/>
  <c r="R473" i="4" s="1"/>
  <c r="R472" i="4" a="1"/>
  <c r="R472" i="4" s="1"/>
  <c r="R471" i="4" a="1"/>
  <c r="R471" i="4" s="1"/>
  <c r="R470" i="4" a="1"/>
  <c r="R470" i="4" s="1"/>
  <c r="R469" i="4" a="1"/>
  <c r="R469" i="4" s="1"/>
  <c r="R468" i="4" a="1"/>
  <c r="R468" i="4" s="1"/>
  <c r="R467" i="4" a="1"/>
  <c r="R467" i="4" s="1"/>
  <c r="R466" i="4" a="1"/>
  <c r="R466" i="4" s="1"/>
  <c r="R465" i="4" a="1"/>
  <c r="R465" i="4" s="1"/>
  <c r="R464" i="4" a="1"/>
  <c r="R464" i="4" s="1"/>
  <c r="R463" i="4" a="1"/>
  <c r="R463" i="4" s="1"/>
  <c r="R462" i="4" a="1"/>
  <c r="R462" i="4" s="1"/>
  <c r="R461" i="4" a="1"/>
  <c r="R461" i="4" s="1"/>
  <c r="R460" i="4" a="1"/>
  <c r="R460" i="4" s="1"/>
  <c r="R459" i="4" a="1"/>
  <c r="R459" i="4" s="1"/>
  <c r="R458" i="4" a="1"/>
  <c r="R458" i="4" s="1"/>
  <c r="R457" i="4" a="1"/>
  <c r="R457" i="4" s="1"/>
  <c r="R456" i="4" a="1"/>
  <c r="R456" i="4" s="1"/>
  <c r="R455" i="4" a="1"/>
  <c r="R455" i="4" s="1"/>
  <c r="R454" i="4" a="1"/>
  <c r="R454" i="4" s="1"/>
  <c r="R453" i="4" a="1"/>
  <c r="R453" i="4" s="1"/>
  <c r="R452" i="4" a="1"/>
  <c r="R452" i="4" s="1"/>
  <c r="R451" i="4" a="1"/>
  <c r="R451" i="4" s="1"/>
  <c r="R450" i="4" a="1"/>
  <c r="R450" i="4" s="1"/>
  <c r="R449" i="4" a="1"/>
  <c r="R449" i="4" s="1"/>
  <c r="R448" i="4" a="1"/>
  <c r="R448" i="4" s="1"/>
  <c r="R447" i="4" a="1"/>
  <c r="R447" i="4" s="1"/>
  <c r="R446" i="4" a="1"/>
  <c r="R446" i="4" s="1"/>
  <c r="R445" i="4" a="1"/>
  <c r="R445" i="4" s="1"/>
  <c r="R444" i="4" a="1"/>
  <c r="R444" i="4" s="1"/>
  <c r="R443" i="4" a="1"/>
  <c r="R443" i="4" s="1"/>
  <c r="R442" i="4" a="1"/>
  <c r="R442" i="4" s="1"/>
  <c r="R441" i="4" a="1"/>
  <c r="R441" i="4" s="1"/>
  <c r="R440" i="4" a="1"/>
  <c r="R440" i="4" s="1"/>
  <c r="R439" i="4" a="1"/>
  <c r="R439" i="4" s="1"/>
  <c r="R438" i="4" a="1"/>
  <c r="R438" i="4" s="1"/>
  <c r="R437" i="4" a="1"/>
  <c r="R437" i="4" s="1"/>
  <c r="R436" i="4" a="1"/>
  <c r="R436" i="4" s="1"/>
  <c r="R435" i="4" a="1"/>
  <c r="R435" i="4" s="1"/>
  <c r="R434" i="4" a="1"/>
  <c r="R434" i="4" s="1"/>
  <c r="R433" i="4" a="1"/>
  <c r="R433" i="4" s="1"/>
  <c r="R432" i="4" a="1"/>
  <c r="R432" i="4" s="1"/>
  <c r="R431" i="4" a="1"/>
  <c r="R431" i="4" s="1"/>
  <c r="R430" i="4" a="1"/>
  <c r="R430" i="4" s="1"/>
  <c r="R429" i="4" a="1"/>
  <c r="R429" i="4" s="1"/>
  <c r="R428" i="4" a="1"/>
  <c r="R428" i="4" s="1"/>
  <c r="R427" i="4" a="1"/>
  <c r="R427" i="4" s="1"/>
  <c r="R426" i="4" a="1"/>
  <c r="R426" i="4" s="1"/>
  <c r="R425" i="4" a="1"/>
  <c r="R425" i="4" s="1"/>
  <c r="R424" i="4" a="1"/>
  <c r="R424" i="4" s="1"/>
  <c r="R423" i="4" a="1"/>
  <c r="R423" i="4" s="1"/>
  <c r="R422" i="4" a="1"/>
  <c r="R422" i="4" s="1"/>
  <c r="R421" i="4" a="1"/>
  <c r="R421" i="4" s="1"/>
  <c r="R420" i="4" a="1"/>
  <c r="R420" i="4" s="1"/>
  <c r="R419" i="4" a="1"/>
  <c r="R419" i="4" s="1"/>
  <c r="R418" i="4" a="1"/>
  <c r="R418" i="4" s="1"/>
  <c r="R417" i="4" a="1"/>
  <c r="R417" i="4" s="1"/>
  <c r="R416" i="4" a="1"/>
  <c r="R416" i="4" s="1"/>
  <c r="R415" i="4" a="1"/>
  <c r="R415" i="4" s="1"/>
  <c r="R414" i="4" a="1"/>
  <c r="R414" i="4" s="1"/>
  <c r="R413" i="4" a="1"/>
  <c r="R413" i="4" s="1"/>
  <c r="R412" i="4" a="1"/>
  <c r="R412" i="4" s="1"/>
  <c r="R411" i="4" a="1"/>
  <c r="R411" i="4" s="1"/>
  <c r="R410" i="4" a="1"/>
  <c r="R410" i="4" s="1"/>
  <c r="R409" i="4" a="1"/>
  <c r="R409" i="4" s="1"/>
  <c r="R408" i="4" a="1"/>
  <c r="R408" i="4" s="1"/>
  <c r="R407" i="4" a="1"/>
  <c r="R407" i="4" s="1"/>
  <c r="R406" i="4" a="1"/>
  <c r="R406" i="4" s="1"/>
  <c r="R405" i="4" a="1"/>
  <c r="R405" i="4" s="1"/>
  <c r="R404" i="4" a="1"/>
  <c r="R404" i="4" s="1"/>
  <c r="R403" i="4" a="1"/>
  <c r="R403" i="4" s="1"/>
  <c r="R402" i="4" a="1"/>
  <c r="R402" i="4" s="1"/>
  <c r="R401" i="4" a="1"/>
  <c r="R401" i="4" s="1"/>
  <c r="R400" i="4" a="1"/>
  <c r="R400" i="4" s="1"/>
  <c r="R399" i="4" a="1"/>
  <c r="R399" i="4" s="1"/>
  <c r="R398" i="4" a="1"/>
  <c r="R398" i="4" s="1"/>
  <c r="R397" i="4" a="1"/>
  <c r="R397" i="4" s="1"/>
  <c r="R396" i="4" a="1"/>
  <c r="R396" i="4" s="1"/>
  <c r="R395" i="4" a="1"/>
  <c r="R395" i="4" s="1"/>
  <c r="R394" i="4" a="1"/>
  <c r="R394" i="4" s="1"/>
  <c r="R393" i="4" a="1"/>
  <c r="R393" i="4" s="1"/>
  <c r="R392" i="4" a="1"/>
  <c r="R392" i="4" s="1"/>
  <c r="R391" i="4" a="1"/>
  <c r="R391" i="4" s="1"/>
  <c r="R390" i="4" a="1"/>
  <c r="R390" i="4" s="1"/>
  <c r="R389" i="4" a="1"/>
  <c r="R389" i="4" s="1"/>
  <c r="R388" i="4" a="1"/>
  <c r="R388" i="4" s="1"/>
  <c r="R387" i="4" a="1"/>
  <c r="R387" i="4" s="1"/>
  <c r="R386" i="4" a="1"/>
  <c r="R386" i="4" s="1"/>
  <c r="R385" i="4" a="1"/>
  <c r="R385" i="4" s="1"/>
  <c r="R384" i="4" a="1"/>
  <c r="R384" i="4" s="1"/>
  <c r="R383" i="4" a="1"/>
  <c r="R383" i="4" s="1"/>
  <c r="R382" i="4" a="1"/>
  <c r="R382" i="4" s="1"/>
  <c r="R381" i="4" a="1"/>
  <c r="R381" i="4" s="1"/>
  <c r="R380" i="4" a="1"/>
  <c r="R380" i="4" s="1"/>
  <c r="R379" i="4" a="1"/>
  <c r="R379" i="4" s="1"/>
  <c r="R378" i="4" a="1"/>
  <c r="R378" i="4" s="1"/>
  <c r="R377" i="4" a="1"/>
  <c r="R377" i="4" s="1"/>
  <c r="R376" i="4" a="1"/>
  <c r="R376" i="4" s="1"/>
  <c r="R375" i="4" a="1"/>
  <c r="R375" i="4" s="1"/>
  <c r="R374" i="4" a="1"/>
  <c r="R374" i="4" s="1"/>
  <c r="R373" i="4" a="1"/>
  <c r="R373" i="4" s="1"/>
  <c r="R372" i="4" a="1"/>
  <c r="R372" i="4" s="1"/>
  <c r="R371" i="4" a="1"/>
  <c r="R371" i="4" s="1"/>
  <c r="R370" i="4" a="1"/>
  <c r="R370" i="4" s="1"/>
  <c r="R369" i="4" a="1"/>
  <c r="R369" i="4" s="1"/>
  <c r="R368" i="4" a="1"/>
  <c r="R368" i="4" s="1"/>
  <c r="R367" i="4" a="1"/>
  <c r="R367" i="4" s="1"/>
  <c r="R366" i="4" a="1"/>
  <c r="R366" i="4" s="1"/>
  <c r="R365" i="4" a="1"/>
  <c r="R365" i="4" s="1"/>
  <c r="R364" i="4" a="1"/>
  <c r="R364" i="4" s="1"/>
  <c r="R363" i="4" a="1"/>
  <c r="R363" i="4" s="1"/>
  <c r="R362" i="4" a="1"/>
  <c r="R362" i="4" s="1"/>
  <c r="R361" i="4" a="1"/>
  <c r="R361" i="4" s="1"/>
  <c r="R360" i="4" a="1"/>
  <c r="R360" i="4" s="1"/>
  <c r="R359" i="4" a="1"/>
  <c r="R359" i="4" s="1"/>
  <c r="R358" i="4" a="1"/>
  <c r="R358" i="4" s="1"/>
  <c r="R357" i="4" a="1"/>
  <c r="R357" i="4" s="1"/>
  <c r="R356" i="4" a="1"/>
  <c r="R356" i="4" s="1"/>
  <c r="R355" i="4" a="1"/>
  <c r="R355" i="4" s="1"/>
  <c r="R354" i="4" a="1"/>
  <c r="R354" i="4" s="1"/>
  <c r="R353" i="4" a="1"/>
  <c r="R353" i="4" s="1"/>
  <c r="R352" i="4" a="1"/>
  <c r="R352" i="4" s="1"/>
  <c r="R351" i="4" a="1"/>
  <c r="R351" i="4" s="1"/>
  <c r="R350" i="4" a="1"/>
  <c r="R350" i="4" s="1"/>
  <c r="R349" i="4" a="1"/>
  <c r="R349" i="4" s="1"/>
  <c r="R348" i="4" a="1"/>
  <c r="R348" i="4" s="1"/>
  <c r="R347" i="4" a="1"/>
  <c r="R347" i="4" s="1"/>
  <c r="R346" i="4" a="1"/>
  <c r="R346" i="4" s="1"/>
  <c r="R345" i="4" a="1"/>
  <c r="R345" i="4" s="1"/>
  <c r="R344" i="4" a="1"/>
  <c r="R344" i="4" s="1"/>
  <c r="R343" i="4" a="1"/>
  <c r="R343" i="4" s="1"/>
  <c r="R342" i="4" a="1"/>
  <c r="R342" i="4" s="1"/>
  <c r="R341" i="4" a="1"/>
  <c r="R341" i="4" s="1"/>
  <c r="R340" i="4" a="1"/>
  <c r="R340" i="4" s="1"/>
  <c r="R339" i="4" a="1"/>
  <c r="R339" i="4" s="1"/>
  <c r="R338" i="4" a="1"/>
  <c r="R338" i="4" s="1"/>
  <c r="R337" i="4" a="1"/>
  <c r="R337" i="4" s="1"/>
  <c r="R336" i="4" a="1"/>
  <c r="R336" i="4" s="1"/>
  <c r="R335" i="4" a="1"/>
  <c r="R335" i="4" s="1"/>
  <c r="R334" i="4" a="1"/>
  <c r="R334" i="4" s="1"/>
  <c r="R333" i="4" a="1"/>
  <c r="R333" i="4" s="1"/>
  <c r="R332" i="4" a="1"/>
  <c r="R332" i="4" s="1"/>
  <c r="R331" i="4" a="1"/>
  <c r="R331" i="4" s="1"/>
  <c r="R330" i="4" a="1"/>
  <c r="R330" i="4" s="1"/>
  <c r="R329" i="4" a="1"/>
  <c r="R329" i="4" s="1"/>
  <c r="R328" i="4" a="1"/>
  <c r="R328" i="4" s="1"/>
  <c r="R327" i="4" a="1"/>
  <c r="R327" i="4" s="1"/>
  <c r="R326" i="4" a="1"/>
  <c r="R326" i="4" s="1"/>
  <c r="R325" i="4" a="1"/>
  <c r="R325" i="4" s="1"/>
  <c r="R324" i="4" a="1"/>
  <c r="R324" i="4" s="1"/>
  <c r="R323" i="4" a="1"/>
  <c r="R323" i="4" s="1"/>
  <c r="R322" i="4" a="1"/>
  <c r="R322" i="4" s="1"/>
  <c r="R321" i="4" a="1"/>
  <c r="R321" i="4" s="1"/>
  <c r="R320" i="4" a="1"/>
  <c r="R320" i="4" s="1"/>
  <c r="R319" i="4" a="1"/>
  <c r="R319" i="4" s="1"/>
  <c r="R318" i="4" a="1"/>
  <c r="R318" i="4" s="1"/>
  <c r="R317" i="4" a="1"/>
  <c r="R317" i="4" s="1"/>
  <c r="R316" i="4" a="1"/>
  <c r="R316" i="4" s="1"/>
  <c r="R315" i="4" a="1"/>
  <c r="R315" i="4" s="1"/>
  <c r="R314" i="4" a="1"/>
  <c r="R314" i="4" s="1"/>
  <c r="R313" i="4" a="1"/>
  <c r="R313" i="4" s="1"/>
  <c r="R312" i="4" a="1"/>
  <c r="R312" i="4" s="1"/>
  <c r="R311" i="4" a="1"/>
  <c r="R311" i="4" s="1"/>
  <c r="R310" i="4" a="1"/>
  <c r="R310" i="4" s="1"/>
  <c r="R309" i="4" a="1"/>
  <c r="R309" i="4" s="1"/>
  <c r="R308" i="4" a="1"/>
  <c r="R308" i="4" s="1"/>
  <c r="R307" i="4" a="1"/>
  <c r="R307" i="4" s="1"/>
  <c r="R306" i="4" a="1"/>
  <c r="R306" i="4" s="1"/>
  <c r="R305" i="4" a="1"/>
  <c r="R305" i="4" s="1"/>
  <c r="R304" i="4" a="1"/>
  <c r="R304" i="4" s="1"/>
  <c r="R303" i="4" a="1"/>
  <c r="R303" i="4" s="1"/>
  <c r="R302" i="4" a="1"/>
  <c r="R302" i="4" s="1"/>
  <c r="R301" i="4" a="1"/>
  <c r="R301" i="4" s="1"/>
  <c r="R300" i="4" a="1"/>
  <c r="R300" i="4" s="1"/>
  <c r="R299" i="4" a="1"/>
  <c r="R299" i="4" s="1"/>
  <c r="R298" i="4" a="1"/>
  <c r="R298" i="4" s="1"/>
  <c r="R297" i="4" a="1"/>
  <c r="R297" i="4" s="1"/>
  <c r="R296" i="4" a="1"/>
  <c r="R296" i="4" s="1"/>
  <c r="R295" i="4" a="1"/>
  <c r="R295" i="4" s="1"/>
  <c r="R294" i="4" a="1"/>
  <c r="R294" i="4" s="1"/>
  <c r="R293" i="4" a="1"/>
  <c r="R293" i="4" s="1"/>
  <c r="R292" i="4" a="1"/>
  <c r="R292" i="4" s="1"/>
  <c r="R291" i="4" a="1"/>
  <c r="R291" i="4" s="1"/>
  <c r="R290" i="4" a="1"/>
  <c r="R290" i="4" s="1"/>
  <c r="R289" i="4" a="1"/>
  <c r="R289" i="4" s="1"/>
  <c r="R288" i="4" a="1"/>
  <c r="R288" i="4" s="1"/>
  <c r="R287" i="4" a="1"/>
  <c r="R287" i="4" s="1"/>
  <c r="R286" i="4" a="1"/>
  <c r="R286" i="4" s="1"/>
  <c r="R285" i="4" a="1"/>
  <c r="R285" i="4" s="1"/>
  <c r="R284" i="4" a="1"/>
  <c r="R284" i="4" s="1"/>
  <c r="R283" i="4" a="1"/>
  <c r="R283" i="4" s="1"/>
  <c r="R282" i="4" a="1"/>
  <c r="R282" i="4" s="1"/>
  <c r="R281" i="4" a="1"/>
  <c r="R281" i="4" s="1"/>
  <c r="R280" i="4" a="1"/>
  <c r="R280" i="4" s="1"/>
  <c r="R279" i="4" a="1"/>
  <c r="R279" i="4" s="1"/>
  <c r="R278" i="4" a="1"/>
  <c r="R278" i="4" s="1"/>
  <c r="R277" i="4" a="1"/>
  <c r="R277" i="4" s="1"/>
  <c r="R276" i="4" a="1"/>
  <c r="R276" i="4" s="1"/>
  <c r="R275" i="4" a="1"/>
  <c r="R275" i="4" s="1"/>
  <c r="R274" i="4" a="1"/>
  <c r="R274" i="4" s="1"/>
  <c r="R273" i="4" a="1"/>
  <c r="R273" i="4" s="1"/>
  <c r="R272" i="4" a="1"/>
  <c r="R272" i="4" s="1"/>
  <c r="R271" i="4" a="1"/>
  <c r="R271" i="4" s="1"/>
  <c r="R270" i="4" a="1"/>
  <c r="R270" i="4" s="1"/>
  <c r="R269" i="4" a="1"/>
  <c r="R269" i="4" s="1"/>
  <c r="R268" i="4" a="1"/>
  <c r="R268" i="4" s="1"/>
  <c r="R267" i="4" a="1"/>
  <c r="R267" i="4" s="1"/>
  <c r="R266" i="4" a="1"/>
  <c r="R266" i="4" s="1"/>
  <c r="R265" i="4" a="1"/>
  <c r="R265" i="4" s="1"/>
  <c r="R264" i="4" a="1"/>
  <c r="R264" i="4" s="1"/>
  <c r="R263" i="4" a="1"/>
  <c r="R263" i="4" s="1"/>
  <c r="R262" i="4" a="1"/>
  <c r="R262" i="4" s="1"/>
  <c r="R261" i="4" a="1"/>
  <c r="R261" i="4" s="1"/>
  <c r="R260" i="4" a="1"/>
  <c r="R260" i="4" s="1"/>
  <c r="R259" i="4" a="1"/>
  <c r="R259" i="4" s="1"/>
  <c r="R258" i="4" a="1"/>
  <c r="R258" i="4" s="1"/>
  <c r="R257" i="4" a="1"/>
  <c r="R257" i="4" s="1"/>
  <c r="R256" i="4" a="1"/>
  <c r="R256" i="4" s="1"/>
  <c r="R255" i="4" a="1"/>
  <c r="R255" i="4" s="1"/>
  <c r="R254" i="4" a="1"/>
  <c r="R254" i="4" s="1"/>
  <c r="R253" i="4" a="1"/>
  <c r="R253" i="4" s="1"/>
  <c r="R252" i="4" a="1"/>
  <c r="R252" i="4" s="1"/>
  <c r="R251" i="4" a="1"/>
  <c r="R251" i="4" s="1"/>
  <c r="R250" i="4" a="1"/>
  <c r="R250" i="4" s="1"/>
  <c r="R249" i="4" a="1"/>
  <c r="R249" i="4" s="1"/>
  <c r="R248" i="4" a="1"/>
  <c r="R248" i="4" s="1"/>
  <c r="R247" i="4" a="1"/>
  <c r="R247" i="4" s="1"/>
  <c r="R246" i="4" a="1"/>
  <c r="R246" i="4" s="1"/>
  <c r="R245" i="4" a="1"/>
  <c r="R245" i="4" s="1"/>
  <c r="R244" i="4" a="1"/>
  <c r="R244" i="4" s="1"/>
  <c r="R243" i="4" a="1"/>
  <c r="R243" i="4" s="1"/>
  <c r="R242" i="4" a="1"/>
  <c r="R242" i="4" s="1"/>
  <c r="R241" i="4" a="1"/>
  <c r="R241" i="4" s="1"/>
  <c r="R240" i="4" a="1"/>
  <c r="R240" i="4" s="1"/>
  <c r="R239" i="4" a="1"/>
  <c r="R239" i="4" s="1"/>
  <c r="R238" i="4" a="1"/>
  <c r="R238" i="4" s="1"/>
  <c r="R237" i="4" a="1"/>
  <c r="R237" i="4" s="1"/>
  <c r="R236" i="4" a="1"/>
  <c r="R236" i="4" s="1"/>
  <c r="R235" i="4" a="1"/>
  <c r="R235" i="4" s="1"/>
  <c r="R234" i="4" a="1"/>
  <c r="R234" i="4" s="1"/>
  <c r="R233" i="4" a="1"/>
  <c r="R233" i="4" s="1"/>
  <c r="R232" i="4" a="1"/>
  <c r="R232" i="4" s="1"/>
  <c r="R231" i="4" a="1"/>
  <c r="R231" i="4" s="1"/>
  <c r="R230" i="4" a="1"/>
  <c r="R230" i="4" s="1"/>
  <c r="R229" i="4" a="1"/>
  <c r="R229" i="4" s="1"/>
  <c r="R228" i="4" a="1"/>
  <c r="R228" i="4" s="1"/>
  <c r="R227" i="4" a="1"/>
  <c r="R227" i="4" s="1"/>
  <c r="R226" i="4" a="1"/>
  <c r="R226" i="4" s="1"/>
  <c r="R225" i="4" a="1"/>
  <c r="R225" i="4" s="1"/>
  <c r="R224" i="4" a="1"/>
  <c r="R224" i="4" s="1"/>
  <c r="R223" i="4" a="1"/>
  <c r="R223" i="4" s="1"/>
  <c r="R222" i="4" a="1"/>
  <c r="R222" i="4" s="1"/>
  <c r="R221" i="4" a="1"/>
  <c r="R221" i="4" s="1"/>
  <c r="R220" i="4" a="1"/>
  <c r="R220" i="4" s="1"/>
  <c r="R219" i="4" a="1"/>
  <c r="R219" i="4" s="1"/>
  <c r="R218" i="4" a="1"/>
  <c r="R218" i="4" s="1"/>
  <c r="R217" i="4" a="1"/>
  <c r="R217" i="4" s="1"/>
  <c r="R216" i="4" a="1"/>
  <c r="R216" i="4" s="1"/>
  <c r="R215" i="4" a="1"/>
  <c r="R215" i="4" s="1"/>
  <c r="R214" i="4" a="1"/>
  <c r="R214" i="4" s="1"/>
  <c r="R213" i="4" a="1"/>
  <c r="R213" i="4" s="1"/>
  <c r="R212" i="4" a="1"/>
  <c r="R212" i="4" s="1"/>
  <c r="R211" i="4" a="1"/>
  <c r="R211" i="4" s="1"/>
  <c r="R210" i="4" a="1"/>
  <c r="R210" i="4" s="1"/>
  <c r="R209" i="4" a="1"/>
  <c r="R209" i="4" s="1"/>
  <c r="R208" i="4" a="1"/>
  <c r="R208" i="4" s="1"/>
  <c r="R207" i="4" a="1"/>
  <c r="R207" i="4" s="1"/>
  <c r="R206" i="4" a="1"/>
  <c r="R206" i="4" s="1"/>
  <c r="R205" i="4" a="1"/>
  <c r="R205" i="4" s="1"/>
  <c r="R204" i="4" a="1"/>
  <c r="R204" i="4" s="1"/>
  <c r="R203" i="4" a="1"/>
  <c r="R203" i="4" s="1"/>
  <c r="R202" i="4" a="1"/>
  <c r="R202" i="4" s="1"/>
  <c r="R201" i="4" a="1"/>
  <c r="R201" i="4" s="1"/>
  <c r="R200" i="4" a="1"/>
  <c r="R200" i="4" s="1"/>
  <c r="R199" i="4" a="1"/>
  <c r="R199" i="4" s="1"/>
  <c r="R198" i="4" a="1"/>
  <c r="R198" i="4" s="1"/>
  <c r="R197" i="4" a="1"/>
  <c r="R197" i="4" s="1"/>
  <c r="R196" i="4" a="1"/>
  <c r="R196" i="4" s="1"/>
  <c r="R195" i="4" a="1"/>
  <c r="R195" i="4" s="1"/>
  <c r="R194" i="4" a="1"/>
  <c r="R194" i="4" s="1"/>
  <c r="R193" i="4" a="1"/>
  <c r="R193" i="4" s="1"/>
  <c r="R192" i="4" a="1"/>
  <c r="R192" i="4" s="1"/>
  <c r="R191" i="4" a="1"/>
  <c r="R191" i="4" s="1"/>
  <c r="R190" i="4" a="1"/>
  <c r="R190" i="4" s="1"/>
  <c r="R189" i="4" a="1"/>
  <c r="R189" i="4" s="1"/>
  <c r="R188" i="4" a="1"/>
  <c r="R188" i="4" s="1"/>
  <c r="R187" i="4" a="1"/>
  <c r="R187" i="4" s="1"/>
  <c r="R186" i="4" a="1"/>
  <c r="R186" i="4" s="1"/>
  <c r="R185" i="4" a="1"/>
  <c r="R185" i="4" s="1"/>
  <c r="R184" i="4" a="1"/>
  <c r="R184" i="4" s="1"/>
  <c r="R183" i="4" a="1"/>
  <c r="R183" i="4" s="1"/>
  <c r="R182" i="4" a="1"/>
  <c r="R182" i="4" s="1"/>
  <c r="R181" i="4" a="1"/>
  <c r="R181" i="4" s="1"/>
  <c r="R180" i="4" a="1"/>
  <c r="R180" i="4" s="1"/>
  <c r="R179" i="4" a="1"/>
  <c r="R179" i="4" s="1"/>
  <c r="R178" i="4" a="1"/>
  <c r="R178" i="4" s="1"/>
  <c r="R177" i="4" a="1"/>
  <c r="R177" i="4" s="1"/>
  <c r="R176" i="4" a="1"/>
  <c r="R176" i="4" s="1"/>
  <c r="R175" i="4" a="1"/>
  <c r="R175" i="4" s="1"/>
  <c r="R174" i="4" a="1"/>
  <c r="R174" i="4" s="1"/>
  <c r="R173" i="4" a="1"/>
  <c r="R173" i="4" s="1"/>
  <c r="R172" i="4" a="1"/>
  <c r="R172" i="4" s="1"/>
  <c r="R171" i="4" a="1"/>
  <c r="R171" i="4" s="1"/>
  <c r="R170" i="4" a="1"/>
  <c r="R170" i="4" s="1"/>
  <c r="R169" i="4" a="1"/>
  <c r="R169" i="4" s="1"/>
  <c r="R168" i="4" a="1"/>
  <c r="R168" i="4" s="1"/>
  <c r="R167" i="4" a="1"/>
  <c r="R167" i="4" s="1"/>
  <c r="R166" i="4" a="1"/>
  <c r="R166" i="4" s="1"/>
  <c r="R165" i="4" a="1"/>
  <c r="R165" i="4" s="1"/>
  <c r="R164" i="4" a="1"/>
  <c r="R164" i="4" s="1"/>
  <c r="R163" i="4" a="1"/>
  <c r="R163" i="4" s="1"/>
  <c r="R162" i="4" a="1"/>
  <c r="R162" i="4" s="1"/>
  <c r="R161" i="4" a="1"/>
  <c r="R161" i="4" s="1"/>
  <c r="R160" i="4" a="1"/>
  <c r="R160" i="4" s="1"/>
  <c r="R159" i="4" a="1"/>
  <c r="R159" i="4" s="1"/>
  <c r="R158" i="4" a="1"/>
  <c r="R158" i="4" s="1"/>
  <c r="R157" i="4" a="1"/>
  <c r="R157" i="4" s="1"/>
  <c r="R156" i="4" a="1"/>
  <c r="R156" i="4" s="1"/>
  <c r="R155" i="4" a="1"/>
  <c r="R155" i="4" s="1"/>
  <c r="R154" i="4" a="1"/>
  <c r="R154" i="4" s="1"/>
  <c r="R153" i="4" a="1"/>
  <c r="R153" i="4" s="1"/>
  <c r="R152" i="4" a="1"/>
  <c r="R152" i="4" s="1"/>
  <c r="R151" i="4" a="1"/>
  <c r="R151" i="4" s="1"/>
  <c r="R150" i="4" a="1"/>
  <c r="R150" i="4" s="1"/>
  <c r="R149" i="4" a="1"/>
  <c r="R149" i="4" s="1"/>
  <c r="R148" i="4" a="1"/>
  <c r="R148" i="4" s="1"/>
  <c r="R147" i="4" a="1"/>
  <c r="R147" i="4" s="1"/>
  <c r="R146" i="4" a="1"/>
  <c r="R146" i="4" s="1"/>
  <c r="R145" i="4" a="1"/>
  <c r="R145" i="4" s="1"/>
  <c r="R144" i="4" a="1"/>
  <c r="R144" i="4" s="1"/>
  <c r="R143" i="4" a="1"/>
  <c r="R143" i="4" s="1"/>
  <c r="R142" i="4" a="1"/>
  <c r="R142" i="4" s="1"/>
  <c r="R141" i="4" a="1"/>
  <c r="R141" i="4" s="1"/>
  <c r="R140" i="4" a="1"/>
  <c r="R140" i="4" s="1"/>
  <c r="R139" i="4" a="1"/>
  <c r="R139" i="4" s="1"/>
  <c r="R138" i="4" a="1"/>
  <c r="R138" i="4" s="1"/>
  <c r="R137" i="4" a="1"/>
  <c r="R137" i="4" s="1"/>
  <c r="R136" i="4" a="1"/>
  <c r="R136" i="4" s="1"/>
  <c r="R135" i="4" a="1"/>
  <c r="R135" i="4" s="1"/>
  <c r="R134" i="4" a="1"/>
  <c r="R134" i="4" s="1"/>
  <c r="R133" i="4" a="1"/>
  <c r="R133" i="4" s="1"/>
  <c r="R132" i="4" a="1"/>
  <c r="R132" i="4" s="1"/>
  <c r="R131" i="4" a="1"/>
  <c r="R131" i="4" s="1"/>
  <c r="R130" i="4" a="1"/>
  <c r="R130" i="4" s="1"/>
  <c r="R129" i="4" a="1"/>
  <c r="R129" i="4" s="1"/>
  <c r="R128" i="4" a="1"/>
  <c r="R128" i="4" s="1"/>
  <c r="R127" i="4" a="1"/>
  <c r="R127" i="4" s="1"/>
  <c r="R126" i="4" a="1"/>
  <c r="R126" i="4" s="1"/>
  <c r="R125" i="4" a="1"/>
  <c r="R125" i="4" s="1"/>
  <c r="R124" i="4" a="1"/>
  <c r="R124" i="4" s="1"/>
  <c r="R123" i="4" a="1"/>
  <c r="R123" i="4" s="1"/>
  <c r="R122" i="4" a="1"/>
  <c r="R122" i="4" s="1"/>
  <c r="R121" i="4" a="1"/>
  <c r="R121" i="4" s="1"/>
  <c r="R120" i="4" a="1"/>
  <c r="R120" i="4" s="1"/>
  <c r="R119" i="4" a="1"/>
  <c r="R119" i="4" s="1"/>
  <c r="R118" i="4" a="1"/>
  <c r="R118" i="4" s="1"/>
  <c r="R117" i="4" a="1"/>
  <c r="R117" i="4" s="1"/>
  <c r="R116" i="4" a="1"/>
  <c r="R116" i="4" s="1"/>
  <c r="R115" i="4" a="1"/>
  <c r="R115" i="4" s="1"/>
  <c r="R114" i="4" a="1"/>
  <c r="R114" i="4" s="1"/>
  <c r="R113" i="4" a="1"/>
  <c r="R113" i="4" s="1"/>
  <c r="R112" i="4" a="1"/>
  <c r="R112" i="4" s="1"/>
  <c r="R111" i="4" a="1"/>
  <c r="R111" i="4" s="1"/>
  <c r="R110" i="4" a="1"/>
  <c r="R110" i="4" s="1"/>
  <c r="R109" i="4" a="1"/>
  <c r="R109" i="4" s="1"/>
  <c r="R108" i="4" a="1"/>
  <c r="R108" i="4" s="1"/>
  <c r="R107" i="4" a="1"/>
  <c r="R107" i="4" s="1"/>
  <c r="R106" i="4" a="1"/>
  <c r="R106" i="4" s="1"/>
  <c r="R105" i="4" a="1"/>
  <c r="R105" i="4" s="1"/>
  <c r="R104" i="4" a="1"/>
  <c r="R104" i="4" s="1"/>
  <c r="R103" i="4" a="1"/>
  <c r="R103" i="4" s="1"/>
  <c r="R102" i="4" a="1"/>
  <c r="R102" i="4" s="1"/>
  <c r="R101" i="4" a="1"/>
  <c r="R101" i="4" s="1"/>
  <c r="R100" i="4" a="1"/>
  <c r="R100" i="4" s="1"/>
  <c r="R99" i="4" a="1"/>
  <c r="R99" i="4" s="1"/>
  <c r="R98" i="4" a="1"/>
  <c r="R98" i="4" s="1"/>
  <c r="R97" i="4" a="1"/>
  <c r="R97" i="4" s="1"/>
  <c r="R96" i="4" a="1"/>
  <c r="R96" i="4" s="1"/>
  <c r="R95" i="4" a="1"/>
  <c r="R95" i="4" s="1"/>
  <c r="R94" i="4" a="1"/>
  <c r="R94" i="4" s="1"/>
  <c r="R93" i="4" a="1"/>
  <c r="R93" i="4" s="1"/>
  <c r="R92" i="4" a="1"/>
  <c r="R92" i="4" s="1"/>
  <c r="R91" i="4" a="1"/>
  <c r="R91" i="4" s="1"/>
  <c r="R90" i="4" a="1"/>
  <c r="R90" i="4" s="1"/>
  <c r="R89" i="4" a="1"/>
  <c r="R89" i="4" s="1"/>
  <c r="R88" i="4" a="1"/>
  <c r="R88" i="4" s="1"/>
  <c r="R87" i="4" a="1"/>
  <c r="R87" i="4" s="1"/>
  <c r="R86" i="4" a="1"/>
  <c r="R86" i="4" s="1"/>
  <c r="R85" i="4" a="1"/>
  <c r="R85" i="4" s="1"/>
  <c r="R84" i="4" a="1"/>
  <c r="R84" i="4" s="1"/>
  <c r="R83" i="4" a="1"/>
  <c r="R83" i="4" s="1"/>
  <c r="R82" i="4" a="1"/>
  <c r="R82" i="4" s="1"/>
  <c r="R81" i="4" a="1"/>
  <c r="R81" i="4" s="1"/>
  <c r="R80" i="4" a="1"/>
  <c r="R80" i="4" s="1"/>
  <c r="R79" i="4" a="1"/>
  <c r="R79" i="4" s="1"/>
  <c r="R78" i="4" a="1"/>
  <c r="R78" i="4" s="1"/>
  <c r="R77" i="4" a="1"/>
  <c r="R77" i="4" s="1"/>
  <c r="R76" i="4" a="1"/>
  <c r="R76" i="4" s="1"/>
  <c r="R75" i="4" a="1"/>
  <c r="R75" i="4" s="1"/>
  <c r="R74" i="4" a="1"/>
  <c r="R74" i="4" s="1"/>
  <c r="R73" i="4" a="1"/>
  <c r="R73" i="4" s="1"/>
  <c r="R72" i="4" a="1"/>
  <c r="R72" i="4" s="1"/>
  <c r="R71" i="4" a="1"/>
  <c r="R71" i="4" s="1"/>
  <c r="R70" i="4" a="1"/>
  <c r="R70" i="4" s="1"/>
  <c r="R69" i="4" a="1"/>
  <c r="R69" i="4" s="1"/>
  <c r="R68" i="4" a="1"/>
  <c r="R68" i="4" s="1"/>
  <c r="R67" i="4" a="1"/>
  <c r="R67" i="4" s="1"/>
  <c r="R66" i="4" a="1"/>
  <c r="R66" i="4" s="1"/>
  <c r="R65" i="4" a="1"/>
  <c r="R65" i="4" s="1"/>
  <c r="R64" i="4" a="1"/>
  <c r="R64" i="4" s="1"/>
  <c r="R63" i="4" a="1"/>
  <c r="R63" i="4" s="1"/>
  <c r="R62" i="4" a="1"/>
  <c r="R62" i="4" s="1"/>
  <c r="R61" i="4" a="1"/>
  <c r="R61" i="4" s="1"/>
  <c r="R60" i="4" a="1"/>
  <c r="R60" i="4" s="1"/>
  <c r="R59" i="4" a="1"/>
  <c r="R59" i="4" s="1"/>
  <c r="R58" i="4" a="1"/>
  <c r="R58" i="4" s="1"/>
  <c r="R57" i="4" a="1"/>
  <c r="R57" i="4" s="1"/>
  <c r="R56" i="4" a="1"/>
  <c r="R56" i="4" s="1"/>
  <c r="R55" i="4" a="1"/>
  <c r="R55" i="4" s="1"/>
  <c r="R54" i="4" a="1"/>
  <c r="R54" i="4" s="1"/>
  <c r="R53" i="4" a="1"/>
  <c r="R53" i="4" s="1"/>
  <c r="R52" i="4" a="1"/>
  <c r="R52" i="4" s="1"/>
  <c r="R51" i="4" a="1"/>
  <c r="R51" i="4" s="1"/>
  <c r="R50" i="4" a="1"/>
  <c r="R50" i="4" s="1"/>
  <c r="R49" i="4" a="1"/>
  <c r="R49" i="4" s="1"/>
  <c r="R48" i="4" a="1"/>
  <c r="R48" i="4" s="1"/>
  <c r="R47" i="4" a="1"/>
  <c r="R47" i="4" s="1"/>
  <c r="R46" i="4" a="1"/>
  <c r="R46" i="4" s="1"/>
  <c r="R45" i="4" a="1"/>
  <c r="R45" i="4" s="1"/>
  <c r="R44" i="4" a="1"/>
  <c r="R44" i="4" s="1"/>
  <c r="R43" i="4" a="1"/>
  <c r="R43" i="4" s="1"/>
  <c r="R42" i="4" a="1"/>
  <c r="R42" i="4" s="1"/>
  <c r="R41" i="4" a="1"/>
  <c r="R41" i="4" s="1"/>
  <c r="R40" i="4" a="1"/>
  <c r="R40" i="4" s="1"/>
  <c r="R39" i="4" a="1"/>
  <c r="R39" i="4" s="1"/>
  <c r="R38" i="4" a="1"/>
  <c r="R38" i="4" s="1"/>
  <c r="R37" i="4" a="1"/>
  <c r="R37" i="4" s="1"/>
  <c r="R36" i="4" a="1"/>
  <c r="R36" i="4" s="1"/>
  <c r="R35" i="4" a="1"/>
  <c r="R35" i="4" s="1"/>
  <c r="R34" i="4" a="1"/>
  <c r="R34" i="4" s="1"/>
  <c r="R33" i="4" a="1"/>
  <c r="R33" i="4" s="1"/>
  <c r="R32" i="4" a="1"/>
  <c r="R32" i="4" s="1"/>
  <c r="R31" i="4" a="1"/>
  <c r="R31" i="4" s="1"/>
  <c r="R30" i="4" a="1"/>
  <c r="R30" i="4" s="1"/>
  <c r="R29" i="4" a="1"/>
  <c r="R29" i="4" s="1"/>
  <c r="R28" i="4" a="1"/>
  <c r="R28" i="4" s="1"/>
  <c r="R27" i="4" a="1"/>
  <c r="R27" i="4" s="1"/>
  <c r="R26" i="4" a="1"/>
  <c r="R26" i="4" s="1"/>
  <c r="R25" i="4" a="1"/>
  <c r="R25" i="4" s="1"/>
  <c r="R24" i="4" a="1"/>
  <c r="R24" i="4" s="1"/>
  <c r="R23" i="4" a="1"/>
  <c r="R23" i="4" s="1"/>
  <c r="R22" i="4" a="1"/>
  <c r="R22" i="4" s="1"/>
  <c r="R21" i="4" a="1"/>
  <c r="R21" i="4" s="1"/>
  <c r="R20" i="4" a="1"/>
  <c r="R20" i="4" s="1"/>
  <c r="R19" i="4" a="1"/>
  <c r="R19" i="4" s="1"/>
  <c r="R18" i="4" a="1"/>
  <c r="R18" i="4" s="1"/>
  <c r="R17" i="4" a="1"/>
  <c r="R17" i="4" s="1"/>
  <c r="R16" i="4" a="1"/>
  <c r="R16" i="4" s="1"/>
  <c r="AD601" i="4" l="1" a="1"/>
  <c r="AD601" i="4" s="1"/>
  <c r="AD600" i="4" a="1"/>
  <c r="AD600" i="4" s="1"/>
  <c r="AD599" i="4" a="1"/>
  <c r="AD599" i="4" s="1"/>
  <c r="AD598" i="4" a="1"/>
  <c r="AD598" i="4" s="1"/>
  <c r="AD597" i="4" a="1"/>
  <c r="AD597" i="4" s="1"/>
  <c r="AD596" i="4" a="1"/>
  <c r="AD596" i="4" s="1"/>
  <c r="AD595" i="4" a="1"/>
  <c r="AD595" i="4" s="1"/>
  <c r="AD594" i="4" a="1"/>
  <c r="AD594" i="4" s="1"/>
  <c r="AD593" i="4" a="1"/>
  <c r="AD593" i="4" s="1"/>
  <c r="AD592" i="4" a="1"/>
  <c r="AD592" i="4" s="1"/>
  <c r="AD591" i="4" a="1"/>
  <c r="AD591" i="4" s="1"/>
  <c r="AD590" i="4" a="1"/>
  <c r="AD590" i="4" s="1"/>
  <c r="AD589" i="4" a="1"/>
  <c r="AD589" i="4" s="1"/>
  <c r="AD588" i="4" a="1"/>
  <c r="AD588" i="4" s="1"/>
  <c r="AD587" i="4" a="1"/>
  <c r="AD587" i="4" s="1"/>
  <c r="AD586" i="4" a="1"/>
  <c r="AD586" i="4" s="1"/>
  <c r="AD585" i="4" a="1"/>
  <c r="AD585" i="4" s="1"/>
  <c r="AD584" i="4" a="1"/>
  <c r="AD584" i="4" s="1"/>
  <c r="AD583" i="4" a="1"/>
  <c r="AD583" i="4" s="1"/>
  <c r="AD582" i="4" a="1"/>
  <c r="AD582" i="4" s="1"/>
  <c r="AD581" i="4" a="1"/>
  <c r="AD581" i="4" s="1"/>
  <c r="AD580" i="4" a="1"/>
  <c r="AD580" i="4" s="1"/>
  <c r="AD579" i="4" a="1"/>
  <c r="AD579" i="4" s="1"/>
  <c r="AD578" i="4" a="1"/>
  <c r="AD578" i="4" s="1"/>
  <c r="AD577" i="4" a="1"/>
  <c r="AD577" i="4" s="1"/>
  <c r="AD576" i="4" a="1"/>
  <c r="AD576" i="4" s="1"/>
  <c r="AD575" i="4" a="1"/>
  <c r="AD575" i="4" s="1"/>
  <c r="AD574" i="4" a="1"/>
  <c r="AD574" i="4" s="1"/>
  <c r="AD573" i="4" a="1"/>
  <c r="AD573" i="4" s="1"/>
  <c r="AD572" i="4" a="1"/>
  <c r="AD572" i="4" s="1"/>
  <c r="AD571" i="4" a="1"/>
  <c r="AD571" i="4" s="1"/>
  <c r="AD570" i="4" a="1"/>
  <c r="AD570" i="4" s="1"/>
  <c r="AD569" i="4" a="1"/>
  <c r="AD569" i="4" s="1"/>
  <c r="AD568" i="4" a="1"/>
  <c r="AD568" i="4" s="1"/>
  <c r="AD567" i="4" a="1"/>
  <c r="AD567" i="4" s="1"/>
  <c r="AD566" i="4" a="1"/>
  <c r="AD566" i="4" s="1"/>
  <c r="AD565" i="4" a="1"/>
  <c r="AD565" i="4" s="1"/>
  <c r="AD564" i="4" a="1"/>
  <c r="AD564" i="4" s="1"/>
  <c r="AD563" i="4" a="1"/>
  <c r="AD563" i="4" s="1"/>
  <c r="AD562" i="4" a="1"/>
  <c r="AD562" i="4" s="1"/>
  <c r="AD561" i="4" a="1"/>
  <c r="AD561" i="4" s="1"/>
  <c r="AD560" i="4" a="1"/>
  <c r="AD560" i="4" s="1"/>
  <c r="AD559" i="4" a="1"/>
  <c r="AD559" i="4" s="1"/>
  <c r="AD558" i="4" a="1"/>
  <c r="AD558" i="4" s="1"/>
  <c r="AD557" i="4" a="1"/>
  <c r="AD557" i="4" s="1"/>
  <c r="AD556" i="4" a="1"/>
  <c r="AD556" i="4" s="1"/>
  <c r="AD555" i="4" a="1"/>
  <c r="AD555" i="4" s="1"/>
  <c r="AD554" i="4" a="1"/>
  <c r="AD554" i="4" s="1"/>
  <c r="AD553" i="4" a="1"/>
  <c r="AD553" i="4" s="1"/>
  <c r="AD552" i="4" a="1"/>
  <c r="AD552" i="4" s="1"/>
  <c r="AD551" i="4" a="1"/>
  <c r="AD551" i="4" s="1"/>
  <c r="AD550" i="4" a="1"/>
  <c r="AD550" i="4" s="1"/>
  <c r="AD549" i="4" a="1"/>
  <c r="AD549" i="4" s="1"/>
  <c r="AD548" i="4" a="1"/>
  <c r="AD548" i="4" s="1"/>
  <c r="AD547" i="4" a="1"/>
  <c r="AD547" i="4" s="1"/>
  <c r="AD546" i="4" a="1"/>
  <c r="AD546" i="4" s="1"/>
  <c r="AD545" i="4" a="1"/>
  <c r="AD545" i="4" s="1"/>
  <c r="AD544" i="4" a="1"/>
  <c r="AD544" i="4" s="1"/>
  <c r="AD543" i="4" a="1"/>
  <c r="AD543" i="4" s="1"/>
  <c r="AD542" i="4" a="1"/>
  <c r="AD542" i="4" s="1"/>
  <c r="AD541" i="4" a="1"/>
  <c r="AD541" i="4" s="1"/>
  <c r="AD540" i="4" a="1"/>
  <c r="AD540" i="4" s="1"/>
  <c r="AD539" i="4" a="1"/>
  <c r="AD539" i="4" s="1"/>
  <c r="AD538" i="4" a="1"/>
  <c r="AD538" i="4" s="1"/>
  <c r="AD537" i="4" a="1"/>
  <c r="AD537" i="4" s="1"/>
  <c r="AD536" i="4" a="1"/>
  <c r="AD536" i="4" s="1"/>
  <c r="AD535" i="4" a="1"/>
  <c r="AD535" i="4" s="1"/>
  <c r="AD534" i="4" a="1"/>
  <c r="AD534" i="4" s="1"/>
  <c r="AD533" i="4" a="1"/>
  <c r="AD533" i="4" s="1"/>
  <c r="AD532" i="4" a="1"/>
  <c r="AD532" i="4" s="1"/>
  <c r="AD531" i="4" a="1"/>
  <c r="AD531" i="4" s="1"/>
  <c r="AD530" i="4" a="1"/>
  <c r="AD530" i="4" s="1"/>
  <c r="AD529" i="4" a="1"/>
  <c r="AD529" i="4" s="1"/>
  <c r="AD528" i="4" a="1"/>
  <c r="AD528" i="4" s="1"/>
  <c r="AD527" i="4" a="1"/>
  <c r="AD527" i="4" s="1"/>
  <c r="AD526" i="4" a="1"/>
  <c r="AD526" i="4" s="1"/>
  <c r="AD525" i="4" a="1"/>
  <c r="AD525" i="4" s="1"/>
  <c r="AD524" i="4" a="1"/>
  <c r="AD524" i="4" s="1"/>
  <c r="AD523" i="4" a="1"/>
  <c r="AD523" i="4" s="1"/>
  <c r="AD522" i="4" a="1"/>
  <c r="AD522" i="4" s="1"/>
  <c r="AD521" i="4" a="1"/>
  <c r="AD521" i="4" s="1"/>
  <c r="AD520" i="4" a="1"/>
  <c r="AD520" i="4" s="1"/>
  <c r="AD519" i="4" a="1"/>
  <c r="AD519" i="4" s="1"/>
  <c r="AD518" i="4" a="1"/>
  <c r="AD518" i="4" s="1"/>
  <c r="AD517" i="4" a="1"/>
  <c r="AD517" i="4" s="1"/>
  <c r="AD516" i="4" a="1"/>
  <c r="AD516" i="4" s="1"/>
  <c r="AD515" i="4" a="1"/>
  <c r="AD515" i="4" s="1"/>
  <c r="AD514" i="4" a="1"/>
  <c r="AD514" i="4" s="1"/>
  <c r="AD513" i="4" a="1"/>
  <c r="AD513" i="4" s="1"/>
  <c r="AD512" i="4" a="1"/>
  <c r="AD512" i="4" s="1"/>
  <c r="AD511" i="4" a="1"/>
  <c r="AD511" i="4" s="1"/>
  <c r="AD510" i="4" a="1"/>
  <c r="AD510" i="4" s="1"/>
  <c r="AD509" i="4" a="1"/>
  <c r="AD509" i="4" s="1"/>
  <c r="AD508" i="4" a="1"/>
  <c r="AD508" i="4" s="1"/>
  <c r="AD507" i="4" a="1"/>
  <c r="AD507" i="4" s="1"/>
  <c r="AD506" i="4" a="1"/>
  <c r="AD506" i="4" s="1"/>
  <c r="AD505" i="4" a="1"/>
  <c r="AD505" i="4" s="1"/>
  <c r="AD504" i="4" a="1"/>
  <c r="AD504" i="4" s="1"/>
  <c r="AD503" i="4" a="1"/>
  <c r="AD503" i="4" s="1"/>
  <c r="AD502" i="4" a="1"/>
  <c r="AD502" i="4" s="1"/>
  <c r="AD501" i="4" a="1"/>
  <c r="AD501" i="4" s="1"/>
  <c r="AD500" i="4" a="1"/>
  <c r="AD500" i="4" s="1"/>
  <c r="AD499" i="4" a="1"/>
  <c r="AD499" i="4" s="1"/>
  <c r="AD498" i="4" a="1"/>
  <c r="AD498" i="4" s="1"/>
  <c r="AD497" i="4" a="1"/>
  <c r="AD497" i="4" s="1"/>
  <c r="AD496" i="4" a="1"/>
  <c r="AD496" i="4" s="1"/>
  <c r="AD495" i="4" a="1"/>
  <c r="AD495" i="4" s="1"/>
  <c r="AD494" i="4" a="1"/>
  <c r="AD494" i="4" s="1"/>
  <c r="AD493" i="4" a="1"/>
  <c r="AD493" i="4" s="1"/>
  <c r="AD492" i="4" a="1"/>
  <c r="AD492" i="4" s="1"/>
  <c r="AD491" i="4" a="1"/>
  <c r="AD491" i="4" s="1"/>
  <c r="AD490" i="4" a="1"/>
  <c r="AD490" i="4" s="1"/>
  <c r="AD489" i="4" a="1"/>
  <c r="AD489" i="4" s="1"/>
  <c r="AD488" i="4" a="1"/>
  <c r="AD488" i="4" s="1"/>
  <c r="AD487" i="4" a="1"/>
  <c r="AD487" i="4" s="1"/>
  <c r="AD486" i="4" a="1"/>
  <c r="AD486" i="4" s="1"/>
  <c r="AD485" i="4" a="1"/>
  <c r="AD485" i="4" s="1"/>
  <c r="AD484" i="4" a="1"/>
  <c r="AD484" i="4" s="1"/>
  <c r="AD483" i="4" a="1"/>
  <c r="AD483" i="4" s="1"/>
  <c r="AD482" i="4" a="1"/>
  <c r="AD482" i="4" s="1"/>
  <c r="AD481" i="4" a="1"/>
  <c r="AD481" i="4" s="1"/>
  <c r="AD480" i="4" a="1"/>
  <c r="AD480" i="4" s="1"/>
  <c r="AD479" i="4" a="1"/>
  <c r="AD479" i="4" s="1"/>
  <c r="AD478" i="4" a="1"/>
  <c r="AD478" i="4" s="1"/>
  <c r="AD477" i="4" a="1"/>
  <c r="AD477" i="4" s="1"/>
  <c r="AD476" i="4" a="1"/>
  <c r="AD476" i="4" s="1"/>
  <c r="AD475" i="4" a="1"/>
  <c r="AD475" i="4" s="1"/>
  <c r="AD474" i="4" a="1"/>
  <c r="AD474" i="4" s="1"/>
  <c r="AD473" i="4" a="1"/>
  <c r="AD473" i="4" s="1"/>
  <c r="AD472" i="4" a="1"/>
  <c r="AD472" i="4" s="1"/>
  <c r="AD471" i="4" a="1"/>
  <c r="AD471" i="4" s="1"/>
  <c r="AD470" i="4" a="1"/>
  <c r="AD470" i="4" s="1"/>
  <c r="AD469" i="4" a="1"/>
  <c r="AD469" i="4" s="1"/>
  <c r="AD468" i="4" a="1"/>
  <c r="AD468" i="4" s="1"/>
  <c r="AD467" i="4" a="1"/>
  <c r="AD467" i="4" s="1"/>
  <c r="AD466" i="4" a="1"/>
  <c r="AD466" i="4" s="1"/>
  <c r="AD465" i="4" a="1"/>
  <c r="AD465" i="4" s="1"/>
  <c r="AD464" i="4" a="1"/>
  <c r="AD464" i="4" s="1"/>
  <c r="AD463" i="4" a="1"/>
  <c r="AD463" i="4" s="1"/>
  <c r="AD462" i="4" a="1"/>
  <c r="AD462" i="4" s="1"/>
  <c r="AD461" i="4" a="1"/>
  <c r="AD461" i="4" s="1"/>
  <c r="AD460" i="4" a="1"/>
  <c r="AD460" i="4" s="1"/>
  <c r="AD459" i="4" a="1"/>
  <c r="AD459" i="4" s="1"/>
  <c r="AD458" i="4" a="1"/>
  <c r="AD458" i="4" s="1"/>
  <c r="AD457" i="4" a="1"/>
  <c r="AD457" i="4" s="1"/>
  <c r="AD456" i="4" a="1"/>
  <c r="AD456" i="4" s="1"/>
  <c r="AD455" i="4" a="1"/>
  <c r="AD455" i="4" s="1"/>
  <c r="AD454" i="4" a="1"/>
  <c r="AD454" i="4" s="1"/>
  <c r="AD453" i="4" a="1"/>
  <c r="AD453" i="4" s="1"/>
  <c r="AD452" i="4" a="1"/>
  <c r="AD452" i="4" s="1"/>
  <c r="AD451" i="4" a="1"/>
  <c r="AD451" i="4" s="1"/>
  <c r="AD450" i="4" a="1"/>
  <c r="AD450" i="4" s="1"/>
  <c r="AD449" i="4" a="1"/>
  <c r="AD449" i="4" s="1"/>
  <c r="AD448" i="4" a="1"/>
  <c r="AD448" i="4" s="1"/>
  <c r="AD447" i="4" a="1"/>
  <c r="AD447" i="4" s="1"/>
  <c r="AD446" i="4" a="1"/>
  <c r="AD446" i="4" s="1"/>
  <c r="AD445" i="4" a="1"/>
  <c r="AD445" i="4" s="1"/>
  <c r="AD444" i="4" a="1"/>
  <c r="AD444" i="4" s="1"/>
  <c r="AD443" i="4" a="1"/>
  <c r="AD443" i="4" s="1"/>
  <c r="AD442" i="4" a="1"/>
  <c r="AD442" i="4" s="1"/>
  <c r="AD441" i="4" a="1"/>
  <c r="AD441" i="4" s="1"/>
  <c r="AD440" i="4" a="1"/>
  <c r="AD440" i="4" s="1"/>
  <c r="AD439" i="4" a="1"/>
  <c r="AD439" i="4" s="1"/>
  <c r="AD438" i="4" a="1"/>
  <c r="AD438" i="4" s="1"/>
  <c r="AD437" i="4" a="1"/>
  <c r="AD437" i="4" s="1"/>
  <c r="AD436" i="4" a="1"/>
  <c r="AD436" i="4" s="1"/>
  <c r="AD435" i="4" a="1"/>
  <c r="AD435" i="4" s="1"/>
  <c r="AD434" i="4" a="1"/>
  <c r="AD434" i="4" s="1"/>
  <c r="AD433" i="4" a="1"/>
  <c r="AD433" i="4" s="1"/>
  <c r="AD432" i="4" a="1"/>
  <c r="AD432" i="4" s="1"/>
  <c r="AD431" i="4" a="1"/>
  <c r="AD431" i="4" s="1"/>
  <c r="AD430" i="4" a="1"/>
  <c r="AD430" i="4" s="1"/>
  <c r="AD429" i="4" a="1"/>
  <c r="AD429" i="4" s="1"/>
  <c r="AD428" i="4" a="1"/>
  <c r="AD428" i="4" s="1"/>
  <c r="AD427" i="4" a="1"/>
  <c r="AD427" i="4" s="1"/>
  <c r="AD426" i="4" a="1"/>
  <c r="AD426" i="4" s="1"/>
  <c r="AD425" i="4" a="1"/>
  <c r="AD425" i="4" s="1"/>
  <c r="AD424" i="4" a="1"/>
  <c r="AD424" i="4" s="1"/>
  <c r="AD423" i="4" a="1"/>
  <c r="AD423" i="4" s="1"/>
  <c r="AD422" i="4" a="1"/>
  <c r="AD422" i="4" s="1"/>
  <c r="AD421" i="4" a="1"/>
  <c r="AD421" i="4" s="1"/>
  <c r="AD420" i="4" a="1"/>
  <c r="AD420" i="4" s="1"/>
  <c r="AD419" i="4" a="1"/>
  <c r="AD419" i="4" s="1"/>
  <c r="AD418" i="4" a="1"/>
  <c r="AD418" i="4" s="1"/>
  <c r="AD417" i="4" a="1"/>
  <c r="AD417" i="4" s="1"/>
  <c r="AD416" i="4" a="1"/>
  <c r="AD416" i="4" s="1"/>
  <c r="AD415" i="4" a="1"/>
  <c r="AD415" i="4" s="1"/>
  <c r="AD414" i="4" a="1"/>
  <c r="AD414" i="4" s="1"/>
  <c r="AD413" i="4" a="1"/>
  <c r="AD413" i="4" s="1"/>
  <c r="AD412" i="4" a="1"/>
  <c r="AD412" i="4" s="1"/>
  <c r="AD411" i="4" a="1"/>
  <c r="AD411" i="4" s="1"/>
  <c r="AD410" i="4" a="1"/>
  <c r="AD410" i="4" s="1"/>
  <c r="AD409" i="4" a="1"/>
  <c r="AD409" i="4" s="1"/>
  <c r="AD408" i="4" a="1"/>
  <c r="AD408" i="4" s="1"/>
  <c r="AD407" i="4" a="1"/>
  <c r="AD407" i="4" s="1"/>
  <c r="AD406" i="4" a="1"/>
  <c r="AD406" i="4" s="1"/>
  <c r="AD405" i="4" a="1"/>
  <c r="AD405" i="4" s="1"/>
  <c r="AD404" i="4" a="1"/>
  <c r="AD404" i="4" s="1"/>
  <c r="AD403" i="4" a="1"/>
  <c r="AD403" i="4" s="1"/>
  <c r="AD402" i="4" a="1"/>
  <c r="AD402" i="4" s="1"/>
  <c r="AD401" i="4" a="1"/>
  <c r="AD401" i="4" s="1"/>
  <c r="AD400" i="4" a="1"/>
  <c r="AD400" i="4" s="1"/>
  <c r="AD399" i="4" a="1"/>
  <c r="AD399" i="4" s="1"/>
  <c r="AD398" i="4" a="1"/>
  <c r="AD398" i="4" s="1"/>
  <c r="AD397" i="4" a="1"/>
  <c r="AD397" i="4" s="1"/>
  <c r="AD396" i="4" a="1"/>
  <c r="AD396" i="4" s="1"/>
  <c r="AD395" i="4" a="1"/>
  <c r="AD395" i="4" s="1"/>
  <c r="AD394" i="4" a="1"/>
  <c r="AD394" i="4" s="1"/>
  <c r="AD393" i="4" a="1"/>
  <c r="AD393" i="4" s="1"/>
  <c r="AD392" i="4" a="1"/>
  <c r="AD392" i="4" s="1"/>
  <c r="AD391" i="4" a="1"/>
  <c r="AD391" i="4" s="1"/>
  <c r="AD390" i="4" a="1"/>
  <c r="AD390" i="4" s="1"/>
  <c r="AD389" i="4" a="1"/>
  <c r="AD389" i="4" s="1"/>
  <c r="AD388" i="4" a="1"/>
  <c r="AD388" i="4" s="1"/>
  <c r="AD387" i="4" a="1"/>
  <c r="AD387" i="4" s="1"/>
  <c r="AD386" i="4" a="1"/>
  <c r="AD386" i="4" s="1"/>
  <c r="AD385" i="4" a="1"/>
  <c r="AD385" i="4" s="1"/>
  <c r="AD384" i="4" a="1"/>
  <c r="AD384" i="4" s="1"/>
  <c r="AD383" i="4" a="1"/>
  <c r="AD383" i="4" s="1"/>
  <c r="AD382" i="4" a="1"/>
  <c r="AD382" i="4" s="1"/>
  <c r="AD381" i="4" a="1"/>
  <c r="AD381" i="4" s="1"/>
  <c r="AD380" i="4" a="1"/>
  <c r="AD380" i="4" s="1"/>
  <c r="AD379" i="4" a="1"/>
  <c r="AD379" i="4" s="1"/>
  <c r="AD378" i="4"/>
  <c r="AD378" i="4" a="1"/>
  <c r="AD377" i="4" a="1"/>
  <c r="AD377" i="4" s="1"/>
  <c r="AD376" i="4" a="1"/>
  <c r="AD376" i="4" s="1"/>
  <c r="AD375" i="4" a="1"/>
  <c r="AD375" i="4" s="1"/>
  <c r="AD374" i="4" a="1"/>
  <c r="AD374" i="4" s="1"/>
  <c r="AD373" i="4" a="1"/>
  <c r="AD373" i="4" s="1"/>
  <c r="AD372" i="4" a="1"/>
  <c r="AD372" i="4" s="1"/>
  <c r="AD371" i="4" a="1"/>
  <c r="AD371" i="4" s="1"/>
  <c r="AD370" i="4" a="1"/>
  <c r="AD370" i="4" s="1"/>
  <c r="AD369" i="4" a="1"/>
  <c r="AD369" i="4" s="1"/>
  <c r="AD368" i="4" a="1"/>
  <c r="AD368" i="4" s="1"/>
  <c r="AD367" i="4" a="1"/>
  <c r="AD367" i="4" s="1"/>
  <c r="AD366" i="4" a="1"/>
  <c r="AD366" i="4" s="1"/>
  <c r="AD365" i="4" a="1"/>
  <c r="AD365" i="4" s="1"/>
  <c r="AD364" i="4" a="1"/>
  <c r="AD364" i="4" s="1"/>
  <c r="AD363" i="4" a="1"/>
  <c r="AD363" i="4" s="1"/>
  <c r="AD362" i="4" a="1"/>
  <c r="AD362" i="4" s="1"/>
  <c r="AD361" i="4" a="1"/>
  <c r="AD361" i="4" s="1"/>
  <c r="AD360" i="4" a="1"/>
  <c r="AD360" i="4" s="1"/>
  <c r="AD359" i="4" a="1"/>
  <c r="AD359" i="4" s="1"/>
  <c r="AD358" i="4" a="1"/>
  <c r="AD358" i="4" s="1"/>
  <c r="AD357" i="4" a="1"/>
  <c r="AD357" i="4" s="1"/>
  <c r="AD356" i="4" a="1"/>
  <c r="AD356" i="4" s="1"/>
  <c r="AD355" i="4" a="1"/>
  <c r="AD355" i="4" s="1"/>
  <c r="AD354" i="4" a="1"/>
  <c r="AD354" i="4" s="1"/>
  <c r="AD353" i="4" a="1"/>
  <c r="AD353" i="4" s="1"/>
  <c r="AD352" i="4" a="1"/>
  <c r="AD352" i="4" s="1"/>
  <c r="AD351" i="4" a="1"/>
  <c r="AD351" i="4" s="1"/>
  <c r="AD350" i="4" a="1"/>
  <c r="AD350" i="4" s="1"/>
  <c r="AD349" i="4" a="1"/>
  <c r="AD349" i="4" s="1"/>
  <c r="AD348" i="4" a="1"/>
  <c r="AD348" i="4" s="1"/>
  <c r="AD347" i="4" a="1"/>
  <c r="AD347" i="4" s="1"/>
  <c r="AD346" i="4" a="1"/>
  <c r="AD346" i="4" s="1"/>
  <c r="AD345" i="4" a="1"/>
  <c r="AD345" i="4" s="1"/>
  <c r="AD344" i="4" a="1"/>
  <c r="AD344" i="4" s="1"/>
  <c r="AD343" i="4" a="1"/>
  <c r="AD343" i="4" s="1"/>
  <c r="AD342" i="4" a="1"/>
  <c r="AD342" i="4" s="1"/>
  <c r="AD341" i="4" a="1"/>
  <c r="AD341" i="4" s="1"/>
  <c r="AD340" i="4" a="1"/>
  <c r="AD340" i="4" s="1"/>
  <c r="AD339" i="4" a="1"/>
  <c r="AD339" i="4" s="1"/>
  <c r="AD338" i="4" a="1"/>
  <c r="AD338" i="4" s="1"/>
  <c r="AD337" i="4" a="1"/>
  <c r="AD337" i="4" s="1"/>
  <c r="AD336" i="4" a="1"/>
  <c r="AD336" i="4" s="1"/>
  <c r="AD335" i="4" a="1"/>
  <c r="AD335" i="4" s="1"/>
  <c r="AD334" i="4" a="1"/>
  <c r="AD334" i="4" s="1"/>
  <c r="AD333" i="4" a="1"/>
  <c r="AD333" i="4" s="1"/>
  <c r="AD332" i="4" a="1"/>
  <c r="AD332" i="4" s="1"/>
  <c r="AD331" i="4" a="1"/>
  <c r="AD331" i="4" s="1"/>
  <c r="AD330" i="4" a="1"/>
  <c r="AD330" i="4" s="1"/>
  <c r="AD329" i="4" a="1"/>
  <c r="AD329" i="4" s="1"/>
  <c r="AD328" i="4" a="1"/>
  <c r="AD328" i="4" s="1"/>
  <c r="AD327" i="4" a="1"/>
  <c r="AD327" i="4" s="1"/>
  <c r="AD326" i="4" a="1"/>
  <c r="AD326" i="4" s="1"/>
  <c r="AD325" i="4" a="1"/>
  <c r="AD325" i="4" s="1"/>
  <c r="AD324" i="4" a="1"/>
  <c r="AD324" i="4" s="1"/>
  <c r="AD323" i="4" a="1"/>
  <c r="AD323" i="4" s="1"/>
  <c r="AD322" i="4" a="1"/>
  <c r="AD322" i="4" s="1"/>
  <c r="AD321" i="4" a="1"/>
  <c r="AD321" i="4" s="1"/>
  <c r="AD320" i="4" a="1"/>
  <c r="AD320" i="4" s="1"/>
  <c r="AD319" i="4" a="1"/>
  <c r="AD319" i="4" s="1"/>
  <c r="AD318" i="4" a="1"/>
  <c r="AD318" i="4" s="1"/>
  <c r="AD317" i="4" a="1"/>
  <c r="AD317" i="4" s="1"/>
  <c r="AD316" i="4" a="1"/>
  <c r="AD316" i="4" s="1"/>
  <c r="AD315" i="4" a="1"/>
  <c r="AD315" i="4" s="1"/>
  <c r="AD314" i="4" a="1"/>
  <c r="AD314" i="4" s="1"/>
  <c r="AD313" i="4" a="1"/>
  <c r="AD313" i="4" s="1"/>
  <c r="AD312" i="4" a="1"/>
  <c r="AD312" i="4" s="1"/>
  <c r="AD311" i="4" a="1"/>
  <c r="AD311" i="4" s="1"/>
  <c r="AD310" i="4" a="1"/>
  <c r="AD310" i="4" s="1"/>
  <c r="AD309" i="4" a="1"/>
  <c r="AD309" i="4" s="1"/>
  <c r="AD308" i="4" a="1"/>
  <c r="AD308" i="4" s="1"/>
  <c r="AD307" i="4" a="1"/>
  <c r="AD307" i="4" s="1"/>
  <c r="AD306" i="4" a="1"/>
  <c r="AD306" i="4" s="1"/>
  <c r="AD305" i="4" a="1"/>
  <c r="AD305" i="4" s="1"/>
  <c r="AD304" i="4" a="1"/>
  <c r="AD304" i="4" s="1"/>
  <c r="AD303" i="4" a="1"/>
  <c r="AD303" i="4" s="1"/>
  <c r="AD302" i="4" a="1"/>
  <c r="AD302" i="4" s="1"/>
  <c r="AD301" i="4" a="1"/>
  <c r="AD301" i="4" s="1"/>
  <c r="AD300" i="4" a="1"/>
  <c r="AD300" i="4" s="1"/>
  <c r="AD299" i="4" a="1"/>
  <c r="AD299" i="4" s="1"/>
  <c r="AD298" i="4" a="1"/>
  <c r="AD298" i="4" s="1"/>
  <c r="AD297" i="4" a="1"/>
  <c r="AD297" i="4" s="1"/>
  <c r="AD296" i="4" a="1"/>
  <c r="AD296" i="4" s="1"/>
  <c r="AD295" i="4" a="1"/>
  <c r="AD295" i="4" s="1"/>
  <c r="AD294" i="4" a="1"/>
  <c r="AD294" i="4" s="1"/>
  <c r="AD293" i="4" a="1"/>
  <c r="AD293" i="4" s="1"/>
  <c r="AD292" i="4" a="1"/>
  <c r="AD292" i="4" s="1"/>
  <c r="AD291" i="4" a="1"/>
  <c r="AD291" i="4" s="1"/>
  <c r="AD290" i="4" a="1"/>
  <c r="AD290" i="4" s="1"/>
  <c r="AD289" i="4" a="1"/>
  <c r="AD289" i="4" s="1"/>
  <c r="AD288" i="4" a="1"/>
  <c r="AD288" i="4" s="1"/>
  <c r="AD287" i="4" a="1"/>
  <c r="AD287" i="4" s="1"/>
  <c r="AD286" i="4" a="1"/>
  <c r="AD286" i="4" s="1"/>
  <c r="AD285" i="4" a="1"/>
  <c r="AD285" i="4" s="1"/>
  <c r="AD284" i="4" a="1"/>
  <c r="AD284" i="4" s="1"/>
  <c r="AD283" i="4" a="1"/>
  <c r="AD283" i="4" s="1"/>
  <c r="AD282" i="4" a="1"/>
  <c r="AD282" i="4" s="1"/>
  <c r="AD281" i="4" a="1"/>
  <c r="AD281" i="4" s="1"/>
  <c r="AD280" i="4" a="1"/>
  <c r="AD280" i="4" s="1"/>
  <c r="AD279" i="4" a="1"/>
  <c r="AD279" i="4" s="1"/>
  <c r="AD278" i="4" a="1"/>
  <c r="AD278" i="4" s="1"/>
  <c r="AD277" i="4" a="1"/>
  <c r="AD277" i="4" s="1"/>
  <c r="AD276" i="4" a="1"/>
  <c r="AD276" i="4" s="1"/>
  <c r="AD275" i="4" a="1"/>
  <c r="AD275" i="4" s="1"/>
  <c r="AD274" i="4" a="1"/>
  <c r="AD274" i="4" s="1"/>
  <c r="AD273" i="4" a="1"/>
  <c r="AD273" i="4" s="1"/>
  <c r="AD272" i="4" a="1"/>
  <c r="AD272" i="4" s="1"/>
  <c r="AD271" i="4" a="1"/>
  <c r="AD271" i="4" s="1"/>
  <c r="AD270" i="4" a="1"/>
  <c r="AD270" i="4" s="1"/>
  <c r="AD269" i="4" a="1"/>
  <c r="AD269" i="4" s="1"/>
  <c r="AD268" i="4" a="1"/>
  <c r="AD268" i="4" s="1"/>
  <c r="AD267" i="4" a="1"/>
  <c r="AD267" i="4" s="1"/>
  <c r="AD266" i="4" a="1"/>
  <c r="AD266" i="4" s="1"/>
  <c r="AD265" i="4" a="1"/>
  <c r="AD265" i="4" s="1"/>
  <c r="AD264" i="4" a="1"/>
  <c r="AD264" i="4" s="1"/>
  <c r="AD263" i="4" a="1"/>
  <c r="AD263" i="4" s="1"/>
  <c r="AD262" i="4" a="1"/>
  <c r="AD262" i="4" s="1"/>
  <c r="AD261" i="4" a="1"/>
  <c r="AD261" i="4" s="1"/>
  <c r="AD260" i="4" a="1"/>
  <c r="AD260" i="4" s="1"/>
  <c r="AD259" i="4" a="1"/>
  <c r="AD259" i="4" s="1"/>
  <c r="AD258" i="4" a="1"/>
  <c r="AD258" i="4" s="1"/>
  <c r="AD257" i="4" a="1"/>
  <c r="AD257" i="4" s="1"/>
  <c r="AD256" i="4" a="1"/>
  <c r="AD256" i="4" s="1"/>
  <c r="AD255" i="4" a="1"/>
  <c r="AD255" i="4" s="1"/>
  <c r="AD254" i="4" a="1"/>
  <c r="AD254" i="4" s="1"/>
  <c r="AD253" i="4" a="1"/>
  <c r="AD253" i="4" s="1"/>
  <c r="AD252" i="4" a="1"/>
  <c r="AD252" i="4" s="1"/>
  <c r="AD251" i="4" a="1"/>
  <c r="AD251" i="4" s="1"/>
  <c r="AD250" i="4" a="1"/>
  <c r="AD250" i="4" s="1"/>
  <c r="AD249" i="4" a="1"/>
  <c r="AD249" i="4" s="1"/>
  <c r="AD248" i="4" a="1"/>
  <c r="AD248" i="4" s="1"/>
  <c r="AD247" i="4" a="1"/>
  <c r="AD247" i="4" s="1"/>
  <c r="AD246" i="4" a="1"/>
  <c r="AD246" i="4" s="1"/>
  <c r="AD245" i="4" a="1"/>
  <c r="AD245" i="4" s="1"/>
  <c r="AD244" i="4" a="1"/>
  <c r="AD244" i="4" s="1"/>
  <c r="AD243" i="4" a="1"/>
  <c r="AD243" i="4" s="1"/>
  <c r="AD242" i="4" a="1"/>
  <c r="AD242" i="4" s="1"/>
  <c r="AD241" i="4" a="1"/>
  <c r="AD241" i="4" s="1"/>
  <c r="AD240" i="4" a="1"/>
  <c r="AD240" i="4" s="1"/>
  <c r="AD239" i="4" a="1"/>
  <c r="AD239" i="4" s="1"/>
  <c r="AD238" i="4" a="1"/>
  <c r="AD238" i="4" s="1"/>
  <c r="AD237" i="4" a="1"/>
  <c r="AD237" i="4" s="1"/>
  <c r="AD236" i="4" a="1"/>
  <c r="AD236" i="4" s="1"/>
  <c r="AD235" i="4" a="1"/>
  <c r="AD235" i="4" s="1"/>
  <c r="AD234" i="4" a="1"/>
  <c r="AD234" i="4" s="1"/>
  <c r="AD233" i="4" a="1"/>
  <c r="AD233" i="4" s="1"/>
  <c r="AD232" i="4" a="1"/>
  <c r="AD232" i="4" s="1"/>
  <c r="AD231" i="4" a="1"/>
  <c r="AD231" i="4" s="1"/>
  <c r="AD230" i="4" a="1"/>
  <c r="AD230" i="4" s="1"/>
  <c r="AD229" i="4" a="1"/>
  <c r="AD229" i="4" s="1"/>
  <c r="AD228" i="4" a="1"/>
  <c r="AD228" i="4" s="1"/>
  <c r="AD227" i="4" a="1"/>
  <c r="AD227" i="4" s="1"/>
  <c r="AD226" i="4" a="1"/>
  <c r="AD226" i="4" s="1"/>
  <c r="AD225" i="4" a="1"/>
  <c r="AD225" i="4" s="1"/>
  <c r="AD224" i="4" a="1"/>
  <c r="AD224" i="4" s="1"/>
  <c r="AD223" i="4" a="1"/>
  <c r="AD223" i="4" s="1"/>
  <c r="AD222" i="4" a="1"/>
  <c r="AD222" i="4" s="1"/>
  <c r="AD221" i="4" a="1"/>
  <c r="AD221" i="4" s="1"/>
  <c r="AD220" i="4" a="1"/>
  <c r="AD220" i="4" s="1"/>
  <c r="AD219" i="4" a="1"/>
  <c r="AD219" i="4" s="1"/>
  <c r="AD218" i="4" a="1"/>
  <c r="AD218" i="4" s="1"/>
  <c r="AD217" i="4" a="1"/>
  <c r="AD217" i="4" s="1"/>
  <c r="AD216" i="4" a="1"/>
  <c r="AD216" i="4" s="1"/>
  <c r="AD215" i="4" a="1"/>
  <c r="AD215" i="4" s="1"/>
  <c r="AD214" i="4" a="1"/>
  <c r="AD214" i="4" s="1"/>
  <c r="AD213" i="4" a="1"/>
  <c r="AD213" i="4" s="1"/>
  <c r="AD212" i="4" a="1"/>
  <c r="AD212" i="4" s="1"/>
  <c r="AD211" i="4" a="1"/>
  <c r="AD211" i="4" s="1"/>
  <c r="AD210" i="4" a="1"/>
  <c r="AD210" i="4" s="1"/>
  <c r="AD209" i="4" a="1"/>
  <c r="AD209" i="4" s="1"/>
  <c r="AD208" i="4" a="1"/>
  <c r="AD208" i="4" s="1"/>
  <c r="AD207" i="4" a="1"/>
  <c r="AD207" i="4" s="1"/>
  <c r="AD206" i="4" a="1"/>
  <c r="AD206" i="4" s="1"/>
  <c r="AD205" i="4" a="1"/>
  <c r="AD205" i="4" s="1"/>
  <c r="AD204" i="4" a="1"/>
  <c r="AD204" i="4" s="1"/>
  <c r="AD203" i="4" a="1"/>
  <c r="AD203" i="4" s="1"/>
  <c r="AD202" i="4" a="1"/>
  <c r="AD202" i="4" s="1"/>
  <c r="AD201" i="4" a="1"/>
  <c r="AD201" i="4" s="1"/>
  <c r="AD200" i="4" a="1"/>
  <c r="AD200" i="4" s="1"/>
  <c r="AD199" i="4" a="1"/>
  <c r="AD199" i="4" s="1"/>
  <c r="AD198" i="4" a="1"/>
  <c r="AD198" i="4" s="1"/>
  <c r="AD197" i="4" a="1"/>
  <c r="AD197" i="4" s="1"/>
  <c r="AD196" i="4" a="1"/>
  <c r="AD196" i="4" s="1"/>
  <c r="AD195" i="4" a="1"/>
  <c r="AD195" i="4" s="1"/>
  <c r="AD194" i="4" a="1"/>
  <c r="AD194" i="4" s="1"/>
  <c r="AD193" i="4" a="1"/>
  <c r="AD193" i="4" s="1"/>
  <c r="AD192" i="4" a="1"/>
  <c r="AD192" i="4" s="1"/>
  <c r="AD191" i="4" a="1"/>
  <c r="AD191" i="4" s="1"/>
  <c r="AD190" i="4" a="1"/>
  <c r="AD190" i="4" s="1"/>
  <c r="AD189" i="4" a="1"/>
  <c r="AD189" i="4" s="1"/>
  <c r="AD188" i="4" a="1"/>
  <c r="AD188" i="4" s="1"/>
  <c r="AD187" i="4" a="1"/>
  <c r="AD187" i="4" s="1"/>
  <c r="AD186" i="4" a="1"/>
  <c r="AD186" i="4" s="1"/>
  <c r="AD185" i="4" a="1"/>
  <c r="AD185" i="4" s="1"/>
  <c r="AD184" i="4" a="1"/>
  <c r="AD184" i="4" s="1"/>
  <c r="AD183" i="4" a="1"/>
  <c r="AD183" i="4" s="1"/>
  <c r="AD182" i="4" a="1"/>
  <c r="AD182" i="4" s="1"/>
  <c r="AD181" i="4" a="1"/>
  <c r="AD181" i="4" s="1"/>
  <c r="AD180" i="4" a="1"/>
  <c r="AD180" i="4" s="1"/>
  <c r="AD179" i="4" a="1"/>
  <c r="AD179" i="4" s="1"/>
  <c r="AD178" i="4" a="1"/>
  <c r="AD178" i="4" s="1"/>
  <c r="AD177" i="4" a="1"/>
  <c r="AD177" i="4" s="1"/>
  <c r="AD176" i="4" a="1"/>
  <c r="AD176" i="4" s="1"/>
  <c r="AD175" i="4" a="1"/>
  <c r="AD175" i="4" s="1"/>
  <c r="AD174" i="4" a="1"/>
  <c r="AD174" i="4" s="1"/>
  <c r="AD173" i="4" a="1"/>
  <c r="AD173" i="4" s="1"/>
  <c r="AD172" i="4" a="1"/>
  <c r="AD172" i="4" s="1"/>
  <c r="AD171" i="4" a="1"/>
  <c r="AD171" i="4" s="1"/>
  <c r="AD170" i="4" a="1"/>
  <c r="AD170" i="4" s="1"/>
  <c r="AD169" i="4" a="1"/>
  <c r="AD169" i="4" s="1"/>
  <c r="AD168" i="4" a="1"/>
  <c r="AD168" i="4" s="1"/>
  <c r="AD167" i="4" a="1"/>
  <c r="AD167" i="4" s="1"/>
  <c r="AD166" i="4" a="1"/>
  <c r="AD166" i="4" s="1"/>
  <c r="AD165" i="4" a="1"/>
  <c r="AD165" i="4" s="1"/>
  <c r="AD164" i="4" a="1"/>
  <c r="AD164" i="4" s="1"/>
  <c r="AD163" i="4" a="1"/>
  <c r="AD163" i="4" s="1"/>
  <c r="AD162" i="4" a="1"/>
  <c r="AD162" i="4" s="1"/>
  <c r="AD161" i="4" a="1"/>
  <c r="AD161" i="4" s="1"/>
  <c r="AD160" i="4" a="1"/>
  <c r="AD160" i="4" s="1"/>
  <c r="AD159" i="4" a="1"/>
  <c r="AD159" i="4" s="1"/>
  <c r="AD158" i="4" a="1"/>
  <c r="AD158" i="4" s="1"/>
  <c r="AD157" i="4" a="1"/>
  <c r="AD157" i="4" s="1"/>
  <c r="AD156" i="4" a="1"/>
  <c r="AD156" i="4" s="1"/>
  <c r="AD155" i="4" a="1"/>
  <c r="AD155" i="4" s="1"/>
  <c r="AD154" i="4" a="1"/>
  <c r="AD154" i="4" s="1"/>
  <c r="AD153" i="4" a="1"/>
  <c r="AD153" i="4" s="1"/>
  <c r="AD152" i="4" a="1"/>
  <c r="AD152" i="4" s="1"/>
  <c r="AD151" i="4" a="1"/>
  <c r="AD151" i="4" s="1"/>
  <c r="AD150" i="4" a="1"/>
  <c r="AD150" i="4" s="1"/>
  <c r="AD149" i="4" a="1"/>
  <c r="AD149" i="4" s="1"/>
  <c r="AD148" i="4" a="1"/>
  <c r="AD148" i="4" s="1"/>
  <c r="AD147" i="4" a="1"/>
  <c r="AD147" i="4" s="1"/>
  <c r="AD146" i="4" a="1"/>
  <c r="AD146" i="4" s="1"/>
  <c r="AD145" i="4" a="1"/>
  <c r="AD145" i="4" s="1"/>
  <c r="AD144" i="4" a="1"/>
  <c r="AD144" i="4" s="1"/>
  <c r="AD143" i="4" a="1"/>
  <c r="AD143" i="4" s="1"/>
  <c r="AD142" i="4" a="1"/>
  <c r="AD142" i="4" s="1"/>
  <c r="AD141" i="4" a="1"/>
  <c r="AD141" i="4" s="1"/>
  <c r="AD140" i="4" a="1"/>
  <c r="AD140" i="4" s="1"/>
  <c r="AD139" i="4" a="1"/>
  <c r="AD139" i="4" s="1"/>
  <c r="AD138" i="4" a="1"/>
  <c r="AD138" i="4" s="1"/>
  <c r="AD137" i="4" a="1"/>
  <c r="AD137" i="4" s="1"/>
  <c r="AD136" i="4" a="1"/>
  <c r="AD136" i="4" s="1"/>
  <c r="AD135" i="4" a="1"/>
  <c r="AD135" i="4" s="1"/>
  <c r="AD134" i="4" a="1"/>
  <c r="AD134" i="4" s="1"/>
  <c r="AD133" i="4" a="1"/>
  <c r="AD133" i="4" s="1"/>
  <c r="AD132" i="4" a="1"/>
  <c r="AD132" i="4" s="1"/>
  <c r="AD131" i="4" a="1"/>
  <c r="AD131" i="4" s="1"/>
  <c r="AD130" i="4" a="1"/>
  <c r="AD130" i="4" s="1"/>
  <c r="AD129" i="4" a="1"/>
  <c r="AD129" i="4" s="1"/>
  <c r="AD128" i="4" a="1"/>
  <c r="AD128" i="4" s="1"/>
  <c r="AD127" i="4" a="1"/>
  <c r="AD127" i="4" s="1"/>
  <c r="AD126" i="4" a="1"/>
  <c r="AD126" i="4" s="1"/>
  <c r="AD125" i="4" a="1"/>
  <c r="AD125" i="4" s="1"/>
  <c r="AD124" i="4" a="1"/>
  <c r="AD124" i="4" s="1"/>
  <c r="AD123" i="4" a="1"/>
  <c r="AD123" i="4" s="1"/>
  <c r="AD122" i="4" a="1"/>
  <c r="AD122" i="4" s="1"/>
  <c r="AD121" i="4" a="1"/>
  <c r="AD121" i="4" s="1"/>
  <c r="AD120" i="4" a="1"/>
  <c r="AD120" i="4" s="1"/>
  <c r="AD119" i="4" a="1"/>
  <c r="AD119" i="4" s="1"/>
  <c r="AD118" i="4" a="1"/>
  <c r="AD118" i="4" s="1"/>
  <c r="AD117" i="4" a="1"/>
  <c r="AD117" i="4" s="1"/>
  <c r="AD116" i="4" a="1"/>
  <c r="AD116" i="4" s="1"/>
  <c r="AD115" i="4" a="1"/>
  <c r="AD115" i="4" s="1"/>
  <c r="AD114" i="4" a="1"/>
  <c r="AD114" i="4" s="1"/>
  <c r="AD113" i="4" a="1"/>
  <c r="AD113" i="4" s="1"/>
  <c r="AD112" i="4" a="1"/>
  <c r="AD112" i="4" s="1"/>
  <c r="AD111" i="4" a="1"/>
  <c r="AD111" i="4" s="1"/>
  <c r="AD110" i="4" a="1"/>
  <c r="AD110" i="4" s="1"/>
  <c r="AD109" i="4" a="1"/>
  <c r="AD109" i="4" s="1"/>
  <c r="AD108" i="4" a="1"/>
  <c r="AD108" i="4" s="1"/>
  <c r="AD107" i="4" a="1"/>
  <c r="AD107" i="4" s="1"/>
  <c r="AD106" i="4" a="1"/>
  <c r="AD106" i="4" s="1"/>
  <c r="AD105" i="4" a="1"/>
  <c r="AD105" i="4" s="1"/>
  <c r="AD104" i="4" a="1"/>
  <c r="AD104" i="4" s="1"/>
  <c r="AD103" i="4" a="1"/>
  <c r="AD103" i="4" s="1"/>
  <c r="AD102" i="4" a="1"/>
  <c r="AD102" i="4" s="1"/>
  <c r="AD101" i="4" a="1"/>
  <c r="AD101" i="4" s="1"/>
  <c r="AD100" i="4" a="1"/>
  <c r="AD100" i="4" s="1"/>
  <c r="AD99" i="4" a="1"/>
  <c r="AD99" i="4" s="1"/>
  <c r="AD98" i="4" a="1"/>
  <c r="AD98" i="4" s="1"/>
  <c r="AD97" i="4" a="1"/>
  <c r="AD97" i="4" s="1"/>
  <c r="AD96" i="4" a="1"/>
  <c r="AD96" i="4" s="1"/>
  <c r="AD95" i="4" a="1"/>
  <c r="AD95" i="4" s="1"/>
  <c r="AD94" i="4" a="1"/>
  <c r="AD94" i="4" s="1"/>
  <c r="AD93" i="4" a="1"/>
  <c r="AD93" i="4" s="1"/>
  <c r="AD92" i="4" a="1"/>
  <c r="AD92" i="4" s="1"/>
  <c r="AD91" i="4" a="1"/>
  <c r="AD91" i="4" s="1"/>
  <c r="AD90" i="4" a="1"/>
  <c r="AD90" i="4" s="1"/>
  <c r="AD89" i="4" a="1"/>
  <c r="AD89" i="4" s="1"/>
  <c r="AD88" i="4" a="1"/>
  <c r="AD88" i="4" s="1"/>
  <c r="AD87" i="4" a="1"/>
  <c r="AD87" i="4" s="1"/>
  <c r="AD86" i="4" a="1"/>
  <c r="AD86" i="4" s="1"/>
  <c r="AD85" i="4" a="1"/>
  <c r="AD85" i="4" s="1"/>
  <c r="AD84" i="4" a="1"/>
  <c r="AD84" i="4" s="1"/>
  <c r="AD83" i="4" a="1"/>
  <c r="AD83" i="4" s="1"/>
  <c r="AD82" i="4" a="1"/>
  <c r="AD82" i="4" s="1"/>
  <c r="AD81" i="4" a="1"/>
  <c r="AD81" i="4" s="1"/>
  <c r="AD80" i="4" a="1"/>
  <c r="AD80" i="4" s="1"/>
  <c r="AD79" i="4" a="1"/>
  <c r="AD79" i="4" s="1"/>
  <c r="AD78" i="4" a="1"/>
  <c r="AD78" i="4" s="1"/>
  <c r="AD77" i="4" a="1"/>
  <c r="AD77" i="4" s="1"/>
  <c r="AD76" i="4" a="1"/>
  <c r="AD76" i="4" s="1"/>
  <c r="AD75" i="4" a="1"/>
  <c r="AD75" i="4" s="1"/>
  <c r="AD74" i="4" a="1"/>
  <c r="AD74" i="4" s="1"/>
  <c r="AD73" i="4" a="1"/>
  <c r="AD73" i="4" s="1"/>
  <c r="AD72" i="4" a="1"/>
  <c r="AD72" i="4" s="1"/>
  <c r="AD71" i="4" a="1"/>
  <c r="AD71" i="4" s="1"/>
  <c r="AD70" i="4" a="1"/>
  <c r="AD70" i="4" s="1"/>
  <c r="AD69" i="4" a="1"/>
  <c r="AD69" i="4" s="1"/>
  <c r="AD68" i="4" a="1"/>
  <c r="AD68" i="4" s="1"/>
  <c r="AD67" i="4" a="1"/>
  <c r="AD67" i="4" s="1"/>
  <c r="AD66" i="4" a="1"/>
  <c r="AD66" i="4" s="1"/>
  <c r="AD65" i="4" a="1"/>
  <c r="AD65" i="4" s="1"/>
  <c r="AD64" i="4" a="1"/>
  <c r="AD64" i="4" s="1"/>
  <c r="AD63" i="4" a="1"/>
  <c r="AD63" i="4" s="1"/>
  <c r="AD62" i="4" a="1"/>
  <c r="AD62" i="4" s="1"/>
  <c r="AD61" i="4" a="1"/>
  <c r="AD61" i="4" s="1"/>
  <c r="AD60" i="4" a="1"/>
  <c r="AD60" i="4" s="1"/>
  <c r="AD59" i="4" a="1"/>
  <c r="AD59" i="4" s="1"/>
  <c r="AD58" i="4" a="1"/>
  <c r="AD58" i="4" s="1"/>
  <c r="AD57" i="4" a="1"/>
  <c r="AD57" i="4" s="1"/>
  <c r="AD56" i="4" a="1"/>
  <c r="AD56" i="4" s="1"/>
  <c r="AD55" i="4" a="1"/>
  <c r="AD55" i="4" s="1"/>
  <c r="AD54" i="4" a="1"/>
  <c r="AD54" i="4" s="1"/>
  <c r="AD53" i="4" a="1"/>
  <c r="AD53" i="4" s="1"/>
  <c r="AD52" i="4" a="1"/>
  <c r="AD52" i="4" s="1"/>
  <c r="AD51" i="4" a="1"/>
  <c r="AD51" i="4" s="1"/>
  <c r="AD50" i="4" a="1"/>
  <c r="AD50" i="4" s="1"/>
  <c r="AD49" i="4" a="1"/>
  <c r="AD49" i="4" s="1"/>
  <c r="AD48" i="4" a="1"/>
  <c r="AD48" i="4" s="1"/>
  <c r="AD47" i="4" a="1"/>
  <c r="AD47" i="4" s="1"/>
  <c r="AD46" i="4" a="1"/>
  <c r="AD46" i="4" s="1"/>
  <c r="AD45" i="4" a="1"/>
  <c r="AD45" i="4" s="1"/>
  <c r="AD44" i="4" a="1"/>
  <c r="AD44" i="4" s="1"/>
  <c r="AD43" i="4" a="1"/>
  <c r="AD43" i="4" s="1"/>
  <c r="AD42" i="4" a="1"/>
  <c r="AD42" i="4" s="1"/>
  <c r="AD41" i="4" a="1"/>
  <c r="AD41" i="4" s="1"/>
  <c r="AD40" i="4" a="1"/>
  <c r="AD40" i="4" s="1"/>
  <c r="AD39" i="4" a="1"/>
  <c r="AD39" i="4" s="1"/>
  <c r="AD38" i="4" a="1"/>
  <c r="AD38" i="4" s="1"/>
  <c r="AD37" i="4" a="1"/>
  <c r="AD37" i="4" s="1"/>
  <c r="AD36" i="4" a="1"/>
  <c r="AD36" i="4" s="1"/>
  <c r="AD35" i="4" a="1"/>
  <c r="AD35" i="4" s="1"/>
  <c r="AD34" i="4" a="1"/>
  <c r="AD34" i="4" s="1"/>
  <c r="AD33" i="4" a="1"/>
  <c r="AD33" i="4" s="1"/>
  <c r="AD32" i="4" a="1"/>
  <c r="AD32" i="4" s="1"/>
  <c r="AD31" i="4" a="1"/>
  <c r="AD31" i="4" s="1"/>
  <c r="AD30" i="4" a="1"/>
  <c r="AD30" i="4" s="1"/>
  <c r="AD29" i="4" a="1"/>
  <c r="AD29" i="4" s="1"/>
  <c r="AD28" i="4" a="1"/>
  <c r="AD28" i="4" s="1"/>
  <c r="AD27" i="4" a="1"/>
  <c r="AD27" i="4" s="1"/>
  <c r="AD26" i="4" a="1"/>
  <c r="AD26" i="4" s="1"/>
  <c r="AD25" i="4" a="1"/>
  <c r="AD25" i="4" s="1"/>
  <c r="AD24" i="4" a="1"/>
  <c r="AD24" i="4" s="1"/>
  <c r="AD23" i="4" a="1"/>
  <c r="AD23" i="4" s="1"/>
  <c r="AD22" i="4" a="1"/>
  <c r="AD22" i="4" s="1"/>
  <c r="AD21" i="4" a="1"/>
  <c r="AD21" i="4" s="1"/>
  <c r="AB601" i="4" a="1"/>
  <c r="AB601" i="4" s="1"/>
  <c r="AB600" i="4" a="1"/>
  <c r="AB600" i="4" s="1"/>
  <c r="AB599" i="4" a="1"/>
  <c r="AB599" i="4" s="1"/>
  <c r="AB598" i="4" a="1"/>
  <c r="AB598" i="4" s="1"/>
  <c r="AB597" i="4" a="1"/>
  <c r="AB597" i="4" s="1"/>
  <c r="AB596" i="4" a="1"/>
  <c r="AB596" i="4" s="1"/>
  <c r="AB595" i="4" a="1"/>
  <c r="AB595" i="4" s="1"/>
  <c r="AB594" i="4" a="1"/>
  <c r="AB594" i="4" s="1"/>
  <c r="AB593" i="4" a="1"/>
  <c r="AB593" i="4" s="1"/>
  <c r="AB592" i="4" a="1"/>
  <c r="AB592" i="4" s="1"/>
  <c r="AB591" i="4" a="1"/>
  <c r="AB591" i="4" s="1"/>
  <c r="AB590" i="4" a="1"/>
  <c r="AB590" i="4" s="1"/>
  <c r="AB589" i="4" a="1"/>
  <c r="AB589" i="4" s="1"/>
  <c r="AB588" i="4" a="1"/>
  <c r="AB588" i="4" s="1"/>
  <c r="AB587" i="4" a="1"/>
  <c r="AB587" i="4" s="1"/>
  <c r="AB586" i="4" a="1"/>
  <c r="AB586" i="4" s="1"/>
  <c r="AB585" i="4" a="1"/>
  <c r="AB585" i="4" s="1"/>
  <c r="AB584" i="4" a="1"/>
  <c r="AB584" i="4" s="1"/>
  <c r="AB583" i="4" a="1"/>
  <c r="AB583" i="4" s="1"/>
  <c r="AB582" i="4" a="1"/>
  <c r="AB582" i="4" s="1"/>
  <c r="AB581" i="4" a="1"/>
  <c r="AB581" i="4" s="1"/>
  <c r="AB580" i="4" a="1"/>
  <c r="AB580" i="4" s="1"/>
  <c r="AB579" i="4" a="1"/>
  <c r="AB579" i="4" s="1"/>
  <c r="AB578" i="4" a="1"/>
  <c r="AB578" i="4" s="1"/>
  <c r="AB577" i="4" a="1"/>
  <c r="AB577" i="4" s="1"/>
  <c r="AB576" i="4" a="1"/>
  <c r="AB576" i="4" s="1"/>
  <c r="AB575" i="4" a="1"/>
  <c r="AB575" i="4" s="1"/>
  <c r="AB574" i="4" a="1"/>
  <c r="AB574" i="4" s="1"/>
  <c r="AB573" i="4" a="1"/>
  <c r="AB573" i="4" s="1"/>
  <c r="AB572" i="4" a="1"/>
  <c r="AB572" i="4" s="1"/>
  <c r="AB571" i="4" a="1"/>
  <c r="AB571" i="4" s="1"/>
  <c r="AB570" i="4" a="1"/>
  <c r="AB570" i="4" s="1"/>
  <c r="AB569" i="4" a="1"/>
  <c r="AB569" i="4" s="1"/>
  <c r="AB568" i="4" a="1"/>
  <c r="AB568" i="4" s="1"/>
  <c r="AB567" i="4" a="1"/>
  <c r="AB567" i="4" s="1"/>
  <c r="AB566" i="4" a="1"/>
  <c r="AB566" i="4" s="1"/>
  <c r="AB565" i="4" a="1"/>
  <c r="AB565" i="4" s="1"/>
  <c r="AB564" i="4" a="1"/>
  <c r="AB564" i="4" s="1"/>
  <c r="AB563" i="4" a="1"/>
  <c r="AB563" i="4" s="1"/>
  <c r="AB562" i="4" a="1"/>
  <c r="AB562" i="4" s="1"/>
  <c r="AB561" i="4" a="1"/>
  <c r="AB561" i="4" s="1"/>
  <c r="AB560" i="4" a="1"/>
  <c r="AB560" i="4" s="1"/>
  <c r="AB559" i="4" a="1"/>
  <c r="AB559" i="4" s="1"/>
  <c r="AB558" i="4" a="1"/>
  <c r="AB558" i="4" s="1"/>
  <c r="AB557" i="4" a="1"/>
  <c r="AB557" i="4" s="1"/>
  <c r="AB556" i="4" a="1"/>
  <c r="AB556" i="4" s="1"/>
  <c r="AB555" i="4" a="1"/>
  <c r="AB555" i="4" s="1"/>
  <c r="AB554" i="4" a="1"/>
  <c r="AB554" i="4" s="1"/>
  <c r="AB553" i="4" a="1"/>
  <c r="AB553" i="4" s="1"/>
  <c r="AB552" i="4" a="1"/>
  <c r="AB552" i="4" s="1"/>
  <c r="AB551" i="4" a="1"/>
  <c r="AB551" i="4" s="1"/>
  <c r="AB550" i="4" a="1"/>
  <c r="AB550" i="4" s="1"/>
  <c r="AB549" i="4" a="1"/>
  <c r="AB549" i="4" s="1"/>
  <c r="AB548" i="4" a="1"/>
  <c r="AB548" i="4" s="1"/>
  <c r="AB547" i="4" a="1"/>
  <c r="AB547" i="4" s="1"/>
  <c r="AB546" i="4" a="1"/>
  <c r="AB546" i="4" s="1"/>
  <c r="AB545" i="4" a="1"/>
  <c r="AB545" i="4" s="1"/>
  <c r="AB544" i="4" a="1"/>
  <c r="AB544" i="4" s="1"/>
  <c r="AB543" i="4" a="1"/>
  <c r="AB543" i="4" s="1"/>
  <c r="AB542" i="4" a="1"/>
  <c r="AB542" i="4" s="1"/>
  <c r="AB541" i="4" a="1"/>
  <c r="AB541" i="4" s="1"/>
  <c r="AB540" i="4" a="1"/>
  <c r="AB540" i="4" s="1"/>
  <c r="AB539" i="4" a="1"/>
  <c r="AB539" i="4" s="1"/>
  <c r="AB538" i="4" a="1"/>
  <c r="AB538" i="4" s="1"/>
  <c r="AB537" i="4" a="1"/>
  <c r="AB537" i="4" s="1"/>
  <c r="AB536" i="4" a="1"/>
  <c r="AB536" i="4" s="1"/>
  <c r="AB535" i="4" a="1"/>
  <c r="AB535" i="4" s="1"/>
  <c r="AB534" i="4" a="1"/>
  <c r="AB534" i="4" s="1"/>
  <c r="AB533" i="4" a="1"/>
  <c r="AB533" i="4" s="1"/>
  <c r="AB532" i="4" a="1"/>
  <c r="AB532" i="4" s="1"/>
  <c r="AB531" i="4" a="1"/>
  <c r="AB531" i="4" s="1"/>
  <c r="AB530" i="4" a="1"/>
  <c r="AB530" i="4" s="1"/>
  <c r="AB529" i="4" a="1"/>
  <c r="AB529" i="4" s="1"/>
  <c r="AB528" i="4" a="1"/>
  <c r="AB528" i="4" s="1"/>
  <c r="AB527" i="4" a="1"/>
  <c r="AB527" i="4" s="1"/>
  <c r="AB526" i="4" a="1"/>
  <c r="AB526" i="4" s="1"/>
  <c r="AB525" i="4" a="1"/>
  <c r="AB525" i="4" s="1"/>
  <c r="AB524" i="4" a="1"/>
  <c r="AB524" i="4" s="1"/>
  <c r="AB523" i="4" a="1"/>
  <c r="AB523" i="4" s="1"/>
  <c r="AB522" i="4" a="1"/>
  <c r="AB522" i="4" s="1"/>
  <c r="AB521" i="4" a="1"/>
  <c r="AB521" i="4" s="1"/>
  <c r="AB520" i="4" a="1"/>
  <c r="AB520" i="4" s="1"/>
  <c r="AB519" i="4" a="1"/>
  <c r="AB519" i="4" s="1"/>
  <c r="AB518" i="4" a="1"/>
  <c r="AB518" i="4" s="1"/>
  <c r="AB517" i="4" a="1"/>
  <c r="AB517" i="4" s="1"/>
  <c r="AB516" i="4" a="1"/>
  <c r="AB516" i="4" s="1"/>
  <c r="AB515" i="4" a="1"/>
  <c r="AB515" i="4" s="1"/>
  <c r="AB514" i="4" a="1"/>
  <c r="AB514" i="4" s="1"/>
  <c r="AB513" i="4" a="1"/>
  <c r="AB513" i="4" s="1"/>
  <c r="AB512" i="4" a="1"/>
  <c r="AB512" i="4" s="1"/>
  <c r="AB511" i="4" a="1"/>
  <c r="AB511" i="4" s="1"/>
  <c r="AB510" i="4" a="1"/>
  <c r="AB510" i="4" s="1"/>
  <c r="AB509" i="4" a="1"/>
  <c r="AB509" i="4" s="1"/>
  <c r="AB508" i="4" a="1"/>
  <c r="AB508" i="4" s="1"/>
  <c r="AB507" i="4" a="1"/>
  <c r="AB507" i="4" s="1"/>
  <c r="AB506" i="4" a="1"/>
  <c r="AB506" i="4" s="1"/>
  <c r="AB505" i="4" a="1"/>
  <c r="AB505" i="4" s="1"/>
  <c r="AB504" i="4" a="1"/>
  <c r="AB504" i="4" s="1"/>
  <c r="AB503" i="4" a="1"/>
  <c r="AB503" i="4" s="1"/>
  <c r="AB502" i="4" a="1"/>
  <c r="AB502" i="4" s="1"/>
  <c r="AB501" i="4" a="1"/>
  <c r="AB501" i="4" s="1"/>
  <c r="AB500" i="4" a="1"/>
  <c r="AB500" i="4" s="1"/>
  <c r="AB499" i="4" a="1"/>
  <c r="AB499" i="4" s="1"/>
  <c r="AB498" i="4" a="1"/>
  <c r="AB498" i="4" s="1"/>
  <c r="AB497" i="4" a="1"/>
  <c r="AB497" i="4" s="1"/>
  <c r="AB496" i="4" a="1"/>
  <c r="AB496" i="4" s="1"/>
  <c r="AB495" i="4" a="1"/>
  <c r="AB495" i="4" s="1"/>
  <c r="AB494" i="4" a="1"/>
  <c r="AB494" i="4" s="1"/>
  <c r="AB493" i="4" a="1"/>
  <c r="AB493" i="4" s="1"/>
  <c r="AB492" i="4" a="1"/>
  <c r="AB492" i="4" s="1"/>
  <c r="AB491" i="4" a="1"/>
  <c r="AB491" i="4" s="1"/>
  <c r="AB490" i="4" a="1"/>
  <c r="AB490" i="4" s="1"/>
  <c r="AB489" i="4" a="1"/>
  <c r="AB489" i="4" s="1"/>
  <c r="AB488" i="4" a="1"/>
  <c r="AB488" i="4" s="1"/>
  <c r="AB487" i="4" a="1"/>
  <c r="AB487" i="4" s="1"/>
  <c r="AB486" i="4" a="1"/>
  <c r="AB486" i="4" s="1"/>
  <c r="AB485" i="4" a="1"/>
  <c r="AB485" i="4" s="1"/>
  <c r="AB484" i="4" a="1"/>
  <c r="AB484" i="4" s="1"/>
  <c r="AB483" i="4" a="1"/>
  <c r="AB483" i="4" s="1"/>
  <c r="AB482" i="4" a="1"/>
  <c r="AB482" i="4" s="1"/>
  <c r="AB481" i="4" a="1"/>
  <c r="AB481" i="4" s="1"/>
  <c r="AB480" i="4" a="1"/>
  <c r="AB480" i="4" s="1"/>
  <c r="AB479" i="4" a="1"/>
  <c r="AB479" i="4" s="1"/>
  <c r="AB478" i="4" a="1"/>
  <c r="AB478" i="4" s="1"/>
  <c r="AB477" i="4" a="1"/>
  <c r="AB477" i="4" s="1"/>
  <c r="AB476" i="4" a="1"/>
  <c r="AB476" i="4" s="1"/>
  <c r="AB475" i="4" a="1"/>
  <c r="AB475" i="4" s="1"/>
  <c r="AB474" i="4" a="1"/>
  <c r="AB474" i="4" s="1"/>
  <c r="AB473" i="4" a="1"/>
  <c r="AB473" i="4" s="1"/>
  <c r="AB472" i="4" a="1"/>
  <c r="AB472" i="4" s="1"/>
  <c r="AB471" i="4" a="1"/>
  <c r="AB471" i="4" s="1"/>
  <c r="AB470" i="4" a="1"/>
  <c r="AB470" i="4" s="1"/>
  <c r="AB469" i="4" a="1"/>
  <c r="AB469" i="4" s="1"/>
  <c r="AB468" i="4" a="1"/>
  <c r="AB468" i="4" s="1"/>
  <c r="AB467" i="4" a="1"/>
  <c r="AB467" i="4" s="1"/>
  <c r="AB466" i="4" a="1"/>
  <c r="AB466" i="4" s="1"/>
  <c r="AB465" i="4" a="1"/>
  <c r="AB465" i="4" s="1"/>
  <c r="AB464" i="4" a="1"/>
  <c r="AB464" i="4" s="1"/>
  <c r="AB463" i="4" a="1"/>
  <c r="AB463" i="4" s="1"/>
  <c r="AB462" i="4" a="1"/>
  <c r="AB462" i="4" s="1"/>
  <c r="AB461" i="4" a="1"/>
  <c r="AB461" i="4" s="1"/>
  <c r="AB460" i="4" a="1"/>
  <c r="AB460" i="4" s="1"/>
  <c r="AB459" i="4" a="1"/>
  <c r="AB459" i="4" s="1"/>
  <c r="AB458" i="4" a="1"/>
  <c r="AB458" i="4" s="1"/>
  <c r="AB457" i="4" a="1"/>
  <c r="AB457" i="4" s="1"/>
  <c r="AB456" i="4" a="1"/>
  <c r="AB456" i="4" s="1"/>
  <c r="AB455" i="4" a="1"/>
  <c r="AB455" i="4" s="1"/>
  <c r="AB454" i="4" a="1"/>
  <c r="AB454" i="4" s="1"/>
  <c r="AB453" i="4" a="1"/>
  <c r="AB453" i="4" s="1"/>
  <c r="AB452" i="4" a="1"/>
  <c r="AB452" i="4" s="1"/>
  <c r="AB451" i="4" a="1"/>
  <c r="AB451" i="4" s="1"/>
  <c r="AB450" i="4" a="1"/>
  <c r="AB450" i="4" s="1"/>
  <c r="AB449" i="4" a="1"/>
  <c r="AB449" i="4" s="1"/>
  <c r="AB448" i="4" a="1"/>
  <c r="AB448" i="4" s="1"/>
  <c r="AB447" i="4" a="1"/>
  <c r="AB447" i="4" s="1"/>
  <c r="AB446" i="4" a="1"/>
  <c r="AB446" i="4" s="1"/>
  <c r="AB445" i="4" a="1"/>
  <c r="AB445" i="4" s="1"/>
  <c r="AB444" i="4" a="1"/>
  <c r="AB444" i="4" s="1"/>
  <c r="AB443" i="4" a="1"/>
  <c r="AB443" i="4" s="1"/>
  <c r="AB442" i="4" a="1"/>
  <c r="AB442" i="4" s="1"/>
  <c r="AB441" i="4" a="1"/>
  <c r="AB441" i="4" s="1"/>
  <c r="AB440" i="4" a="1"/>
  <c r="AB440" i="4" s="1"/>
  <c r="AB439" i="4" a="1"/>
  <c r="AB439" i="4" s="1"/>
  <c r="AB438" i="4" a="1"/>
  <c r="AB438" i="4" s="1"/>
  <c r="AB437" i="4" a="1"/>
  <c r="AB437" i="4" s="1"/>
  <c r="AB436" i="4" a="1"/>
  <c r="AB436" i="4" s="1"/>
  <c r="AB435" i="4" a="1"/>
  <c r="AB435" i="4" s="1"/>
  <c r="AB434" i="4" a="1"/>
  <c r="AB434" i="4" s="1"/>
  <c r="AB433" i="4" a="1"/>
  <c r="AB433" i="4" s="1"/>
  <c r="AB432" i="4" a="1"/>
  <c r="AB432" i="4" s="1"/>
  <c r="AB431" i="4" a="1"/>
  <c r="AB431" i="4" s="1"/>
  <c r="AB430" i="4" a="1"/>
  <c r="AB430" i="4" s="1"/>
  <c r="AB429" i="4" a="1"/>
  <c r="AB429" i="4" s="1"/>
  <c r="AB428" i="4" a="1"/>
  <c r="AB428" i="4" s="1"/>
  <c r="AB427" i="4" a="1"/>
  <c r="AB427" i="4" s="1"/>
  <c r="AB426" i="4" a="1"/>
  <c r="AB426" i="4" s="1"/>
  <c r="AB425" i="4" a="1"/>
  <c r="AB425" i="4" s="1"/>
  <c r="AB424" i="4" a="1"/>
  <c r="AB424" i="4" s="1"/>
  <c r="AB423" i="4" a="1"/>
  <c r="AB423" i="4" s="1"/>
  <c r="AB422" i="4" a="1"/>
  <c r="AB422" i="4" s="1"/>
  <c r="AB421" i="4" a="1"/>
  <c r="AB421" i="4" s="1"/>
  <c r="AB420" i="4" a="1"/>
  <c r="AB420" i="4" s="1"/>
  <c r="AB419" i="4" a="1"/>
  <c r="AB419" i="4" s="1"/>
  <c r="AB418" i="4" a="1"/>
  <c r="AB418" i="4" s="1"/>
  <c r="AB417" i="4" a="1"/>
  <c r="AB417" i="4" s="1"/>
  <c r="AB416" i="4" a="1"/>
  <c r="AB416" i="4" s="1"/>
  <c r="AB415" i="4" a="1"/>
  <c r="AB415" i="4" s="1"/>
  <c r="AB414" i="4" a="1"/>
  <c r="AB414" i="4" s="1"/>
  <c r="AB413" i="4" a="1"/>
  <c r="AB413" i="4" s="1"/>
  <c r="AB412" i="4" a="1"/>
  <c r="AB412" i="4" s="1"/>
  <c r="AB411" i="4" a="1"/>
  <c r="AB411" i="4" s="1"/>
  <c r="AB410" i="4" a="1"/>
  <c r="AB410" i="4" s="1"/>
  <c r="AB409" i="4" a="1"/>
  <c r="AB409" i="4" s="1"/>
  <c r="AB408" i="4" a="1"/>
  <c r="AB408" i="4" s="1"/>
  <c r="AB407" i="4" a="1"/>
  <c r="AB407" i="4" s="1"/>
  <c r="AB406" i="4" a="1"/>
  <c r="AB406" i="4" s="1"/>
  <c r="AB405" i="4" a="1"/>
  <c r="AB405" i="4" s="1"/>
  <c r="AB404" i="4" a="1"/>
  <c r="AB404" i="4" s="1"/>
  <c r="AB403" i="4" a="1"/>
  <c r="AB403" i="4" s="1"/>
  <c r="AB402" i="4" a="1"/>
  <c r="AB402" i="4" s="1"/>
  <c r="AB401" i="4" a="1"/>
  <c r="AB401" i="4" s="1"/>
  <c r="AB400" i="4" a="1"/>
  <c r="AB400" i="4" s="1"/>
  <c r="AB399" i="4" a="1"/>
  <c r="AB399" i="4" s="1"/>
  <c r="AB398" i="4" a="1"/>
  <c r="AB398" i="4" s="1"/>
  <c r="AB397" i="4" a="1"/>
  <c r="AB397" i="4" s="1"/>
  <c r="AB396" i="4" a="1"/>
  <c r="AB396" i="4" s="1"/>
  <c r="AB395" i="4" a="1"/>
  <c r="AB395" i="4" s="1"/>
  <c r="AB394" i="4" a="1"/>
  <c r="AB394" i="4" s="1"/>
  <c r="AB393" i="4" a="1"/>
  <c r="AB393" i="4" s="1"/>
  <c r="AB392" i="4" a="1"/>
  <c r="AB392" i="4" s="1"/>
  <c r="AB391" i="4" a="1"/>
  <c r="AB391" i="4" s="1"/>
  <c r="AB390" i="4" a="1"/>
  <c r="AB390" i="4" s="1"/>
  <c r="AB389" i="4" a="1"/>
  <c r="AB389" i="4" s="1"/>
  <c r="AB388" i="4" a="1"/>
  <c r="AB388" i="4" s="1"/>
  <c r="AB387" i="4" a="1"/>
  <c r="AB387" i="4" s="1"/>
  <c r="AB386" i="4" a="1"/>
  <c r="AB386" i="4" s="1"/>
  <c r="AB385" i="4" a="1"/>
  <c r="AB385" i="4" s="1"/>
  <c r="AB384" i="4" a="1"/>
  <c r="AB384" i="4" s="1"/>
  <c r="AB383" i="4" a="1"/>
  <c r="AB383" i="4" s="1"/>
  <c r="AB382" i="4" a="1"/>
  <c r="AB382" i="4" s="1"/>
  <c r="AB381" i="4" a="1"/>
  <c r="AB381" i="4" s="1"/>
  <c r="AB380" i="4" a="1"/>
  <c r="AB380" i="4" s="1"/>
  <c r="AB379" i="4" a="1"/>
  <c r="AB379" i="4" s="1"/>
  <c r="AB378" i="4" a="1"/>
  <c r="AB378" i="4" s="1"/>
  <c r="AB377" i="4" a="1"/>
  <c r="AB377" i="4" s="1"/>
  <c r="AB376" i="4" a="1"/>
  <c r="AB376" i="4" s="1"/>
  <c r="AB375" i="4" a="1"/>
  <c r="AB375" i="4" s="1"/>
  <c r="AB374" i="4" a="1"/>
  <c r="AB374" i="4" s="1"/>
  <c r="AB373" i="4" a="1"/>
  <c r="AB373" i="4" s="1"/>
  <c r="AB372" i="4" a="1"/>
  <c r="AB372" i="4" s="1"/>
  <c r="AB371" i="4" a="1"/>
  <c r="AB371" i="4" s="1"/>
  <c r="AB370" i="4" a="1"/>
  <c r="AB370" i="4" s="1"/>
  <c r="AB369" i="4" a="1"/>
  <c r="AB369" i="4" s="1"/>
  <c r="AB368" i="4" a="1"/>
  <c r="AB368" i="4" s="1"/>
  <c r="AB367" i="4" a="1"/>
  <c r="AB367" i="4" s="1"/>
  <c r="AB366" i="4" a="1"/>
  <c r="AB366" i="4" s="1"/>
  <c r="AB365" i="4" a="1"/>
  <c r="AB365" i="4" s="1"/>
  <c r="AB364" i="4" a="1"/>
  <c r="AB364" i="4" s="1"/>
  <c r="AB363" i="4" a="1"/>
  <c r="AB363" i="4" s="1"/>
  <c r="AB362" i="4" a="1"/>
  <c r="AB362" i="4" s="1"/>
  <c r="AB361" i="4" a="1"/>
  <c r="AB361" i="4" s="1"/>
  <c r="AB360" i="4" a="1"/>
  <c r="AB360" i="4" s="1"/>
  <c r="AB359" i="4" a="1"/>
  <c r="AB359" i="4" s="1"/>
  <c r="AB358" i="4" a="1"/>
  <c r="AB358" i="4" s="1"/>
  <c r="AB357" i="4" a="1"/>
  <c r="AB357" i="4" s="1"/>
  <c r="AB356" i="4" a="1"/>
  <c r="AB356" i="4" s="1"/>
  <c r="AB355" i="4" a="1"/>
  <c r="AB355" i="4" s="1"/>
  <c r="AB354" i="4" a="1"/>
  <c r="AB354" i="4" s="1"/>
  <c r="AB353" i="4" a="1"/>
  <c r="AB353" i="4" s="1"/>
  <c r="AB352" i="4" a="1"/>
  <c r="AB352" i="4" s="1"/>
  <c r="AB351" i="4" a="1"/>
  <c r="AB351" i="4" s="1"/>
  <c r="AB350" i="4" a="1"/>
  <c r="AB350" i="4" s="1"/>
  <c r="AB349" i="4" a="1"/>
  <c r="AB349" i="4" s="1"/>
  <c r="AB348" i="4" a="1"/>
  <c r="AB348" i="4" s="1"/>
  <c r="AB347" i="4" a="1"/>
  <c r="AB347" i="4" s="1"/>
  <c r="AB346" i="4" a="1"/>
  <c r="AB346" i="4" s="1"/>
  <c r="AB345" i="4" a="1"/>
  <c r="AB345" i="4" s="1"/>
  <c r="AB344" i="4" a="1"/>
  <c r="AB344" i="4" s="1"/>
  <c r="AB343" i="4" a="1"/>
  <c r="AB343" i="4" s="1"/>
  <c r="AB342" i="4" a="1"/>
  <c r="AB342" i="4" s="1"/>
  <c r="AB341" i="4" a="1"/>
  <c r="AB341" i="4" s="1"/>
  <c r="AB340" i="4" a="1"/>
  <c r="AB340" i="4" s="1"/>
  <c r="AB339" i="4" a="1"/>
  <c r="AB339" i="4" s="1"/>
  <c r="AB338" i="4" a="1"/>
  <c r="AB338" i="4" s="1"/>
  <c r="AB337" i="4" a="1"/>
  <c r="AB337" i="4" s="1"/>
  <c r="AB336" i="4" a="1"/>
  <c r="AB336" i="4" s="1"/>
  <c r="AB335" i="4" a="1"/>
  <c r="AB335" i="4" s="1"/>
  <c r="AB334" i="4" a="1"/>
  <c r="AB334" i="4" s="1"/>
  <c r="AB333" i="4" a="1"/>
  <c r="AB333" i="4" s="1"/>
  <c r="AB332" i="4" a="1"/>
  <c r="AB332" i="4" s="1"/>
  <c r="AB331" i="4" a="1"/>
  <c r="AB331" i="4" s="1"/>
  <c r="AB330" i="4" a="1"/>
  <c r="AB330" i="4" s="1"/>
  <c r="AB329" i="4" a="1"/>
  <c r="AB329" i="4" s="1"/>
  <c r="AB328" i="4" a="1"/>
  <c r="AB328" i="4" s="1"/>
  <c r="AB327" i="4" a="1"/>
  <c r="AB327" i="4" s="1"/>
  <c r="AB326" i="4" a="1"/>
  <c r="AB326" i="4" s="1"/>
  <c r="AB325" i="4" a="1"/>
  <c r="AB325" i="4" s="1"/>
  <c r="AB324" i="4" a="1"/>
  <c r="AB324" i="4" s="1"/>
  <c r="AB323" i="4" a="1"/>
  <c r="AB323" i="4" s="1"/>
  <c r="AB322" i="4" a="1"/>
  <c r="AB322" i="4" s="1"/>
  <c r="AB321" i="4" a="1"/>
  <c r="AB321" i="4" s="1"/>
  <c r="AB320" i="4" a="1"/>
  <c r="AB320" i="4" s="1"/>
  <c r="AB319" i="4" a="1"/>
  <c r="AB319" i="4" s="1"/>
  <c r="AB318" i="4" a="1"/>
  <c r="AB318" i="4" s="1"/>
  <c r="AB317" i="4" a="1"/>
  <c r="AB317" i="4" s="1"/>
  <c r="AB316" i="4" a="1"/>
  <c r="AB316" i="4" s="1"/>
  <c r="AB315" i="4" a="1"/>
  <c r="AB315" i="4" s="1"/>
  <c r="AB314" i="4" a="1"/>
  <c r="AB314" i="4" s="1"/>
  <c r="AB313" i="4" a="1"/>
  <c r="AB313" i="4" s="1"/>
  <c r="AB312" i="4" a="1"/>
  <c r="AB312" i="4" s="1"/>
  <c r="AB311" i="4" a="1"/>
  <c r="AB311" i="4" s="1"/>
  <c r="AB310" i="4" a="1"/>
  <c r="AB310" i="4" s="1"/>
  <c r="AB309" i="4" a="1"/>
  <c r="AB309" i="4" s="1"/>
  <c r="AB308" i="4" a="1"/>
  <c r="AB308" i="4" s="1"/>
  <c r="AB307" i="4" a="1"/>
  <c r="AB307" i="4" s="1"/>
  <c r="AB306" i="4" a="1"/>
  <c r="AB306" i="4" s="1"/>
  <c r="AB305" i="4" a="1"/>
  <c r="AB305" i="4" s="1"/>
  <c r="AB304" i="4" a="1"/>
  <c r="AB304" i="4" s="1"/>
  <c r="AB303" i="4" a="1"/>
  <c r="AB303" i="4" s="1"/>
  <c r="AB302" i="4" a="1"/>
  <c r="AB302" i="4" s="1"/>
  <c r="AB301" i="4" a="1"/>
  <c r="AB301" i="4" s="1"/>
  <c r="AB300" i="4" a="1"/>
  <c r="AB300" i="4" s="1"/>
  <c r="AB299" i="4" a="1"/>
  <c r="AB299" i="4" s="1"/>
  <c r="AB298" i="4" a="1"/>
  <c r="AB298" i="4" s="1"/>
  <c r="AB297" i="4" a="1"/>
  <c r="AB297" i="4" s="1"/>
  <c r="AB296" i="4" a="1"/>
  <c r="AB296" i="4" s="1"/>
  <c r="AB295" i="4" a="1"/>
  <c r="AB295" i="4" s="1"/>
  <c r="AB294" i="4" a="1"/>
  <c r="AB294" i="4" s="1"/>
  <c r="AB293" i="4" a="1"/>
  <c r="AB293" i="4" s="1"/>
  <c r="AB292" i="4" a="1"/>
  <c r="AB292" i="4" s="1"/>
  <c r="AB291" i="4" a="1"/>
  <c r="AB291" i="4" s="1"/>
  <c r="AB290" i="4" a="1"/>
  <c r="AB290" i="4" s="1"/>
  <c r="AB289" i="4" a="1"/>
  <c r="AB289" i="4" s="1"/>
  <c r="AB288" i="4" a="1"/>
  <c r="AB288" i="4" s="1"/>
  <c r="AB287" i="4" a="1"/>
  <c r="AB287" i="4" s="1"/>
  <c r="AB286" i="4" a="1"/>
  <c r="AB286" i="4" s="1"/>
  <c r="AB285" i="4" a="1"/>
  <c r="AB285" i="4" s="1"/>
  <c r="AB284" i="4" a="1"/>
  <c r="AB284" i="4" s="1"/>
  <c r="AB283" i="4" a="1"/>
  <c r="AB283" i="4" s="1"/>
  <c r="AB282" i="4" a="1"/>
  <c r="AB282" i="4" s="1"/>
  <c r="AB281" i="4" a="1"/>
  <c r="AB281" i="4" s="1"/>
  <c r="AB280" i="4" a="1"/>
  <c r="AB280" i="4" s="1"/>
  <c r="AB279" i="4" a="1"/>
  <c r="AB279" i="4" s="1"/>
  <c r="AB278" i="4" a="1"/>
  <c r="AB278" i="4" s="1"/>
  <c r="AB277" i="4" a="1"/>
  <c r="AB277" i="4" s="1"/>
  <c r="AB276" i="4" a="1"/>
  <c r="AB276" i="4" s="1"/>
  <c r="AB275" i="4" a="1"/>
  <c r="AB275" i="4" s="1"/>
  <c r="AB274" i="4" a="1"/>
  <c r="AB274" i="4" s="1"/>
  <c r="AB273" i="4" a="1"/>
  <c r="AB273" i="4" s="1"/>
  <c r="AB272" i="4" a="1"/>
  <c r="AB272" i="4" s="1"/>
  <c r="AB271" i="4" a="1"/>
  <c r="AB271" i="4" s="1"/>
  <c r="AB270" i="4" a="1"/>
  <c r="AB270" i="4" s="1"/>
  <c r="AB269" i="4" a="1"/>
  <c r="AB269" i="4" s="1"/>
  <c r="AB268" i="4" a="1"/>
  <c r="AB268" i="4" s="1"/>
  <c r="AB267" i="4" a="1"/>
  <c r="AB267" i="4" s="1"/>
  <c r="AB266" i="4" a="1"/>
  <c r="AB266" i="4" s="1"/>
  <c r="AB265" i="4" a="1"/>
  <c r="AB265" i="4" s="1"/>
  <c r="AB264" i="4" a="1"/>
  <c r="AB264" i="4" s="1"/>
  <c r="AB263" i="4" a="1"/>
  <c r="AB263" i="4" s="1"/>
  <c r="AB262" i="4" a="1"/>
  <c r="AB262" i="4" s="1"/>
  <c r="AB261" i="4" a="1"/>
  <c r="AB261" i="4" s="1"/>
  <c r="AB260" i="4" a="1"/>
  <c r="AB260" i="4" s="1"/>
  <c r="AB259" i="4" a="1"/>
  <c r="AB259" i="4" s="1"/>
  <c r="AB258" i="4" a="1"/>
  <c r="AB258" i="4" s="1"/>
  <c r="AB257" i="4" a="1"/>
  <c r="AB257" i="4" s="1"/>
  <c r="AB256" i="4" a="1"/>
  <c r="AB256" i="4" s="1"/>
  <c r="AB255" i="4" a="1"/>
  <c r="AB255" i="4" s="1"/>
  <c r="AB254" i="4" a="1"/>
  <c r="AB254" i="4" s="1"/>
  <c r="AB253" i="4" a="1"/>
  <c r="AB253" i="4" s="1"/>
  <c r="AB252" i="4" a="1"/>
  <c r="AB252" i="4" s="1"/>
  <c r="AB251" i="4" a="1"/>
  <c r="AB251" i="4" s="1"/>
  <c r="AB250" i="4" a="1"/>
  <c r="AB250" i="4" s="1"/>
  <c r="AB249" i="4" a="1"/>
  <c r="AB249" i="4" s="1"/>
  <c r="AB248" i="4" a="1"/>
  <c r="AB248" i="4" s="1"/>
  <c r="AB247" i="4" a="1"/>
  <c r="AB247" i="4" s="1"/>
  <c r="AB246" i="4" a="1"/>
  <c r="AB246" i="4" s="1"/>
  <c r="AB245" i="4" a="1"/>
  <c r="AB245" i="4" s="1"/>
  <c r="AB244" i="4" a="1"/>
  <c r="AB244" i="4" s="1"/>
  <c r="AB243" i="4" a="1"/>
  <c r="AB243" i="4" s="1"/>
  <c r="AB242" i="4" a="1"/>
  <c r="AB242" i="4" s="1"/>
  <c r="AB241" i="4" a="1"/>
  <c r="AB241" i="4" s="1"/>
  <c r="AB240" i="4" a="1"/>
  <c r="AB240" i="4" s="1"/>
  <c r="AB239" i="4" a="1"/>
  <c r="AB239" i="4" s="1"/>
  <c r="AB238" i="4" a="1"/>
  <c r="AB238" i="4" s="1"/>
  <c r="AB237" i="4" a="1"/>
  <c r="AB237" i="4" s="1"/>
  <c r="AB236" i="4" a="1"/>
  <c r="AB236" i="4" s="1"/>
  <c r="AB235" i="4" a="1"/>
  <c r="AB235" i="4" s="1"/>
  <c r="AB234" i="4" a="1"/>
  <c r="AB234" i="4" s="1"/>
  <c r="AB233" i="4" a="1"/>
  <c r="AB233" i="4" s="1"/>
  <c r="AB232" i="4" a="1"/>
  <c r="AB232" i="4" s="1"/>
  <c r="AB231" i="4" a="1"/>
  <c r="AB231" i="4" s="1"/>
  <c r="AB230" i="4" a="1"/>
  <c r="AB230" i="4" s="1"/>
  <c r="AB229" i="4" a="1"/>
  <c r="AB229" i="4" s="1"/>
  <c r="AB228" i="4" a="1"/>
  <c r="AB228" i="4" s="1"/>
  <c r="AB227" i="4" a="1"/>
  <c r="AB227" i="4" s="1"/>
  <c r="AB226" i="4" a="1"/>
  <c r="AB226" i="4" s="1"/>
  <c r="AB225" i="4" a="1"/>
  <c r="AB225" i="4" s="1"/>
  <c r="AB224" i="4" a="1"/>
  <c r="AB224" i="4" s="1"/>
  <c r="AB223" i="4" a="1"/>
  <c r="AB223" i="4" s="1"/>
  <c r="AB222" i="4" a="1"/>
  <c r="AB222" i="4" s="1"/>
  <c r="AB221" i="4" a="1"/>
  <c r="AB221" i="4" s="1"/>
  <c r="AB220" i="4" a="1"/>
  <c r="AB220" i="4" s="1"/>
  <c r="AB219" i="4" a="1"/>
  <c r="AB219" i="4" s="1"/>
  <c r="AB218" i="4" a="1"/>
  <c r="AB218" i="4" s="1"/>
  <c r="AB217" i="4" a="1"/>
  <c r="AB217" i="4" s="1"/>
  <c r="AB216" i="4" a="1"/>
  <c r="AB216" i="4" s="1"/>
  <c r="AB215" i="4" a="1"/>
  <c r="AB215" i="4" s="1"/>
  <c r="AB214" i="4" a="1"/>
  <c r="AB214" i="4" s="1"/>
  <c r="AB213" i="4" a="1"/>
  <c r="AB213" i="4" s="1"/>
  <c r="AB212" i="4" a="1"/>
  <c r="AB212" i="4" s="1"/>
  <c r="AB211" i="4" a="1"/>
  <c r="AB211" i="4" s="1"/>
  <c r="AB210" i="4" a="1"/>
  <c r="AB210" i="4" s="1"/>
  <c r="AB209" i="4" a="1"/>
  <c r="AB209" i="4" s="1"/>
  <c r="AB208" i="4" a="1"/>
  <c r="AB208" i="4" s="1"/>
  <c r="AB207" i="4" a="1"/>
  <c r="AB207" i="4" s="1"/>
  <c r="AB206" i="4" a="1"/>
  <c r="AB206" i="4" s="1"/>
  <c r="AB205" i="4" a="1"/>
  <c r="AB205" i="4" s="1"/>
  <c r="AB204" i="4" a="1"/>
  <c r="AB204" i="4" s="1"/>
  <c r="AB203" i="4" a="1"/>
  <c r="AB203" i="4" s="1"/>
  <c r="AB202" i="4" a="1"/>
  <c r="AB202" i="4" s="1"/>
  <c r="AB201" i="4" a="1"/>
  <c r="AB201" i="4" s="1"/>
  <c r="AB200" i="4" a="1"/>
  <c r="AB200" i="4" s="1"/>
  <c r="AB199" i="4" a="1"/>
  <c r="AB199" i="4" s="1"/>
  <c r="AB198" i="4" a="1"/>
  <c r="AB198" i="4" s="1"/>
  <c r="AB197" i="4" a="1"/>
  <c r="AB197" i="4" s="1"/>
  <c r="AB196" i="4" a="1"/>
  <c r="AB196" i="4" s="1"/>
  <c r="AB195" i="4" a="1"/>
  <c r="AB195" i="4" s="1"/>
  <c r="AB194" i="4" a="1"/>
  <c r="AB194" i="4" s="1"/>
  <c r="AB193" i="4" a="1"/>
  <c r="AB193" i="4" s="1"/>
  <c r="AB192" i="4" a="1"/>
  <c r="AB192" i="4" s="1"/>
  <c r="AB191" i="4" a="1"/>
  <c r="AB191" i="4" s="1"/>
  <c r="AB190" i="4" a="1"/>
  <c r="AB190" i="4" s="1"/>
  <c r="AB189" i="4" a="1"/>
  <c r="AB189" i="4" s="1"/>
  <c r="AB188" i="4" a="1"/>
  <c r="AB188" i="4" s="1"/>
  <c r="AB187" i="4" a="1"/>
  <c r="AB187" i="4" s="1"/>
  <c r="AB186" i="4" a="1"/>
  <c r="AB186" i="4" s="1"/>
  <c r="AB185" i="4" a="1"/>
  <c r="AB185" i="4" s="1"/>
  <c r="AB184" i="4" a="1"/>
  <c r="AB184" i="4" s="1"/>
  <c r="AB183" i="4" a="1"/>
  <c r="AB183" i="4" s="1"/>
  <c r="AB182" i="4" a="1"/>
  <c r="AB182" i="4" s="1"/>
  <c r="AB181" i="4" a="1"/>
  <c r="AB181" i="4" s="1"/>
  <c r="AB180" i="4" a="1"/>
  <c r="AB180" i="4" s="1"/>
  <c r="AB179" i="4" a="1"/>
  <c r="AB179" i="4" s="1"/>
  <c r="AB178" i="4" a="1"/>
  <c r="AB178" i="4" s="1"/>
  <c r="AB177" i="4" a="1"/>
  <c r="AB177" i="4" s="1"/>
  <c r="AB176" i="4" a="1"/>
  <c r="AB176" i="4" s="1"/>
  <c r="AB175" i="4" a="1"/>
  <c r="AB175" i="4" s="1"/>
  <c r="AB174" i="4" a="1"/>
  <c r="AB174" i="4" s="1"/>
  <c r="AB173" i="4" a="1"/>
  <c r="AB173" i="4" s="1"/>
  <c r="AB172" i="4" a="1"/>
  <c r="AB172" i="4" s="1"/>
  <c r="AB171" i="4" a="1"/>
  <c r="AB171" i="4" s="1"/>
  <c r="AB170" i="4" a="1"/>
  <c r="AB170" i="4" s="1"/>
  <c r="AB169" i="4" a="1"/>
  <c r="AB169" i="4" s="1"/>
  <c r="AB168" i="4" a="1"/>
  <c r="AB168" i="4" s="1"/>
  <c r="AB167" i="4" a="1"/>
  <c r="AB167" i="4" s="1"/>
  <c r="AB166" i="4" a="1"/>
  <c r="AB166" i="4" s="1"/>
  <c r="AB165" i="4" a="1"/>
  <c r="AB165" i="4" s="1"/>
  <c r="AB164" i="4" a="1"/>
  <c r="AB164" i="4" s="1"/>
  <c r="AB163" i="4" a="1"/>
  <c r="AB163" i="4" s="1"/>
  <c r="AB162" i="4" a="1"/>
  <c r="AB162" i="4" s="1"/>
  <c r="AB161" i="4" a="1"/>
  <c r="AB161" i="4" s="1"/>
  <c r="AB160" i="4" a="1"/>
  <c r="AB160" i="4" s="1"/>
  <c r="AB159" i="4" a="1"/>
  <c r="AB159" i="4" s="1"/>
  <c r="AB158" i="4" a="1"/>
  <c r="AB158" i="4" s="1"/>
  <c r="AB157" i="4" a="1"/>
  <c r="AB157" i="4" s="1"/>
  <c r="AB156" i="4" a="1"/>
  <c r="AB156" i="4" s="1"/>
  <c r="AB155" i="4" a="1"/>
  <c r="AB155" i="4" s="1"/>
  <c r="AB154" i="4" a="1"/>
  <c r="AB154" i="4" s="1"/>
  <c r="AB153" i="4" a="1"/>
  <c r="AB153" i="4" s="1"/>
  <c r="AB152" i="4" a="1"/>
  <c r="AB152" i="4" s="1"/>
  <c r="AB151" i="4" a="1"/>
  <c r="AB151" i="4" s="1"/>
  <c r="AB150" i="4" a="1"/>
  <c r="AB150" i="4" s="1"/>
  <c r="AB149" i="4" a="1"/>
  <c r="AB149" i="4" s="1"/>
  <c r="AB148" i="4" a="1"/>
  <c r="AB148" i="4" s="1"/>
  <c r="AB147" i="4" a="1"/>
  <c r="AB147" i="4" s="1"/>
  <c r="AB146" i="4" a="1"/>
  <c r="AB146" i="4" s="1"/>
  <c r="AB145" i="4" a="1"/>
  <c r="AB145" i="4" s="1"/>
  <c r="AB144" i="4" a="1"/>
  <c r="AB144" i="4" s="1"/>
  <c r="AB143" i="4" a="1"/>
  <c r="AB143" i="4" s="1"/>
  <c r="AB142" i="4" a="1"/>
  <c r="AB142" i="4" s="1"/>
  <c r="AB141" i="4" a="1"/>
  <c r="AB141" i="4" s="1"/>
  <c r="AB140" i="4" a="1"/>
  <c r="AB140" i="4" s="1"/>
  <c r="AB139" i="4" a="1"/>
  <c r="AB139" i="4" s="1"/>
  <c r="AB138" i="4" a="1"/>
  <c r="AB138" i="4" s="1"/>
  <c r="AB137" i="4" a="1"/>
  <c r="AB137" i="4" s="1"/>
  <c r="AB136" i="4" a="1"/>
  <c r="AB136" i="4" s="1"/>
  <c r="AB135" i="4" a="1"/>
  <c r="AB135" i="4" s="1"/>
  <c r="AB134" i="4" a="1"/>
  <c r="AB134" i="4" s="1"/>
  <c r="AB133" i="4" a="1"/>
  <c r="AB133" i="4" s="1"/>
  <c r="AB132" i="4" a="1"/>
  <c r="AB132" i="4" s="1"/>
  <c r="AB131" i="4" a="1"/>
  <c r="AB131" i="4" s="1"/>
  <c r="AB130" i="4" a="1"/>
  <c r="AB130" i="4" s="1"/>
  <c r="AB129" i="4" a="1"/>
  <c r="AB129" i="4" s="1"/>
  <c r="AB128" i="4" a="1"/>
  <c r="AB128" i="4" s="1"/>
  <c r="AB127" i="4" a="1"/>
  <c r="AB127" i="4" s="1"/>
  <c r="AB126" i="4" a="1"/>
  <c r="AB126" i="4" s="1"/>
  <c r="AB125" i="4" a="1"/>
  <c r="AB125" i="4" s="1"/>
  <c r="AB124" i="4" a="1"/>
  <c r="AB124" i="4" s="1"/>
  <c r="AB123" i="4" a="1"/>
  <c r="AB123" i="4" s="1"/>
  <c r="AB122" i="4" a="1"/>
  <c r="AB122" i="4" s="1"/>
  <c r="AB121" i="4" a="1"/>
  <c r="AB121" i="4" s="1"/>
  <c r="AB120" i="4" a="1"/>
  <c r="AB120" i="4" s="1"/>
  <c r="AB119" i="4" a="1"/>
  <c r="AB119" i="4" s="1"/>
  <c r="AB118" i="4" a="1"/>
  <c r="AB118" i="4" s="1"/>
  <c r="AB117" i="4" a="1"/>
  <c r="AB117" i="4" s="1"/>
  <c r="AB116" i="4" a="1"/>
  <c r="AB116" i="4" s="1"/>
  <c r="AB115" i="4" a="1"/>
  <c r="AB115" i="4" s="1"/>
  <c r="AB114" i="4" a="1"/>
  <c r="AB114" i="4" s="1"/>
  <c r="AB113" i="4" a="1"/>
  <c r="AB113" i="4" s="1"/>
  <c r="AB112" i="4" a="1"/>
  <c r="AB112" i="4" s="1"/>
  <c r="AB111" i="4" a="1"/>
  <c r="AB111" i="4" s="1"/>
  <c r="AB110" i="4" a="1"/>
  <c r="AB110" i="4" s="1"/>
  <c r="AB109" i="4" a="1"/>
  <c r="AB109" i="4" s="1"/>
  <c r="AB108" i="4" a="1"/>
  <c r="AB108" i="4" s="1"/>
  <c r="AB107" i="4" a="1"/>
  <c r="AB107" i="4" s="1"/>
  <c r="AB106" i="4" a="1"/>
  <c r="AB106" i="4" s="1"/>
  <c r="AB105" i="4" a="1"/>
  <c r="AB105" i="4" s="1"/>
  <c r="AB104" i="4" a="1"/>
  <c r="AB104" i="4" s="1"/>
  <c r="AB103" i="4" a="1"/>
  <c r="AB103" i="4" s="1"/>
  <c r="AB102" i="4" a="1"/>
  <c r="AB102" i="4" s="1"/>
  <c r="AB101" i="4" a="1"/>
  <c r="AB101" i="4" s="1"/>
  <c r="AB100" i="4" a="1"/>
  <c r="AB100" i="4" s="1"/>
  <c r="AB99" i="4" a="1"/>
  <c r="AB99" i="4" s="1"/>
  <c r="AB98" i="4" a="1"/>
  <c r="AB98" i="4" s="1"/>
  <c r="AB97" i="4" a="1"/>
  <c r="AB97" i="4" s="1"/>
  <c r="AB96" i="4" a="1"/>
  <c r="AB96" i="4" s="1"/>
  <c r="AB95" i="4" a="1"/>
  <c r="AB95" i="4" s="1"/>
  <c r="AB94" i="4" a="1"/>
  <c r="AB94" i="4" s="1"/>
  <c r="AB93" i="4" a="1"/>
  <c r="AB93" i="4" s="1"/>
  <c r="AB92" i="4" a="1"/>
  <c r="AB92" i="4" s="1"/>
  <c r="AB91" i="4" a="1"/>
  <c r="AB91" i="4" s="1"/>
  <c r="AB90" i="4" a="1"/>
  <c r="AB90" i="4" s="1"/>
  <c r="AB89" i="4" a="1"/>
  <c r="AB89" i="4" s="1"/>
  <c r="AB88" i="4" a="1"/>
  <c r="AB88" i="4" s="1"/>
  <c r="AB87" i="4" a="1"/>
  <c r="AB87" i="4" s="1"/>
  <c r="AB86" i="4" a="1"/>
  <c r="AB86" i="4" s="1"/>
  <c r="AB85" i="4" a="1"/>
  <c r="AB85" i="4" s="1"/>
  <c r="AB84" i="4" a="1"/>
  <c r="AB84" i="4" s="1"/>
  <c r="AB83" i="4" a="1"/>
  <c r="AB83" i="4" s="1"/>
  <c r="AB82" i="4" a="1"/>
  <c r="AB82" i="4" s="1"/>
  <c r="AB81" i="4" a="1"/>
  <c r="AB81" i="4" s="1"/>
  <c r="AB80" i="4" a="1"/>
  <c r="AB80" i="4" s="1"/>
  <c r="AB79" i="4" a="1"/>
  <c r="AB79" i="4" s="1"/>
  <c r="AB78" i="4" a="1"/>
  <c r="AB78" i="4" s="1"/>
  <c r="AB77" i="4" a="1"/>
  <c r="AB77" i="4" s="1"/>
  <c r="AB76" i="4" a="1"/>
  <c r="AB76" i="4" s="1"/>
  <c r="AB75" i="4" a="1"/>
  <c r="AB75" i="4" s="1"/>
  <c r="AB74" i="4" a="1"/>
  <c r="AB74" i="4" s="1"/>
  <c r="AB73" i="4" a="1"/>
  <c r="AB73" i="4" s="1"/>
  <c r="AB72" i="4" a="1"/>
  <c r="AB72" i="4" s="1"/>
  <c r="AB71" i="4" a="1"/>
  <c r="AB71" i="4" s="1"/>
  <c r="AB70" i="4" a="1"/>
  <c r="AB70" i="4" s="1"/>
  <c r="AB69" i="4" a="1"/>
  <c r="AB69" i="4" s="1"/>
  <c r="AB68" i="4" a="1"/>
  <c r="AB68" i="4" s="1"/>
  <c r="AB67" i="4" a="1"/>
  <c r="AB67" i="4" s="1"/>
  <c r="AB66" i="4" a="1"/>
  <c r="AB66" i="4" s="1"/>
  <c r="AB65" i="4" a="1"/>
  <c r="AB65" i="4" s="1"/>
  <c r="AB64" i="4" a="1"/>
  <c r="AB64" i="4" s="1"/>
  <c r="AB63" i="4" a="1"/>
  <c r="AB63" i="4" s="1"/>
  <c r="AB62" i="4" a="1"/>
  <c r="AB62" i="4" s="1"/>
  <c r="AB61" i="4" a="1"/>
  <c r="AB61" i="4" s="1"/>
  <c r="AB60" i="4" a="1"/>
  <c r="AB60" i="4" s="1"/>
  <c r="AB59" i="4" a="1"/>
  <c r="AB59" i="4" s="1"/>
  <c r="AB58" i="4" a="1"/>
  <c r="AB58" i="4" s="1"/>
  <c r="AB57" i="4" a="1"/>
  <c r="AB57" i="4" s="1"/>
  <c r="AB56" i="4" a="1"/>
  <c r="AB56" i="4" s="1"/>
  <c r="AB55" i="4" a="1"/>
  <c r="AB55" i="4" s="1"/>
  <c r="AB54" i="4" a="1"/>
  <c r="AB54" i="4" s="1"/>
  <c r="AB53" i="4" a="1"/>
  <c r="AB53" i="4" s="1"/>
  <c r="AB52" i="4" a="1"/>
  <c r="AB52" i="4" s="1"/>
  <c r="AB51" i="4" a="1"/>
  <c r="AB51" i="4" s="1"/>
  <c r="AB50" i="4" a="1"/>
  <c r="AB50" i="4" s="1"/>
  <c r="AB49" i="4" a="1"/>
  <c r="AB49" i="4" s="1"/>
  <c r="AB48" i="4" a="1"/>
  <c r="AB48" i="4" s="1"/>
  <c r="AB47" i="4" a="1"/>
  <c r="AB47" i="4" s="1"/>
  <c r="AB46" i="4" a="1"/>
  <c r="AB46" i="4" s="1"/>
  <c r="AB45" i="4" a="1"/>
  <c r="AB45" i="4" s="1"/>
  <c r="AB44" i="4" a="1"/>
  <c r="AB44" i="4" s="1"/>
  <c r="AB43" i="4" a="1"/>
  <c r="AB43" i="4" s="1"/>
  <c r="AB42" i="4" a="1"/>
  <c r="AB42" i="4" s="1"/>
  <c r="AB41" i="4" a="1"/>
  <c r="AB41" i="4" s="1"/>
  <c r="AB40" i="4" a="1"/>
  <c r="AB40" i="4" s="1"/>
  <c r="AB39" i="4" a="1"/>
  <c r="AB39" i="4" s="1"/>
  <c r="AB38" i="4" a="1"/>
  <c r="AB38" i="4" s="1"/>
  <c r="AB37" i="4" a="1"/>
  <c r="AB37" i="4" s="1"/>
  <c r="AB36" i="4" a="1"/>
  <c r="AB36" i="4" s="1"/>
  <c r="AB35" i="4" a="1"/>
  <c r="AB35" i="4" s="1"/>
  <c r="AB34" i="4" a="1"/>
  <c r="AB34" i="4" s="1"/>
  <c r="AB33" i="4" a="1"/>
  <c r="AB33" i="4" s="1"/>
  <c r="AB32" i="4" a="1"/>
  <c r="AB32" i="4" s="1"/>
  <c r="AB31" i="4" a="1"/>
  <c r="AB31" i="4" s="1"/>
  <c r="AB30" i="4" a="1"/>
  <c r="AB30" i="4" s="1"/>
  <c r="AB29" i="4" a="1"/>
  <c r="AB29" i="4" s="1"/>
  <c r="AB28" i="4" a="1"/>
  <c r="AB28" i="4" s="1"/>
  <c r="AB27" i="4" a="1"/>
  <c r="AB27" i="4" s="1"/>
  <c r="AB26" i="4" a="1"/>
  <c r="AB26" i="4" s="1"/>
  <c r="AB25" i="4" a="1"/>
  <c r="AB25" i="4" s="1"/>
  <c r="AB24" i="4" a="1"/>
  <c r="AB24" i="4" s="1"/>
  <c r="AB23" i="4" a="1"/>
  <c r="AB23" i="4" s="1"/>
  <c r="AB22" i="4" a="1"/>
  <c r="AB22" i="4" s="1"/>
  <c r="AB21" i="4" a="1"/>
  <c r="AB21" i="4" s="1"/>
  <c r="AB20" i="4" a="1"/>
  <c r="AB20" i="4" s="1"/>
  <c r="AB19" i="4" a="1"/>
  <c r="AB19" i="4" s="1"/>
  <c r="AB18" i="4" a="1"/>
  <c r="AB18" i="4" s="1"/>
  <c r="AB17" i="4" a="1"/>
  <c r="AB17" i="4" s="1"/>
  <c r="AB16" i="4" a="1"/>
  <c r="AB16" i="4" s="1"/>
  <c r="AJ601" i="4" a="1"/>
  <c r="AJ601" i="4" s="1"/>
  <c r="AJ600" i="4" a="1"/>
  <c r="AJ600" i="4" s="1"/>
  <c r="AJ599" i="4" a="1"/>
  <c r="AJ599" i="4" s="1"/>
  <c r="AJ598" i="4" a="1"/>
  <c r="AJ598" i="4" s="1"/>
  <c r="AJ597" i="4" a="1"/>
  <c r="AJ597" i="4" s="1"/>
  <c r="AJ596" i="4" a="1"/>
  <c r="AJ596" i="4" s="1"/>
  <c r="AJ595" i="4" a="1"/>
  <c r="AJ595" i="4" s="1"/>
  <c r="AJ594" i="4" a="1"/>
  <c r="AJ594" i="4" s="1"/>
  <c r="AJ593" i="4" a="1"/>
  <c r="AJ593" i="4" s="1"/>
  <c r="AJ592" i="4" a="1"/>
  <c r="AJ592" i="4" s="1"/>
  <c r="AJ591" i="4" a="1"/>
  <c r="AJ591" i="4" s="1"/>
  <c r="AJ590" i="4" a="1"/>
  <c r="AJ590" i="4" s="1"/>
  <c r="AJ589" i="4" a="1"/>
  <c r="AJ589" i="4" s="1"/>
  <c r="AJ588" i="4" a="1"/>
  <c r="AJ588" i="4" s="1"/>
  <c r="AJ587" i="4" a="1"/>
  <c r="AJ587" i="4" s="1"/>
  <c r="AJ586" i="4" a="1"/>
  <c r="AJ586" i="4" s="1"/>
  <c r="AJ585" i="4" a="1"/>
  <c r="AJ585" i="4" s="1"/>
  <c r="AJ584" i="4" a="1"/>
  <c r="AJ584" i="4" s="1"/>
  <c r="AJ583" i="4" a="1"/>
  <c r="AJ583" i="4" s="1"/>
  <c r="AJ582" i="4" a="1"/>
  <c r="AJ582" i="4" s="1"/>
  <c r="AJ581" i="4" a="1"/>
  <c r="AJ581" i="4" s="1"/>
  <c r="AJ580" i="4" a="1"/>
  <c r="AJ580" i="4" s="1"/>
  <c r="AJ579" i="4" a="1"/>
  <c r="AJ579" i="4" s="1"/>
  <c r="AJ578" i="4" a="1"/>
  <c r="AJ578" i="4" s="1"/>
  <c r="AJ577" i="4" a="1"/>
  <c r="AJ577" i="4" s="1"/>
  <c r="AJ576" i="4" a="1"/>
  <c r="AJ576" i="4" s="1"/>
  <c r="AJ575" i="4" a="1"/>
  <c r="AJ575" i="4" s="1"/>
  <c r="AJ574" i="4" a="1"/>
  <c r="AJ574" i="4" s="1"/>
  <c r="AJ573" i="4" a="1"/>
  <c r="AJ573" i="4" s="1"/>
  <c r="AJ572" i="4" a="1"/>
  <c r="AJ572" i="4" s="1"/>
  <c r="AJ571" i="4" a="1"/>
  <c r="AJ571" i="4" s="1"/>
  <c r="AJ570" i="4" a="1"/>
  <c r="AJ570" i="4" s="1"/>
  <c r="AJ569" i="4" a="1"/>
  <c r="AJ569" i="4" s="1"/>
  <c r="AJ568" i="4" a="1"/>
  <c r="AJ568" i="4" s="1"/>
  <c r="AJ567" i="4" a="1"/>
  <c r="AJ567" i="4" s="1"/>
  <c r="AJ566" i="4" a="1"/>
  <c r="AJ566" i="4" s="1"/>
  <c r="AJ565" i="4" a="1"/>
  <c r="AJ565" i="4" s="1"/>
  <c r="AJ564" i="4" a="1"/>
  <c r="AJ564" i="4" s="1"/>
  <c r="AJ563" i="4" a="1"/>
  <c r="AJ563" i="4" s="1"/>
  <c r="AJ562" i="4" a="1"/>
  <c r="AJ562" i="4" s="1"/>
  <c r="AJ561" i="4" a="1"/>
  <c r="AJ561" i="4" s="1"/>
  <c r="AJ560" i="4" a="1"/>
  <c r="AJ560" i="4" s="1"/>
  <c r="AJ559" i="4" a="1"/>
  <c r="AJ559" i="4" s="1"/>
  <c r="AJ558" i="4" a="1"/>
  <c r="AJ558" i="4" s="1"/>
  <c r="AJ557" i="4" a="1"/>
  <c r="AJ557" i="4" s="1"/>
  <c r="AJ556" i="4" a="1"/>
  <c r="AJ556" i="4" s="1"/>
  <c r="AJ555" i="4" a="1"/>
  <c r="AJ555" i="4" s="1"/>
  <c r="AJ554" i="4" a="1"/>
  <c r="AJ554" i="4" s="1"/>
  <c r="AJ553" i="4" a="1"/>
  <c r="AJ553" i="4" s="1"/>
  <c r="AJ552" i="4" a="1"/>
  <c r="AJ552" i="4" s="1"/>
  <c r="AJ551" i="4" a="1"/>
  <c r="AJ551" i="4" s="1"/>
  <c r="AJ550" i="4" a="1"/>
  <c r="AJ550" i="4" s="1"/>
  <c r="AJ549" i="4" a="1"/>
  <c r="AJ549" i="4" s="1"/>
  <c r="AJ548" i="4" a="1"/>
  <c r="AJ548" i="4" s="1"/>
  <c r="AJ547" i="4" a="1"/>
  <c r="AJ547" i="4" s="1"/>
  <c r="AJ546" i="4" a="1"/>
  <c r="AJ546" i="4" s="1"/>
  <c r="AJ545" i="4" a="1"/>
  <c r="AJ545" i="4" s="1"/>
  <c r="AJ544" i="4" a="1"/>
  <c r="AJ544" i="4" s="1"/>
  <c r="AJ543" i="4" a="1"/>
  <c r="AJ543" i="4" s="1"/>
  <c r="AJ542" i="4" a="1"/>
  <c r="AJ542" i="4" s="1"/>
  <c r="AJ541" i="4" a="1"/>
  <c r="AJ541" i="4" s="1"/>
  <c r="AJ540" i="4" a="1"/>
  <c r="AJ540" i="4" s="1"/>
  <c r="AJ539" i="4" a="1"/>
  <c r="AJ539" i="4" s="1"/>
  <c r="AJ538" i="4" a="1"/>
  <c r="AJ538" i="4" s="1"/>
  <c r="AJ537" i="4" a="1"/>
  <c r="AJ537" i="4" s="1"/>
  <c r="AJ536" i="4" a="1"/>
  <c r="AJ536" i="4" s="1"/>
  <c r="AJ535" i="4" a="1"/>
  <c r="AJ535" i="4" s="1"/>
  <c r="AJ534" i="4" a="1"/>
  <c r="AJ534" i="4" s="1"/>
  <c r="AJ533" i="4" a="1"/>
  <c r="AJ533" i="4" s="1"/>
  <c r="AJ532" i="4" a="1"/>
  <c r="AJ532" i="4" s="1"/>
  <c r="AJ531" i="4" a="1"/>
  <c r="AJ531" i="4" s="1"/>
  <c r="AJ530" i="4" a="1"/>
  <c r="AJ530" i="4" s="1"/>
  <c r="AJ529" i="4" a="1"/>
  <c r="AJ529" i="4" s="1"/>
  <c r="AJ528" i="4" a="1"/>
  <c r="AJ528" i="4" s="1"/>
  <c r="AJ527" i="4" a="1"/>
  <c r="AJ527" i="4" s="1"/>
  <c r="AJ526" i="4" a="1"/>
  <c r="AJ526" i="4" s="1"/>
  <c r="AJ525" i="4" a="1"/>
  <c r="AJ525" i="4" s="1"/>
  <c r="AJ524" i="4" a="1"/>
  <c r="AJ524" i="4" s="1"/>
  <c r="AJ523" i="4" a="1"/>
  <c r="AJ523" i="4" s="1"/>
  <c r="AJ522" i="4" a="1"/>
  <c r="AJ522" i="4" s="1"/>
  <c r="AJ521" i="4" a="1"/>
  <c r="AJ521" i="4" s="1"/>
  <c r="AJ520" i="4" a="1"/>
  <c r="AJ520" i="4" s="1"/>
  <c r="AJ519" i="4" a="1"/>
  <c r="AJ519" i="4" s="1"/>
  <c r="AJ518" i="4" a="1"/>
  <c r="AJ518" i="4" s="1"/>
  <c r="AJ517" i="4" a="1"/>
  <c r="AJ517" i="4" s="1"/>
  <c r="AJ516" i="4" a="1"/>
  <c r="AJ516" i="4" s="1"/>
  <c r="AJ515" i="4" a="1"/>
  <c r="AJ515" i="4" s="1"/>
  <c r="AJ514" i="4" a="1"/>
  <c r="AJ514" i="4" s="1"/>
  <c r="AJ513" i="4" a="1"/>
  <c r="AJ513" i="4" s="1"/>
  <c r="AJ512" i="4" a="1"/>
  <c r="AJ512" i="4" s="1"/>
  <c r="AJ511" i="4" a="1"/>
  <c r="AJ511" i="4" s="1"/>
  <c r="AJ510" i="4" a="1"/>
  <c r="AJ510" i="4" s="1"/>
  <c r="AJ509" i="4" a="1"/>
  <c r="AJ509" i="4" s="1"/>
  <c r="AJ508" i="4" a="1"/>
  <c r="AJ508" i="4" s="1"/>
  <c r="AJ507" i="4" a="1"/>
  <c r="AJ507" i="4" s="1"/>
  <c r="AJ506" i="4" a="1"/>
  <c r="AJ506" i="4" s="1"/>
  <c r="AJ505" i="4" a="1"/>
  <c r="AJ505" i="4" s="1"/>
  <c r="AJ504" i="4" a="1"/>
  <c r="AJ504" i="4" s="1"/>
  <c r="AJ503" i="4" a="1"/>
  <c r="AJ503" i="4" s="1"/>
  <c r="AJ502" i="4" a="1"/>
  <c r="AJ502" i="4" s="1"/>
  <c r="AJ501" i="4" a="1"/>
  <c r="AJ501" i="4" s="1"/>
  <c r="AJ500" i="4" a="1"/>
  <c r="AJ500" i="4" s="1"/>
  <c r="AJ499" i="4" a="1"/>
  <c r="AJ499" i="4" s="1"/>
  <c r="AJ498" i="4" a="1"/>
  <c r="AJ498" i="4" s="1"/>
  <c r="AJ497" i="4" a="1"/>
  <c r="AJ497" i="4" s="1"/>
  <c r="AJ496" i="4" a="1"/>
  <c r="AJ496" i="4" s="1"/>
  <c r="AJ495" i="4" a="1"/>
  <c r="AJ495" i="4" s="1"/>
  <c r="AJ494" i="4" a="1"/>
  <c r="AJ494" i="4" s="1"/>
  <c r="AJ493" i="4" a="1"/>
  <c r="AJ493" i="4" s="1"/>
  <c r="AJ492" i="4" a="1"/>
  <c r="AJ492" i="4" s="1"/>
  <c r="AJ491" i="4" a="1"/>
  <c r="AJ491" i="4" s="1"/>
  <c r="AJ490" i="4" a="1"/>
  <c r="AJ490" i="4" s="1"/>
  <c r="AJ489" i="4" a="1"/>
  <c r="AJ489" i="4" s="1"/>
  <c r="AJ488" i="4" a="1"/>
  <c r="AJ488" i="4" s="1"/>
  <c r="AJ487" i="4" a="1"/>
  <c r="AJ487" i="4" s="1"/>
  <c r="AJ486" i="4" a="1"/>
  <c r="AJ486" i="4" s="1"/>
  <c r="AJ485" i="4" a="1"/>
  <c r="AJ485" i="4" s="1"/>
  <c r="AJ484" i="4" a="1"/>
  <c r="AJ484" i="4" s="1"/>
  <c r="AJ483" i="4" a="1"/>
  <c r="AJ483" i="4" s="1"/>
  <c r="AJ482" i="4" a="1"/>
  <c r="AJ482" i="4" s="1"/>
  <c r="AJ481" i="4" a="1"/>
  <c r="AJ481" i="4" s="1"/>
  <c r="AJ480" i="4" a="1"/>
  <c r="AJ480" i="4" s="1"/>
  <c r="AJ479" i="4" a="1"/>
  <c r="AJ479" i="4" s="1"/>
  <c r="AJ478" i="4" a="1"/>
  <c r="AJ478" i="4" s="1"/>
  <c r="AJ477" i="4" a="1"/>
  <c r="AJ477" i="4" s="1"/>
  <c r="AJ476" i="4" a="1"/>
  <c r="AJ476" i="4" s="1"/>
  <c r="AJ475" i="4" a="1"/>
  <c r="AJ475" i="4" s="1"/>
  <c r="AJ474" i="4" a="1"/>
  <c r="AJ474" i="4" s="1"/>
  <c r="AJ473" i="4" a="1"/>
  <c r="AJ473" i="4" s="1"/>
  <c r="AJ472" i="4" a="1"/>
  <c r="AJ472" i="4" s="1"/>
  <c r="AJ471" i="4" a="1"/>
  <c r="AJ471" i="4" s="1"/>
  <c r="AJ470" i="4" a="1"/>
  <c r="AJ470" i="4" s="1"/>
  <c r="AJ469" i="4" a="1"/>
  <c r="AJ469" i="4" s="1"/>
  <c r="AJ468" i="4" a="1"/>
  <c r="AJ468" i="4" s="1"/>
  <c r="AJ467" i="4" a="1"/>
  <c r="AJ467" i="4" s="1"/>
  <c r="AJ466" i="4" a="1"/>
  <c r="AJ466" i="4" s="1"/>
  <c r="AJ465" i="4" a="1"/>
  <c r="AJ465" i="4" s="1"/>
  <c r="AJ464" i="4" a="1"/>
  <c r="AJ464" i="4" s="1"/>
  <c r="AJ463" i="4" a="1"/>
  <c r="AJ463" i="4" s="1"/>
  <c r="AJ462" i="4" a="1"/>
  <c r="AJ462" i="4" s="1"/>
  <c r="AF601" i="4" a="1"/>
  <c r="AF601" i="4" s="1"/>
  <c r="AF600" i="4" a="1"/>
  <c r="AF600" i="4" s="1"/>
  <c r="AF599" i="4" a="1"/>
  <c r="AF599" i="4" s="1"/>
  <c r="AF598" i="4" a="1"/>
  <c r="AF598" i="4" s="1"/>
  <c r="AF597" i="4" a="1"/>
  <c r="AF597" i="4" s="1"/>
  <c r="AF596" i="4" a="1"/>
  <c r="AF596" i="4" s="1"/>
  <c r="AF595" i="4" a="1"/>
  <c r="AF595" i="4" s="1"/>
  <c r="AF594" i="4" a="1"/>
  <c r="AF594" i="4" s="1"/>
  <c r="AF593" i="4" a="1"/>
  <c r="AF593" i="4" s="1"/>
  <c r="AF592" i="4" a="1"/>
  <c r="AF592" i="4" s="1"/>
  <c r="AF591" i="4" a="1"/>
  <c r="AF591" i="4" s="1"/>
  <c r="AF590" i="4" a="1"/>
  <c r="AF590" i="4" s="1"/>
  <c r="AF589" i="4" a="1"/>
  <c r="AF589" i="4" s="1"/>
  <c r="AF588" i="4" a="1"/>
  <c r="AF588" i="4" s="1"/>
  <c r="AF587" i="4" a="1"/>
  <c r="AF587" i="4" s="1"/>
  <c r="AF586" i="4" a="1"/>
  <c r="AF586" i="4" s="1"/>
  <c r="AF585" i="4" a="1"/>
  <c r="AF585" i="4" s="1"/>
  <c r="AF584" i="4" a="1"/>
  <c r="AF584" i="4" s="1"/>
  <c r="AF583" i="4" a="1"/>
  <c r="AF583" i="4" s="1"/>
  <c r="AF582" i="4" a="1"/>
  <c r="AF582" i="4" s="1"/>
  <c r="AF581" i="4" a="1"/>
  <c r="AF581" i="4" s="1"/>
  <c r="AF580" i="4" a="1"/>
  <c r="AF580" i="4" s="1"/>
  <c r="AF579" i="4" a="1"/>
  <c r="AF579" i="4" s="1"/>
  <c r="AF578" i="4" a="1"/>
  <c r="AF578" i="4" s="1"/>
  <c r="AF577" i="4" a="1"/>
  <c r="AF577" i="4" s="1"/>
  <c r="AF576" i="4" a="1"/>
  <c r="AF576" i="4" s="1"/>
  <c r="AF575" i="4" a="1"/>
  <c r="AF575" i="4" s="1"/>
  <c r="AF574" i="4" a="1"/>
  <c r="AF574" i="4" s="1"/>
  <c r="AF573" i="4" a="1"/>
  <c r="AF573" i="4" s="1"/>
  <c r="AF572" i="4" a="1"/>
  <c r="AF572" i="4" s="1"/>
  <c r="AF571" i="4" a="1"/>
  <c r="AF571" i="4" s="1"/>
  <c r="AF570" i="4" a="1"/>
  <c r="AF570" i="4" s="1"/>
  <c r="AF569" i="4" a="1"/>
  <c r="AF569" i="4" s="1"/>
  <c r="AF568" i="4" a="1"/>
  <c r="AF568" i="4" s="1"/>
  <c r="AF567" i="4" a="1"/>
  <c r="AF567" i="4" s="1"/>
  <c r="AF566" i="4" a="1"/>
  <c r="AF566" i="4" s="1"/>
  <c r="AF565" i="4" a="1"/>
  <c r="AF565" i="4" s="1"/>
  <c r="AF564" i="4" a="1"/>
  <c r="AF564" i="4" s="1"/>
  <c r="AF563" i="4" a="1"/>
  <c r="AF563" i="4" s="1"/>
  <c r="AF562" i="4" a="1"/>
  <c r="AF562" i="4" s="1"/>
  <c r="AF561" i="4" a="1"/>
  <c r="AF561" i="4" s="1"/>
  <c r="AF560" i="4" a="1"/>
  <c r="AF560" i="4" s="1"/>
  <c r="AF559" i="4" a="1"/>
  <c r="AF559" i="4" s="1"/>
  <c r="AF558" i="4" a="1"/>
  <c r="AF558" i="4" s="1"/>
  <c r="AF557" i="4" a="1"/>
  <c r="AF557" i="4" s="1"/>
  <c r="AF556" i="4" a="1"/>
  <c r="AF556" i="4" s="1"/>
  <c r="AF555" i="4" a="1"/>
  <c r="AF555" i="4" s="1"/>
  <c r="AF554" i="4" a="1"/>
  <c r="AF554" i="4" s="1"/>
  <c r="AF553" i="4" a="1"/>
  <c r="AF553" i="4" s="1"/>
  <c r="AF552" i="4" a="1"/>
  <c r="AF552" i="4" s="1"/>
  <c r="AF551" i="4" a="1"/>
  <c r="AF551" i="4" s="1"/>
  <c r="AF550" i="4" a="1"/>
  <c r="AF550" i="4" s="1"/>
  <c r="AF549" i="4" a="1"/>
  <c r="AF549" i="4" s="1"/>
  <c r="AF548" i="4" a="1"/>
  <c r="AF548" i="4" s="1"/>
  <c r="AF547" i="4" a="1"/>
  <c r="AF547" i="4" s="1"/>
  <c r="AF546" i="4" a="1"/>
  <c r="AF546" i="4" s="1"/>
  <c r="AF545" i="4" a="1"/>
  <c r="AF545" i="4" s="1"/>
  <c r="AF544" i="4" a="1"/>
  <c r="AF544" i="4" s="1"/>
  <c r="AF543" i="4" a="1"/>
  <c r="AF543" i="4" s="1"/>
  <c r="AF542" i="4" a="1"/>
  <c r="AF542" i="4" s="1"/>
  <c r="AF541" i="4" a="1"/>
  <c r="AF541" i="4" s="1"/>
  <c r="AF540" i="4" a="1"/>
  <c r="AF540" i="4" s="1"/>
  <c r="AF539" i="4" a="1"/>
  <c r="AF539" i="4" s="1"/>
  <c r="AF538" i="4" a="1"/>
  <c r="AF538" i="4" s="1"/>
  <c r="AF537" i="4" a="1"/>
  <c r="AF537" i="4" s="1"/>
  <c r="AF536" i="4" a="1"/>
  <c r="AF536" i="4" s="1"/>
  <c r="AF535" i="4" a="1"/>
  <c r="AF535" i="4" s="1"/>
  <c r="AF534" i="4" a="1"/>
  <c r="AF534" i="4" s="1"/>
  <c r="AF533" i="4" a="1"/>
  <c r="AF533" i="4" s="1"/>
  <c r="AF532" i="4" a="1"/>
  <c r="AF532" i="4" s="1"/>
  <c r="AF531" i="4" a="1"/>
  <c r="AF531" i="4" s="1"/>
  <c r="AF530" i="4" a="1"/>
  <c r="AF530" i="4" s="1"/>
  <c r="AF529" i="4" a="1"/>
  <c r="AF529" i="4" s="1"/>
  <c r="AF528" i="4" a="1"/>
  <c r="AF528" i="4" s="1"/>
  <c r="AF527" i="4" a="1"/>
  <c r="AF527" i="4" s="1"/>
  <c r="AF526" i="4" a="1"/>
  <c r="AF526" i="4" s="1"/>
  <c r="AF525" i="4" a="1"/>
  <c r="AF525" i="4" s="1"/>
  <c r="AF524" i="4" a="1"/>
  <c r="AF524" i="4" s="1"/>
  <c r="AF523" i="4" a="1"/>
  <c r="AF523" i="4" s="1"/>
  <c r="AF522" i="4" a="1"/>
  <c r="AF522" i="4" s="1"/>
  <c r="AF521" i="4" a="1"/>
  <c r="AF521" i="4" s="1"/>
  <c r="AF520" i="4" a="1"/>
  <c r="AF520" i="4" s="1"/>
  <c r="AF519" i="4" a="1"/>
  <c r="AF519" i="4" s="1"/>
  <c r="AF518" i="4" a="1"/>
  <c r="AF518" i="4" s="1"/>
  <c r="AF517" i="4" a="1"/>
  <c r="AF517" i="4" s="1"/>
  <c r="AF516" i="4" a="1"/>
  <c r="AF516" i="4" s="1"/>
  <c r="AF515" i="4" a="1"/>
  <c r="AF515" i="4" s="1"/>
  <c r="AF514" i="4" a="1"/>
  <c r="AF514" i="4" s="1"/>
  <c r="AF513" i="4" a="1"/>
  <c r="AF513" i="4" s="1"/>
  <c r="AF512" i="4" a="1"/>
  <c r="AF512" i="4" s="1"/>
  <c r="AF511" i="4" a="1"/>
  <c r="AF511" i="4" s="1"/>
  <c r="AF510" i="4" a="1"/>
  <c r="AF510" i="4" s="1"/>
  <c r="AF509" i="4" a="1"/>
  <c r="AF509" i="4" s="1"/>
  <c r="AF508" i="4" a="1"/>
  <c r="AF508" i="4" s="1"/>
  <c r="AF507" i="4" a="1"/>
  <c r="AF507" i="4" s="1"/>
  <c r="AF506" i="4" a="1"/>
  <c r="AF506" i="4" s="1"/>
  <c r="AF505" i="4" a="1"/>
  <c r="AF505" i="4" s="1"/>
  <c r="AF504" i="4" a="1"/>
  <c r="AF504" i="4" s="1"/>
  <c r="AF503" i="4" a="1"/>
  <c r="AF503" i="4" s="1"/>
  <c r="AF502" i="4" a="1"/>
  <c r="AF502" i="4" s="1"/>
  <c r="AF501" i="4" a="1"/>
  <c r="AF501" i="4" s="1"/>
  <c r="AF500" i="4" a="1"/>
  <c r="AF500" i="4" s="1"/>
  <c r="AF499" i="4" a="1"/>
  <c r="AF499" i="4" s="1"/>
  <c r="AF498" i="4" a="1"/>
  <c r="AF498" i="4" s="1"/>
  <c r="AF497" i="4" a="1"/>
  <c r="AF497" i="4" s="1"/>
  <c r="AF496" i="4" a="1"/>
  <c r="AF496" i="4" s="1"/>
  <c r="AF495" i="4" a="1"/>
  <c r="AF495" i="4" s="1"/>
  <c r="AF494" i="4" a="1"/>
  <c r="AF494" i="4" s="1"/>
  <c r="AF493" i="4" a="1"/>
  <c r="AF493" i="4" s="1"/>
  <c r="AF492" i="4" a="1"/>
  <c r="AF492" i="4" s="1"/>
  <c r="AF491" i="4" a="1"/>
  <c r="AF491" i="4" s="1"/>
  <c r="AF490" i="4" a="1"/>
  <c r="AF490" i="4" s="1"/>
  <c r="AF489" i="4" a="1"/>
  <c r="AF489" i="4" s="1"/>
  <c r="AF488" i="4" a="1"/>
  <c r="AF488" i="4" s="1"/>
  <c r="AF487" i="4" a="1"/>
  <c r="AF487" i="4" s="1"/>
  <c r="AF486" i="4" a="1"/>
  <c r="AF486" i="4" s="1"/>
  <c r="AF485" i="4" a="1"/>
  <c r="AF485" i="4" s="1"/>
  <c r="AF484" i="4" a="1"/>
  <c r="AF484" i="4" s="1"/>
  <c r="AF483" i="4" a="1"/>
  <c r="AF483" i="4" s="1"/>
  <c r="AF482" i="4" a="1"/>
  <c r="AF482" i="4" s="1"/>
  <c r="AF481" i="4" a="1"/>
  <c r="AF481" i="4" s="1"/>
  <c r="AF480" i="4" a="1"/>
  <c r="AF480" i="4" s="1"/>
  <c r="AF479" i="4" a="1"/>
  <c r="AF479" i="4" s="1"/>
  <c r="AF478" i="4" a="1"/>
  <c r="AF478" i="4" s="1"/>
  <c r="AF477" i="4" a="1"/>
  <c r="AF477" i="4" s="1"/>
  <c r="AF476" i="4" a="1"/>
  <c r="AF476" i="4" s="1"/>
  <c r="AF475" i="4" a="1"/>
  <c r="AF475" i="4" s="1"/>
  <c r="AF474" i="4" a="1"/>
  <c r="AF474" i="4" s="1"/>
  <c r="AF473" i="4" a="1"/>
  <c r="AF473" i="4" s="1"/>
  <c r="AF472" i="4" a="1"/>
  <c r="AF472" i="4" s="1"/>
  <c r="AF471" i="4" a="1"/>
  <c r="AF471" i="4" s="1"/>
  <c r="AF470" i="4" a="1"/>
  <c r="AF470" i="4" s="1"/>
  <c r="AF469" i="4" a="1"/>
  <c r="AF469" i="4" s="1"/>
  <c r="AF468" i="4" a="1"/>
  <c r="AF468" i="4" s="1"/>
  <c r="AF467" i="4" a="1"/>
  <c r="AF467" i="4" s="1"/>
  <c r="AF466" i="4" a="1"/>
  <c r="AF466" i="4" s="1"/>
  <c r="AF465" i="4" a="1"/>
  <c r="AF465" i="4" s="1"/>
  <c r="AF464" i="4" a="1"/>
  <c r="AF464" i="4" s="1"/>
  <c r="AF463" i="4" a="1"/>
  <c r="AF463" i="4" s="1"/>
  <c r="AF462" i="4" a="1"/>
  <c r="AF462" i="4" s="1"/>
  <c r="AM407" i="4"/>
  <c r="AM406" i="4"/>
  <c r="AM405" i="4"/>
  <c r="AM403" i="4"/>
  <c r="AM404" i="4" s="1"/>
  <c r="AM278" i="4"/>
  <c r="AM277" i="4"/>
  <c r="AM274" i="4"/>
  <c r="AM275" i="4" s="1"/>
  <c r="AM276" i="4"/>
  <c r="AM173" i="4"/>
  <c r="AM172" i="4"/>
  <c r="AM171" i="4"/>
  <c r="AM169" i="4"/>
  <c r="AM170" i="4" s="1"/>
  <c r="AF461" i="4" a="1"/>
  <c r="AF461" i="4" s="1"/>
  <c r="AF460" i="4" a="1"/>
  <c r="AF460" i="4" s="1"/>
  <c r="AF459" i="4" a="1"/>
  <c r="AF459" i="4" s="1"/>
  <c r="AF458" i="4" a="1"/>
  <c r="AF458" i="4" s="1"/>
  <c r="AF457" i="4" a="1"/>
  <c r="AF457" i="4" s="1"/>
  <c r="AF456" i="4" a="1"/>
  <c r="AF456" i="4" s="1"/>
  <c r="AF455" i="4" a="1"/>
  <c r="AF455" i="4" s="1"/>
  <c r="AF454" i="4" a="1"/>
  <c r="AF454" i="4" s="1"/>
  <c r="AF453" i="4" a="1"/>
  <c r="AF453" i="4" s="1"/>
  <c r="AF452" i="4" a="1"/>
  <c r="AF452" i="4" s="1"/>
  <c r="AF451" i="4" a="1"/>
  <c r="AF451" i="4" s="1"/>
  <c r="AF450" i="4" a="1"/>
  <c r="AF450" i="4" s="1"/>
  <c r="AF449" i="4" a="1"/>
  <c r="AF449" i="4" s="1"/>
  <c r="AF448" i="4" a="1"/>
  <c r="AF448" i="4" s="1"/>
  <c r="AF447" i="4" a="1"/>
  <c r="AF447" i="4" s="1"/>
  <c r="AF446" i="4" a="1"/>
  <c r="AF446" i="4" s="1"/>
  <c r="AF445" i="4" a="1"/>
  <c r="AF445" i="4" s="1"/>
  <c r="AF444" i="4" a="1"/>
  <c r="AF444" i="4" s="1"/>
  <c r="AF443" i="4" a="1"/>
  <c r="AF443" i="4" s="1"/>
  <c r="AF442" i="4" a="1"/>
  <c r="AF442" i="4" s="1"/>
  <c r="AF441" i="4" a="1"/>
  <c r="AF441" i="4" s="1"/>
  <c r="AF440" i="4" a="1"/>
  <c r="AF440" i="4" s="1"/>
  <c r="AF439" i="4" a="1"/>
  <c r="AF439" i="4" s="1"/>
  <c r="AF438" i="4" a="1"/>
  <c r="AF438" i="4" s="1"/>
  <c r="AF437" i="4" a="1"/>
  <c r="AF437" i="4" s="1"/>
  <c r="AF436" i="4" a="1"/>
  <c r="AF436" i="4" s="1"/>
  <c r="AF435" i="4" a="1"/>
  <c r="AF435" i="4" s="1"/>
  <c r="AF434" i="4" a="1"/>
  <c r="AF434" i="4" s="1"/>
  <c r="AF433" i="4" a="1"/>
  <c r="AF433" i="4" s="1"/>
  <c r="AF432" i="4" a="1"/>
  <c r="AF432" i="4" s="1"/>
  <c r="AF431" i="4" a="1"/>
  <c r="AF431" i="4" s="1"/>
  <c r="AF430" i="4" a="1"/>
  <c r="AF430" i="4" s="1"/>
  <c r="AF429" i="4" a="1"/>
  <c r="AF429" i="4" s="1"/>
  <c r="AF428" i="4" a="1"/>
  <c r="AF428" i="4" s="1"/>
  <c r="AF427" i="4" a="1"/>
  <c r="AF427" i="4" s="1"/>
  <c r="AF426" i="4" a="1"/>
  <c r="AF426" i="4" s="1"/>
  <c r="AF425" i="4" a="1"/>
  <c r="AF425" i="4" s="1"/>
  <c r="AF424" i="4" a="1"/>
  <c r="AF424" i="4" s="1"/>
  <c r="AF423" i="4" a="1"/>
  <c r="AF423" i="4" s="1"/>
  <c r="AF422" i="4" a="1"/>
  <c r="AF422" i="4" s="1"/>
  <c r="AF421" i="4" a="1"/>
  <c r="AF421" i="4" s="1"/>
  <c r="AF420" i="4" a="1"/>
  <c r="AF420" i="4" s="1"/>
  <c r="AF419" i="4" a="1"/>
  <c r="AF419" i="4" s="1"/>
  <c r="AF418" i="4" a="1"/>
  <c r="AF418" i="4" s="1"/>
  <c r="AF417" i="4" a="1"/>
  <c r="AF417" i="4" s="1"/>
  <c r="AF416" i="4" a="1"/>
  <c r="AF416" i="4" s="1"/>
  <c r="AF415" i="4" a="1"/>
  <c r="AF415" i="4" s="1"/>
  <c r="AF414" i="4" a="1"/>
  <c r="AF414" i="4" s="1"/>
  <c r="AF413" i="4" a="1"/>
  <c r="AF413" i="4" s="1"/>
  <c r="AF412" i="4" a="1"/>
  <c r="AF412" i="4" s="1"/>
  <c r="AF411" i="4" a="1"/>
  <c r="AF411" i="4" s="1"/>
  <c r="AF410" i="4" a="1"/>
  <c r="AF410" i="4" s="1"/>
  <c r="AF409" i="4" a="1"/>
  <c r="AF409" i="4" s="1"/>
  <c r="AF408" i="4" a="1"/>
  <c r="AF408" i="4" s="1"/>
  <c r="AF407" i="4" a="1"/>
  <c r="AF407" i="4" s="1"/>
  <c r="AF406" i="4" a="1"/>
  <c r="AF406" i="4" s="1"/>
  <c r="AF405" i="4" a="1"/>
  <c r="AF405" i="4" s="1"/>
  <c r="AF404" i="4" a="1"/>
  <c r="AF404" i="4" s="1"/>
  <c r="AF403" i="4" a="1"/>
  <c r="AF403" i="4" s="1"/>
  <c r="AF402" i="4" a="1"/>
  <c r="AF402" i="4" s="1"/>
  <c r="AF401" i="4" a="1"/>
  <c r="AF401" i="4" s="1"/>
  <c r="AF400" i="4" a="1"/>
  <c r="AF400" i="4" s="1"/>
  <c r="AF399" i="4" a="1"/>
  <c r="AF399" i="4" s="1"/>
  <c r="AF398" i="4" a="1"/>
  <c r="AF398" i="4" s="1"/>
  <c r="AF397" i="4" a="1"/>
  <c r="AF397" i="4" s="1"/>
  <c r="AF396" i="4" a="1"/>
  <c r="AF396" i="4" s="1"/>
  <c r="AF395" i="4" a="1"/>
  <c r="AF395" i="4" s="1"/>
  <c r="AF394" i="4" a="1"/>
  <c r="AF394" i="4" s="1"/>
  <c r="AF393" i="4" a="1"/>
  <c r="AF393" i="4" s="1"/>
  <c r="AF392" i="4" a="1"/>
  <c r="AF392" i="4" s="1"/>
  <c r="AF391" i="4" a="1"/>
  <c r="AF391" i="4" s="1"/>
  <c r="AF390" i="4" a="1"/>
  <c r="AF390" i="4" s="1"/>
  <c r="AF389" i="4" a="1"/>
  <c r="AF389" i="4" s="1"/>
  <c r="AF388" i="4" a="1"/>
  <c r="AF388" i="4" s="1"/>
  <c r="AF387" i="4" a="1"/>
  <c r="AF387" i="4" s="1"/>
  <c r="AF386" i="4" a="1"/>
  <c r="AF386" i="4" s="1"/>
  <c r="AF385" i="4" a="1"/>
  <c r="AF385" i="4" s="1"/>
  <c r="AF384" i="4" a="1"/>
  <c r="AF384" i="4" s="1"/>
  <c r="AF383" i="4" a="1"/>
  <c r="AF383" i="4" s="1"/>
  <c r="AF382" i="4" a="1"/>
  <c r="AF382" i="4" s="1"/>
  <c r="AF381" i="4" a="1"/>
  <c r="AF381" i="4" s="1"/>
  <c r="AF380" i="4" a="1"/>
  <c r="AF380" i="4" s="1"/>
  <c r="AF379" i="4" a="1"/>
  <c r="AF379" i="4" s="1"/>
  <c r="AF378" i="4" a="1"/>
  <c r="AF378" i="4" s="1"/>
  <c r="AF377" i="4" a="1"/>
  <c r="AF377" i="4" s="1"/>
  <c r="AF376" i="4" a="1"/>
  <c r="AF376" i="4" s="1"/>
  <c r="AF375" i="4" a="1"/>
  <c r="AF375" i="4" s="1"/>
  <c r="AF374" i="4" a="1"/>
  <c r="AF374" i="4" s="1"/>
  <c r="AF373" i="4" a="1"/>
  <c r="AF373" i="4" s="1"/>
  <c r="AF372" i="4" a="1"/>
  <c r="AF372" i="4" s="1"/>
  <c r="AF371" i="4" a="1"/>
  <c r="AF371" i="4" s="1"/>
  <c r="AF370" i="4" a="1"/>
  <c r="AF370" i="4" s="1"/>
  <c r="AF369" i="4" a="1"/>
  <c r="AF369" i="4" s="1"/>
  <c r="AF368" i="4" a="1"/>
  <c r="AF368" i="4" s="1"/>
  <c r="AF367" i="4" a="1"/>
  <c r="AF367" i="4" s="1"/>
  <c r="AF366" i="4" a="1"/>
  <c r="AF366" i="4" s="1"/>
  <c r="AF365" i="4" a="1"/>
  <c r="AF365" i="4" s="1"/>
  <c r="AF364" i="4" a="1"/>
  <c r="AF364" i="4" s="1"/>
  <c r="AF363" i="4" a="1"/>
  <c r="AF363" i="4" s="1"/>
  <c r="AF362" i="4" a="1"/>
  <c r="AF362" i="4" s="1"/>
  <c r="AF361" i="4" a="1"/>
  <c r="AF361" i="4" s="1"/>
  <c r="AF360" i="4" a="1"/>
  <c r="AF360" i="4" s="1"/>
  <c r="AF359" i="4" a="1"/>
  <c r="AF359" i="4" s="1"/>
  <c r="AF358" i="4" a="1"/>
  <c r="AF358" i="4" s="1"/>
  <c r="AF357" i="4" a="1"/>
  <c r="AF357" i="4" s="1"/>
  <c r="AF356" i="4" a="1"/>
  <c r="AF356" i="4" s="1"/>
  <c r="AF355" i="4" a="1"/>
  <c r="AF355" i="4" s="1"/>
  <c r="AF354" i="4" a="1"/>
  <c r="AF354" i="4" s="1"/>
  <c r="AF353" i="4" a="1"/>
  <c r="AF353" i="4" s="1"/>
  <c r="AF352" i="4" a="1"/>
  <c r="AF352" i="4" s="1"/>
  <c r="AF351" i="4" a="1"/>
  <c r="AF351" i="4" s="1"/>
  <c r="AF350" i="4" a="1"/>
  <c r="AF350" i="4" s="1"/>
  <c r="AF349" i="4" a="1"/>
  <c r="AF349" i="4" s="1"/>
  <c r="AF348" i="4" a="1"/>
  <c r="AF348" i="4" s="1"/>
  <c r="AF347" i="4" a="1"/>
  <c r="AF347" i="4" s="1"/>
  <c r="AF346" i="4" a="1"/>
  <c r="AF346" i="4" s="1"/>
  <c r="AF345" i="4" a="1"/>
  <c r="AF345" i="4" s="1"/>
  <c r="AF344" i="4" a="1"/>
  <c r="AF344" i="4" s="1"/>
  <c r="AF343" i="4" a="1"/>
  <c r="AF343" i="4" s="1"/>
  <c r="AF342" i="4" a="1"/>
  <c r="AF342" i="4" s="1"/>
  <c r="AF341" i="4" a="1"/>
  <c r="AF341" i="4" s="1"/>
  <c r="AF340" i="4" a="1"/>
  <c r="AF340" i="4" s="1"/>
  <c r="AF339" i="4" a="1"/>
  <c r="AF339" i="4" s="1"/>
  <c r="AF338" i="4" a="1"/>
  <c r="AF338" i="4" s="1"/>
  <c r="AF337" i="4" a="1"/>
  <c r="AF337" i="4" s="1"/>
  <c r="AF336" i="4" a="1"/>
  <c r="AF336" i="4" s="1"/>
  <c r="AF335" i="4" a="1"/>
  <c r="AF335" i="4" s="1"/>
  <c r="AF334" i="4" a="1"/>
  <c r="AF334" i="4" s="1"/>
  <c r="AF333" i="4" a="1"/>
  <c r="AF333" i="4" s="1"/>
  <c r="AF332" i="4" a="1"/>
  <c r="AF332" i="4" s="1"/>
  <c r="AF331" i="4" a="1"/>
  <c r="AF331" i="4" s="1"/>
  <c r="AF330" i="4" a="1"/>
  <c r="AF330" i="4" s="1"/>
  <c r="AF329" i="4" a="1"/>
  <c r="AF329" i="4" s="1"/>
  <c r="AF328" i="4" a="1"/>
  <c r="AF328" i="4" s="1"/>
  <c r="AF327" i="4" a="1"/>
  <c r="AF327" i="4" s="1"/>
  <c r="AF326" i="4" a="1"/>
  <c r="AF326" i="4" s="1"/>
  <c r="AF325" i="4" a="1"/>
  <c r="AF325" i="4" s="1"/>
  <c r="AF324" i="4" a="1"/>
  <c r="AF324" i="4" s="1"/>
  <c r="AF323" i="4" a="1"/>
  <c r="AF323" i="4" s="1"/>
  <c r="AF322" i="4" a="1"/>
  <c r="AF322" i="4" s="1"/>
  <c r="AF321" i="4" a="1"/>
  <c r="AF321" i="4" s="1"/>
  <c r="AF320" i="4" a="1"/>
  <c r="AF320" i="4" s="1"/>
  <c r="AF319" i="4" a="1"/>
  <c r="AF319" i="4" s="1"/>
  <c r="AF318" i="4" a="1"/>
  <c r="AF318" i="4" s="1"/>
  <c r="AF317" i="4" a="1"/>
  <c r="AF317" i="4" s="1"/>
  <c r="AF316" i="4" a="1"/>
  <c r="AF316" i="4" s="1"/>
  <c r="AF315" i="4" a="1"/>
  <c r="AF315" i="4" s="1"/>
  <c r="AF314" i="4" a="1"/>
  <c r="AF314" i="4" s="1"/>
  <c r="AF313" i="4" a="1"/>
  <c r="AF313" i="4" s="1"/>
  <c r="AF312" i="4" a="1"/>
  <c r="AF312" i="4" s="1"/>
  <c r="AF311" i="4" a="1"/>
  <c r="AF311" i="4" s="1"/>
  <c r="AF310" i="4" a="1"/>
  <c r="AF310" i="4" s="1"/>
  <c r="AF309" i="4" a="1"/>
  <c r="AF309" i="4" s="1"/>
  <c r="AF308" i="4" a="1"/>
  <c r="AF308" i="4" s="1"/>
  <c r="AF307" i="4" a="1"/>
  <c r="AF307" i="4" s="1"/>
  <c r="AF306" i="4" a="1"/>
  <c r="AF306" i="4" s="1"/>
  <c r="AF305" i="4" a="1"/>
  <c r="AF305" i="4" s="1"/>
  <c r="AF304" i="4" a="1"/>
  <c r="AF304" i="4" s="1"/>
  <c r="AF303" i="4" a="1"/>
  <c r="AF303" i="4" s="1"/>
  <c r="AF302" i="4" a="1"/>
  <c r="AF302" i="4" s="1"/>
  <c r="AF301" i="4" a="1"/>
  <c r="AF301" i="4" s="1"/>
  <c r="AF300" i="4" a="1"/>
  <c r="AF300" i="4" s="1"/>
  <c r="AF299" i="4" a="1"/>
  <c r="AF299" i="4" s="1"/>
  <c r="AF298" i="4" a="1"/>
  <c r="AF298" i="4" s="1"/>
  <c r="AF297" i="4" a="1"/>
  <c r="AF297" i="4" s="1"/>
  <c r="AF296" i="4" a="1"/>
  <c r="AF296" i="4" s="1"/>
  <c r="AF295" i="4" a="1"/>
  <c r="AF295" i="4" s="1"/>
  <c r="AF294" i="4" a="1"/>
  <c r="AF294" i="4" s="1"/>
  <c r="AF293" i="4" a="1"/>
  <c r="AF293" i="4" s="1"/>
  <c r="AF292" i="4" a="1"/>
  <c r="AF292" i="4" s="1"/>
  <c r="AF291" i="4" a="1"/>
  <c r="AF291" i="4" s="1"/>
  <c r="AF290" i="4" a="1"/>
  <c r="AF290" i="4" s="1"/>
  <c r="AF289" i="4" a="1"/>
  <c r="AF289" i="4" s="1"/>
  <c r="AF288" i="4" a="1"/>
  <c r="AF288" i="4" s="1"/>
  <c r="AF287" i="4" a="1"/>
  <c r="AF287" i="4" s="1"/>
  <c r="AF286" i="4" a="1"/>
  <c r="AF286" i="4" s="1"/>
  <c r="AF285" i="4" a="1"/>
  <c r="AF285" i="4" s="1"/>
  <c r="AF284" i="4" a="1"/>
  <c r="AF284" i="4" s="1"/>
  <c r="AF283" i="4" a="1"/>
  <c r="AF283" i="4" s="1"/>
  <c r="AF282" i="4" a="1"/>
  <c r="AF282" i="4" s="1"/>
  <c r="AF281" i="4" a="1"/>
  <c r="AF281" i="4" s="1"/>
  <c r="AF280" i="4" a="1"/>
  <c r="AF280" i="4" s="1"/>
  <c r="AF279" i="4" a="1"/>
  <c r="AF279" i="4" s="1"/>
  <c r="AF278" i="4" a="1"/>
  <c r="AF278" i="4" s="1"/>
  <c r="AF277" i="4" a="1"/>
  <c r="AF277" i="4" s="1"/>
  <c r="AF276" i="4" a="1"/>
  <c r="AF276" i="4" s="1"/>
  <c r="AF275" i="4" a="1"/>
  <c r="AF275" i="4" s="1"/>
  <c r="AF274" i="4" a="1"/>
  <c r="AF274" i="4" s="1"/>
  <c r="AF273" i="4" a="1"/>
  <c r="AF273" i="4" s="1"/>
  <c r="AF272" i="4" a="1"/>
  <c r="AF272" i="4" s="1"/>
  <c r="AF271" i="4" a="1"/>
  <c r="AF271" i="4" s="1"/>
  <c r="AF270" i="4" a="1"/>
  <c r="AF270" i="4" s="1"/>
  <c r="AF269" i="4" a="1"/>
  <c r="AF269" i="4" s="1"/>
  <c r="AF268" i="4" a="1"/>
  <c r="AF268" i="4" s="1"/>
  <c r="AF267" i="4" a="1"/>
  <c r="AF267" i="4" s="1"/>
  <c r="AF266" i="4" a="1"/>
  <c r="AF266" i="4" s="1"/>
  <c r="AF265" i="4" a="1"/>
  <c r="AF265" i="4" s="1"/>
  <c r="AF264" i="4" a="1"/>
  <c r="AF264" i="4" s="1"/>
  <c r="AF263" i="4" a="1"/>
  <c r="AF263" i="4" s="1"/>
  <c r="AF262" i="4" a="1"/>
  <c r="AF262" i="4" s="1"/>
  <c r="AF261" i="4" a="1"/>
  <c r="AF261" i="4" s="1"/>
  <c r="AF260" i="4" a="1"/>
  <c r="AF260" i="4" s="1"/>
  <c r="AF259" i="4" a="1"/>
  <c r="AF259" i="4" s="1"/>
  <c r="AF258" i="4" a="1"/>
  <c r="AF258" i="4" s="1"/>
  <c r="AF257" i="4" a="1"/>
  <c r="AF257" i="4" s="1"/>
  <c r="AF256" i="4" a="1"/>
  <c r="AF256" i="4" s="1"/>
  <c r="AF255" i="4" a="1"/>
  <c r="AF255" i="4" s="1"/>
  <c r="AF254" i="4" a="1"/>
  <c r="AF254" i="4" s="1"/>
  <c r="AF253" i="4" a="1"/>
  <c r="AF253" i="4" s="1"/>
  <c r="AF252" i="4" a="1"/>
  <c r="AF252" i="4" s="1"/>
  <c r="AF251" i="4" a="1"/>
  <c r="AF251" i="4" s="1"/>
  <c r="AF250" i="4" a="1"/>
  <c r="AF250" i="4" s="1"/>
  <c r="AF249" i="4" a="1"/>
  <c r="AF249" i="4" s="1"/>
  <c r="AF248" i="4" a="1"/>
  <c r="AF248" i="4" s="1"/>
  <c r="AF247" i="4" a="1"/>
  <c r="AF247" i="4" s="1"/>
  <c r="AF246" i="4" a="1"/>
  <c r="AF246" i="4" s="1"/>
  <c r="AF245" i="4" a="1"/>
  <c r="AF245" i="4" s="1"/>
  <c r="AF244" i="4" a="1"/>
  <c r="AF244" i="4" s="1"/>
  <c r="AF243" i="4" a="1"/>
  <c r="AF243" i="4" s="1"/>
  <c r="AF242" i="4" a="1"/>
  <c r="AF242" i="4" s="1"/>
  <c r="AF241" i="4" a="1"/>
  <c r="AF241" i="4" s="1"/>
  <c r="AF240" i="4" a="1"/>
  <c r="AF240" i="4" s="1"/>
  <c r="AF239" i="4" a="1"/>
  <c r="AF239" i="4" s="1"/>
  <c r="AF238" i="4" a="1"/>
  <c r="AF238" i="4" s="1"/>
  <c r="AF237" i="4" a="1"/>
  <c r="AF237" i="4" s="1"/>
  <c r="AF236" i="4" a="1"/>
  <c r="AF236" i="4" s="1"/>
  <c r="AF235" i="4" a="1"/>
  <c r="AF235" i="4" s="1"/>
  <c r="AF234" i="4" a="1"/>
  <c r="AF234" i="4" s="1"/>
  <c r="AF233" i="4" a="1"/>
  <c r="AF233" i="4" s="1"/>
  <c r="AF232" i="4" a="1"/>
  <c r="AF232" i="4" s="1"/>
  <c r="AF231" i="4" a="1"/>
  <c r="AF231" i="4" s="1"/>
  <c r="AF230" i="4" a="1"/>
  <c r="AF230" i="4" s="1"/>
  <c r="AF229" i="4" a="1"/>
  <c r="AF229" i="4" s="1"/>
  <c r="AF228" i="4" a="1"/>
  <c r="AF228" i="4" s="1"/>
  <c r="AF227" i="4" a="1"/>
  <c r="AF227" i="4" s="1"/>
  <c r="AF226" i="4" a="1"/>
  <c r="AF226" i="4" s="1"/>
  <c r="AF225" i="4" a="1"/>
  <c r="AF225" i="4" s="1"/>
  <c r="AF224" i="4" a="1"/>
  <c r="AF224" i="4" s="1"/>
  <c r="AF223" i="4" a="1"/>
  <c r="AF223" i="4" s="1"/>
  <c r="AF222" i="4" a="1"/>
  <c r="AF222" i="4" s="1"/>
  <c r="AF221" i="4" a="1"/>
  <c r="AF221" i="4" s="1"/>
  <c r="AF220" i="4" a="1"/>
  <c r="AF220" i="4" s="1"/>
  <c r="AF219" i="4" a="1"/>
  <c r="AF219" i="4" s="1"/>
  <c r="AF218" i="4" a="1"/>
  <c r="AF218" i="4" s="1"/>
  <c r="AF217" i="4" a="1"/>
  <c r="AF217" i="4" s="1"/>
  <c r="AF216" i="4" a="1"/>
  <c r="AF216" i="4" s="1"/>
  <c r="AF215" i="4" a="1"/>
  <c r="AF215" i="4" s="1"/>
  <c r="AF214" i="4" a="1"/>
  <c r="AF214" i="4" s="1"/>
  <c r="AF213" i="4" a="1"/>
  <c r="AF213" i="4" s="1"/>
  <c r="AF212" i="4" a="1"/>
  <c r="AF212" i="4" s="1"/>
  <c r="AF211" i="4" a="1"/>
  <c r="AF211" i="4" s="1"/>
  <c r="AF210" i="4" a="1"/>
  <c r="AF210" i="4" s="1"/>
  <c r="AF209" i="4" a="1"/>
  <c r="AF209" i="4" s="1"/>
  <c r="AF208" i="4" a="1"/>
  <c r="AF208" i="4" s="1"/>
  <c r="AF207" i="4" a="1"/>
  <c r="AF207" i="4" s="1"/>
  <c r="AF206" i="4" a="1"/>
  <c r="AF206" i="4" s="1"/>
  <c r="AF205" i="4" a="1"/>
  <c r="AF205" i="4" s="1"/>
  <c r="AF204" i="4" a="1"/>
  <c r="AF204" i="4" s="1"/>
  <c r="AF203" i="4" a="1"/>
  <c r="AF203" i="4" s="1"/>
  <c r="AF202" i="4" a="1"/>
  <c r="AF202" i="4" s="1"/>
  <c r="AF201" i="4" a="1"/>
  <c r="AF201" i="4" s="1"/>
  <c r="AF200" i="4" a="1"/>
  <c r="AF200" i="4" s="1"/>
  <c r="AF199" i="4" a="1"/>
  <c r="AF199" i="4" s="1"/>
  <c r="AF198" i="4" a="1"/>
  <c r="AF198" i="4" s="1"/>
  <c r="AF197" i="4" a="1"/>
  <c r="AF197" i="4" s="1"/>
  <c r="AF196" i="4" a="1"/>
  <c r="AF196" i="4" s="1"/>
  <c r="AF195" i="4" a="1"/>
  <c r="AF195" i="4" s="1"/>
  <c r="AF194" i="4" a="1"/>
  <c r="AF194" i="4" s="1"/>
  <c r="AF193" i="4" a="1"/>
  <c r="AF193" i="4" s="1"/>
  <c r="AF192" i="4" a="1"/>
  <c r="AF192" i="4" s="1"/>
  <c r="AF191" i="4" a="1"/>
  <c r="AF191" i="4" s="1"/>
  <c r="AF190" i="4" a="1"/>
  <c r="AF190" i="4" s="1"/>
  <c r="AF189" i="4" a="1"/>
  <c r="AF189" i="4" s="1"/>
  <c r="AF188" i="4" a="1"/>
  <c r="AF188" i="4" s="1"/>
  <c r="AF187" i="4" a="1"/>
  <c r="AF187" i="4" s="1"/>
  <c r="AF186" i="4" a="1"/>
  <c r="AF186" i="4" s="1"/>
  <c r="AF185" i="4" a="1"/>
  <c r="AF185" i="4" s="1"/>
  <c r="AF184" i="4" a="1"/>
  <c r="AF184" i="4" s="1"/>
  <c r="AF183" i="4" a="1"/>
  <c r="AF183" i="4" s="1"/>
  <c r="AF182" i="4" a="1"/>
  <c r="AF182" i="4" s="1"/>
  <c r="AF181" i="4" a="1"/>
  <c r="AF181" i="4" s="1"/>
  <c r="AF180" i="4" a="1"/>
  <c r="AF180" i="4" s="1"/>
  <c r="AF179" i="4" a="1"/>
  <c r="AF179" i="4" s="1"/>
  <c r="AF178" i="4" a="1"/>
  <c r="AF178" i="4" s="1"/>
  <c r="AF177" i="4" a="1"/>
  <c r="AF177" i="4" s="1"/>
  <c r="AF176" i="4" a="1"/>
  <c r="AF176" i="4" s="1"/>
  <c r="AF175" i="4" a="1"/>
  <c r="AF175" i="4" s="1"/>
  <c r="AF174" i="4" a="1"/>
  <c r="AF174" i="4" s="1"/>
  <c r="AF173" i="4" a="1"/>
  <c r="AF173" i="4" s="1"/>
  <c r="AF172" i="4" a="1"/>
  <c r="AF172" i="4" s="1"/>
  <c r="AF171" i="4" a="1"/>
  <c r="AF171" i="4" s="1"/>
  <c r="AF170" i="4" a="1"/>
  <c r="AF170" i="4" s="1"/>
  <c r="AF169" i="4" a="1"/>
  <c r="AF169" i="4" s="1"/>
  <c r="AF168" i="4" a="1"/>
  <c r="AF168" i="4" s="1"/>
  <c r="AF167" i="4" a="1"/>
  <c r="AF167" i="4" s="1"/>
  <c r="AF166" i="4" a="1"/>
  <c r="AF166" i="4" s="1"/>
  <c r="AF165" i="4" a="1"/>
  <c r="AF165" i="4" s="1"/>
  <c r="AF164" i="4" a="1"/>
  <c r="AF164" i="4" s="1"/>
  <c r="AF163" i="4" a="1"/>
  <c r="AF163" i="4" s="1"/>
  <c r="AF162" i="4" a="1"/>
  <c r="AF162" i="4" s="1"/>
  <c r="AF161" i="4" a="1"/>
  <c r="AF161" i="4" s="1"/>
  <c r="AF160" i="4" a="1"/>
  <c r="AF160" i="4" s="1"/>
  <c r="AF159" i="4" a="1"/>
  <c r="AF159" i="4" s="1"/>
  <c r="AF158" i="4" a="1"/>
  <c r="AF158" i="4" s="1"/>
  <c r="AF157" i="4" a="1"/>
  <c r="AF157" i="4" s="1"/>
  <c r="AF156" i="4" a="1"/>
  <c r="AF156" i="4" s="1"/>
  <c r="AF155" i="4" a="1"/>
  <c r="AF155" i="4" s="1"/>
  <c r="AF154" i="4" a="1"/>
  <c r="AF154" i="4" s="1"/>
  <c r="AF153" i="4" a="1"/>
  <c r="AF153" i="4" s="1"/>
  <c r="AF152" i="4" a="1"/>
  <c r="AF152" i="4" s="1"/>
  <c r="AF151" i="4" a="1"/>
  <c r="AF151" i="4" s="1"/>
  <c r="AF150" i="4" a="1"/>
  <c r="AF150" i="4" s="1"/>
  <c r="AF149" i="4" a="1"/>
  <c r="AF149" i="4" s="1"/>
  <c r="AF148" i="4" a="1"/>
  <c r="AF148" i="4" s="1"/>
  <c r="AF147" i="4" a="1"/>
  <c r="AF147" i="4" s="1"/>
  <c r="AF146" i="4" a="1"/>
  <c r="AF146" i="4" s="1"/>
  <c r="AF145" i="4" a="1"/>
  <c r="AF145" i="4" s="1"/>
  <c r="AF144" i="4" a="1"/>
  <c r="AF144" i="4" s="1"/>
  <c r="AF143" i="4" a="1"/>
  <c r="AF143" i="4" s="1"/>
  <c r="AF142" i="4" a="1"/>
  <c r="AF142" i="4" s="1"/>
  <c r="AF141" i="4" a="1"/>
  <c r="AF141" i="4" s="1"/>
  <c r="AF140" i="4" a="1"/>
  <c r="AF140" i="4" s="1"/>
  <c r="AF139" i="4" a="1"/>
  <c r="AF139" i="4" s="1"/>
  <c r="AF138" i="4" a="1"/>
  <c r="AF138" i="4" s="1"/>
  <c r="AF137" i="4" a="1"/>
  <c r="AF137" i="4" s="1"/>
  <c r="AF136" i="4" a="1"/>
  <c r="AF136" i="4" s="1"/>
  <c r="AF135" i="4" a="1"/>
  <c r="AF135" i="4" s="1"/>
  <c r="AF134" i="4" a="1"/>
  <c r="AF134" i="4" s="1"/>
  <c r="AF133" i="4" a="1"/>
  <c r="AF133" i="4" s="1"/>
  <c r="AF132" i="4" a="1"/>
  <c r="AF132" i="4" s="1"/>
  <c r="AF131" i="4" a="1"/>
  <c r="AF131" i="4" s="1"/>
  <c r="AF130" i="4" a="1"/>
  <c r="AF130" i="4" s="1"/>
  <c r="AF129" i="4" a="1"/>
  <c r="AF129" i="4" s="1"/>
  <c r="AF128" i="4" a="1"/>
  <c r="AF128" i="4" s="1"/>
  <c r="AF127" i="4" a="1"/>
  <c r="AF127" i="4" s="1"/>
  <c r="AF126" i="4" a="1"/>
  <c r="AF126" i="4" s="1"/>
  <c r="AF125" i="4" a="1"/>
  <c r="AF125" i="4" s="1"/>
  <c r="AF124" i="4" a="1"/>
  <c r="AF124" i="4" s="1"/>
  <c r="AF123" i="4" a="1"/>
  <c r="AF123" i="4" s="1"/>
  <c r="AF122" i="4" a="1"/>
  <c r="AF122" i="4" s="1"/>
  <c r="AF121" i="4" a="1"/>
  <c r="AF121" i="4" s="1"/>
  <c r="AF120" i="4" a="1"/>
  <c r="AF120" i="4" s="1"/>
  <c r="AF119" i="4" a="1"/>
  <c r="AF119" i="4" s="1"/>
  <c r="AF118" i="4" a="1"/>
  <c r="AF118" i="4" s="1"/>
  <c r="AF117" i="4" a="1"/>
  <c r="AF117" i="4" s="1"/>
  <c r="AF116" i="4" a="1"/>
  <c r="AF116" i="4" s="1"/>
  <c r="AF115" i="4" a="1"/>
  <c r="AF115" i="4" s="1"/>
  <c r="AF114" i="4" a="1"/>
  <c r="AF114" i="4" s="1"/>
  <c r="AF113" i="4" a="1"/>
  <c r="AF113" i="4" s="1"/>
  <c r="AF112" i="4" a="1"/>
  <c r="AF112" i="4" s="1"/>
  <c r="AF111" i="4" a="1"/>
  <c r="AF111" i="4" s="1"/>
  <c r="AF110" i="4" a="1"/>
  <c r="AF110" i="4" s="1"/>
  <c r="AF109" i="4" a="1"/>
  <c r="AF109" i="4" s="1"/>
  <c r="AF108" i="4" a="1"/>
  <c r="AF108" i="4" s="1"/>
  <c r="AF107" i="4" a="1"/>
  <c r="AF107" i="4" s="1"/>
  <c r="AF106" i="4" a="1"/>
  <c r="AF106" i="4" s="1"/>
  <c r="AF105" i="4" a="1"/>
  <c r="AF105" i="4" s="1"/>
  <c r="AF104" i="4" a="1"/>
  <c r="AF104" i="4" s="1"/>
  <c r="AF103" i="4" a="1"/>
  <c r="AF103" i="4" s="1"/>
  <c r="AF102" i="4" a="1"/>
  <c r="AF102" i="4" s="1"/>
  <c r="AF101" i="4" a="1"/>
  <c r="AF101" i="4" s="1"/>
  <c r="AF100" i="4" a="1"/>
  <c r="AF100" i="4" s="1"/>
  <c r="AF99" i="4" a="1"/>
  <c r="AF99" i="4" s="1"/>
  <c r="AF98" i="4" a="1"/>
  <c r="AF98" i="4" s="1"/>
  <c r="AF97" i="4" a="1"/>
  <c r="AF97" i="4" s="1"/>
  <c r="AF96" i="4" a="1"/>
  <c r="AF96" i="4" s="1"/>
  <c r="AF95" i="4" a="1"/>
  <c r="AF95" i="4" s="1"/>
  <c r="AF94" i="4" a="1"/>
  <c r="AF94" i="4" s="1"/>
  <c r="AF93" i="4" a="1"/>
  <c r="AF93" i="4" s="1"/>
  <c r="AF92" i="4" a="1"/>
  <c r="AF92" i="4" s="1"/>
  <c r="AF91" i="4" a="1"/>
  <c r="AF91" i="4" s="1"/>
  <c r="AF90" i="4" a="1"/>
  <c r="AF90" i="4" s="1"/>
  <c r="AF89" i="4" a="1"/>
  <c r="AF89" i="4" s="1"/>
  <c r="AF88" i="4" a="1"/>
  <c r="AF88" i="4" s="1"/>
  <c r="AF87" i="4" a="1"/>
  <c r="AF87" i="4" s="1"/>
  <c r="AF86" i="4" a="1"/>
  <c r="AF86" i="4" s="1"/>
  <c r="AF85" i="4" a="1"/>
  <c r="AF85" i="4" s="1"/>
  <c r="AF84" i="4" a="1"/>
  <c r="AF84" i="4" s="1"/>
  <c r="AF83" i="4" a="1"/>
  <c r="AF83" i="4" s="1"/>
  <c r="AF82" i="4" a="1"/>
  <c r="AF82" i="4" s="1"/>
  <c r="AF81" i="4" a="1"/>
  <c r="AF81" i="4" s="1"/>
  <c r="AF80" i="4" a="1"/>
  <c r="AF80" i="4" s="1"/>
  <c r="AF79" i="4" a="1"/>
  <c r="AF79" i="4" s="1"/>
  <c r="AF78" i="4" a="1"/>
  <c r="AF78" i="4" s="1"/>
  <c r="AF77" i="4" a="1"/>
  <c r="AF77" i="4" s="1"/>
  <c r="AF76" i="4" a="1"/>
  <c r="AF76" i="4" s="1"/>
  <c r="AF75" i="4" a="1"/>
  <c r="AF75" i="4" s="1"/>
  <c r="AF74" i="4" a="1"/>
  <c r="AF74" i="4" s="1"/>
  <c r="AF73" i="4" a="1"/>
  <c r="AF73" i="4" s="1"/>
  <c r="AF72" i="4" a="1"/>
  <c r="AF72" i="4" s="1"/>
  <c r="AF71" i="4" a="1"/>
  <c r="AF71" i="4" s="1"/>
  <c r="AF70" i="4" a="1"/>
  <c r="AF70" i="4" s="1"/>
  <c r="AF69" i="4" a="1"/>
  <c r="AF69" i="4" s="1"/>
  <c r="AF68" i="4" a="1"/>
  <c r="AF68" i="4" s="1"/>
  <c r="AF67" i="4" a="1"/>
  <c r="AF67" i="4" s="1"/>
  <c r="AF66" i="4" a="1"/>
  <c r="AF66" i="4" s="1"/>
  <c r="AF65" i="4" a="1"/>
  <c r="AF65" i="4" s="1"/>
  <c r="AF64" i="4" a="1"/>
  <c r="AF64" i="4" s="1"/>
  <c r="AF63" i="4" a="1"/>
  <c r="AF63" i="4" s="1"/>
  <c r="AF62" i="4" a="1"/>
  <c r="AF62" i="4" s="1"/>
  <c r="AF61" i="4" a="1"/>
  <c r="AF61" i="4" s="1"/>
  <c r="AF60" i="4" a="1"/>
  <c r="AF60" i="4" s="1"/>
  <c r="AF59" i="4" a="1"/>
  <c r="AF59" i="4" s="1"/>
  <c r="AF58" i="4" a="1"/>
  <c r="AF58" i="4" s="1"/>
  <c r="AF57" i="4" a="1"/>
  <c r="AF57" i="4" s="1"/>
  <c r="AF56" i="4" a="1"/>
  <c r="AF56" i="4" s="1"/>
  <c r="AF55" i="4" a="1"/>
  <c r="AF55" i="4" s="1"/>
  <c r="AF54" i="4" a="1"/>
  <c r="AF54" i="4" s="1"/>
  <c r="AF53" i="4" a="1"/>
  <c r="AF53" i="4" s="1"/>
  <c r="AF52" i="4" a="1"/>
  <c r="AF52" i="4" s="1"/>
  <c r="AF51" i="4" a="1"/>
  <c r="AF51" i="4" s="1"/>
  <c r="AF50" i="4" a="1"/>
  <c r="AF50" i="4" s="1"/>
  <c r="AF49" i="4" a="1"/>
  <c r="AF49" i="4" s="1"/>
  <c r="AF48" i="4" a="1"/>
  <c r="AF48" i="4" s="1"/>
  <c r="AF47" i="4" a="1"/>
  <c r="AF47" i="4" s="1"/>
  <c r="AF46" i="4" a="1"/>
  <c r="AF46" i="4" s="1"/>
  <c r="AF45" i="4" a="1"/>
  <c r="AF45" i="4" s="1"/>
  <c r="AF44" i="4" a="1"/>
  <c r="AF44" i="4" s="1"/>
  <c r="AF43" i="4" a="1"/>
  <c r="AF43" i="4" s="1"/>
  <c r="AF42" i="4" a="1"/>
  <c r="AF42" i="4" s="1"/>
  <c r="AF41" i="4" a="1"/>
  <c r="AF41" i="4" s="1"/>
  <c r="AF40" i="4" a="1"/>
  <c r="AF40" i="4" s="1"/>
  <c r="AF39" i="4" a="1"/>
  <c r="AF39" i="4" s="1"/>
  <c r="AF38" i="4" a="1"/>
  <c r="AF38" i="4" s="1"/>
  <c r="AF37" i="4" a="1"/>
  <c r="AF37" i="4" s="1"/>
  <c r="AF36" i="4" a="1"/>
  <c r="AF36" i="4" s="1"/>
  <c r="AF35" i="4" a="1"/>
  <c r="AF35" i="4" s="1"/>
  <c r="AF34" i="4" a="1"/>
  <c r="AF34" i="4" s="1"/>
  <c r="AF33" i="4" a="1"/>
  <c r="AF33" i="4" s="1"/>
  <c r="AF32" i="4" a="1"/>
  <c r="AF32" i="4" s="1"/>
  <c r="AF31" i="4" a="1"/>
  <c r="AF31" i="4" s="1"/>
  <c r="AF30" i="4" a="1"/>
  <c r="AF30" i="4" s="1"/>
  <c r="AF29" i="4" a="1"/>
  <c r="AF29" i="4" s="1"/>
  <c r="AF28" i="4" a="1"/>
  <c r="AF28" i="4" s="1"/>
  <c r="AF27" i="4" a="1"/>
  <c r="AF27" i="4" s="1"/>
  <c r="AJ461" i="4" a="1"/>
  <c r="AJ461" i="4" s="1"/>
  <c r="AJ460" i="4" a="1"/>
  <c r="AJ460" i="4" s="1"/>
  <c r="AJ459" i="4" a="1"/>
  <c r="AJ459" i="4" s="1"/>
  <c r="AJ458" i="4" a="1"/>
  <c r="AJ458" i="4" s="1"/>
  <c r="AJ457" i="4" a="1"/>
  <c r="AJ457" i="4" s="1"/>
  <c r="AJ456" i="4" a="1"/>
  <c r="AJ456" i="4" s="1"/>
  <c r="AJ455" i="4" a="1"/>
  <c r="AJ455" i="4" s="1"/>
  <c r="AJ454" i="4" a="1"/>
  <c r="AJ454" i="4" s="1"/>
  <c r="AJ453" i="4" a="1"/>
  <c r="AJ453" i="4" s="1"/>
  <c r="AJ452" i="4" a="1"/>
  <c r="AJ452" i="4" s="1"/>
  <c r="AJ451" i="4" a="1"/>
  <c r="AJ451" i="4" s="1"/>
  <c r="AJ450" i="4" a="1"/>
  <c r="AJ450" i="4" s="1"/>
  <c r="AJ449" i="4" a="1"/>
  <c r="AJ449" i="4" s="1"/>
  <c r="AJ448" i="4" a="1"/>
  <c r="AJ448" i="4" s="1"/>
  <c r="AJ447" i="4" a="1"/>
  <c r="AJ447" i="4" s="1"/>
  <c r="AJ446" i="4" a="1"/>
  <c r="AJ446" i="4" s="1"/>
  <c r="AJ445" i="4" a="1"/>
  <c r="AJ445" i="4" s="1"/>
  <c r="AJ444" i="4" a="1"/>
  <c r="AJ444" i="4" s="1"/>
  <c r="AJ443" i="4" a="1"/>
  <c r="AJ443" i="4" s="1"/>
  <c r="AJ442" i="4" a="1"/>
  <c r="AJ442" i="4" s="1"/>
  <c r="AJ441" i="4" a="1"/>
  <c r="AJ441" i="4" s="1"/>
  <c r="AJ440" i="4" a="1"/>
  <c r="AJ440" i="4" s="1"/>
  <c r="AJ439" i="4" a="1"/>
  <c r="AJ439" i="4" s="1"/>
  <c r="AJ438" i="4" a="1"/>
  <c r="AJ438" i="4" s="1"/>
  <c r="AJ437" i="4" a="1"/>
  <c r="AJ437" i="4" s="1"/>
  <c r="AJ436" i="4" a="1"/>
  <c r="AJ436" i="4" s="1"/>
  <c r="AJ435" i="4" a="1"/>
  <c r="AJ435" i="4" s="1"/>
  <c r="AJ434" i="4" a="1"/>
  <c r="AJ434" i="4" s="1"/>
  <c r="AJ433" i="4" a="1"/>
  <c r="AJ433" i="4" s="1"/>
  <c r="AJ432" i="4" a="1"/>
  <c r="AJ432" i="4" s="1"/>
  <c r="AJ431" i="4" a="1"/>
  <c r="AJ431" i="4" s="1"/>
  <c r="AJ430" i="4" a="1"/>
  <c r="AJ430" i="4" s="1"/>
  <c r="AJ429" i="4" a="1"/>
  <c r="AJ429" i="4" s="1"/>
  <c r="AJ428" i="4" a="1"/>
  <c r="AJ428" i="4" s="1"/>
  <c r="AJ427" i="4" a="1"/>
  <c r="AJ427" i="4" s="1"/>
  <c r="AJ426" i="4" a="1"/>
  <c r="AJ426" i="4" s="1"/>
  <c r="AJ425" i="4" a="1"/>
  <c r="AJ425" i="4" s="1"/>
  <c r="AJ424" i="4" a="1"/>
  <c r="AJ424" i="4" s="1"/>
  <c r="AJ423" i="4" a="1"/>
  <c r="AJ423" i="4" s="1"/>
  <c r="AJ422" i="4" a="1"/>
  <c r="AJ422" i="4" s="1"/>
  <c r="AJ421" i="4" a="1"/>
  <c r="AJ421" i="4" s="1"/>
  <c r="AJ420" i="4" a="1"/>
  <c r="AJ420" i="4" s="1"/>
  <c r="AJ419" i="4" a="1"/>
  <c r="AJ419" i="4" s="1"/>
  <c r="AJ418" i="4" a="1"/>
  <c r="AJ418" i="4" s="1"/>
  <c r="AJ417" i="4" a="1"/>
  <c r="AJ417" i="4" s="1"/>
  <c r="AJ416" i="4" a="1"/>
  <c r="AJ416" i="4" s="1"/>
  <c r="AJ415" i="4" a="1"/>
  <c r="AJ415" i="4" s="1"/>
  <c r="AJ414" i="4" a="1"/>
  <c r="AJ414" i="4" s="1"/>
  <c r="AJ413" i="4" a="1"/>
  <c r="AJ413" i="4" s="1"/>
  <c r="AJ412" i="4" a="1"/>
  <c r="AJ412" i="4" s="1"/>
  <c r="AJ411" i="4" a="1"/>
  <c r="AJ411" i="4" s="1"/>
  <c r="AJ410" i="4" a="1"/>
  <c r="AJ410" i="4" s="1"/>
  <c r="AJ409" i="4" a="1"/>
  <c r="AJ409" i="4" s="1"/>
  <c r="AJ408" i="4" a="1"/>
  <c r="AJ408" i="4" s="1"/>
  <c r="AJ407" i="4" a="1"/>
  <c r="AJ407" i="4" s="1"/>
  <c r="AJ406" i="4" a="1"/>
  <c r="AJ406" i="4" s="1"/>
  <c r="AJ405" i="4" a="1"/>
  <c r="AJ405" i="4" s="1"/>
  <c r="AJ404" i="4" a="1"/>
  <c r="AJ404" i="4" s="1"/>
  <c r="AJ403" i="4" a="1"/>
  <c r="AJ403" i="4" s="1"/>
  <c r="AJ402" i="4" a="1"/>
  <c r="AJ402" i="4" s="1"/>
  <c r="AJ401" i="4" a="1"/>
  <c r="AJ401" i="4" s="1"/>
  <c r="AJ400" i="4" a="1"/>
  <c r="AJ400" i="4" s="1"/>
  <c r="AJ399" i="4" a="1"/>
  <c r="AJ399" i="4" s="1"/>
  <c r="AJ398" i="4" a="1"/>
  <c r="AJ398" i="4" s="1"/>
  <c r="AJ397" i="4" a="1"/>
  <c r="AJ397" i="4" s="1"/>
  <c r="AJ396" i="4" a="1"/>
  <c r="AJ396" i="4" s="1"/>
  <c r="AJ395" i="4" a="1"/>
  <c r="AJ395" i="4" s="1"/>
  <c r="AJ394" i="4" a="1"/>
  <c r="AJ394" i="4" s="1"/>
  <c r="AJ393" i="4" a="1"/>
  <c r="AJ393" i="4" s="1"/>
  <c r="AJ392" i="4" a="1"/>
  <c r="AJ392" i="4" s="1"/>
  <c r="AJ391" i="4" a="1"/>
  <c r="AJ391" i="4" s="1"/>
  <c r="AJ390" i="4" a="1"/>
  <c r="AJ390" i="4" s="1"/>
  <c r="AJ389" i="4" a="1"/>
  <c r="AJ389" i="4" s="1"/>
  <c r="AJ388" i="4" a="1"/>
  <c r="AJ388" i="4" s="1"/>
  <c r="AJ387" i="4" a="1"/>
  <c r="AJ387" i="4" s="1"/>
  <c r="AJ386" i="4" a="1"/>
  <c r="AJ386" i="4" s="1"/>
  <c r="AJ385" i="4" a="1"/>
  <c r="AJ385" i="4" s="1"/>
  <c r="AJ384" i="4" a="1"/>
  <c r="AJ384" i="4" s="1"/>
  <c r="AJ383" i="4" a="1"/>
  <c r="AJ383" i="4" s="1"/>
  <c r="AJ382" i="4" a="1"/>
  <c r="AJ382" i="4" s="1"/>
  <c r="AJ381" i="4" a="1"/>
  <c r="AJ381" i="4" s="1"/>
  <c r="AJ380" i="4" a="1"/>
  <c r="AJ380" i="4" s="1"/>
  <c r="AJ379" i="4" a="1"/>
  <c r="AJ379" i="4" s="1"/>
  <c r="AJ378" i="4" a="1"/>
  <c r="AJ378" i="4" s="1"/>
  <c r="AJ377" i="4" a="1"/>
  <c r="AJ377" i="4" s="1"/>
  <c r="AJ376" i="4" a="1"/>
  <c r="AJ376" i="4" s="1"/>
  <c r="AJ375" i="4" a="1"/>
  <c r="AJ375" i="4" s="1"/>
  <c r="AJ374" i="4" a="1"/>
  <c r="AJ374" i="4" s="1"/>
  <c r="AJ373" i="4" a="1"/>
  <c r="AJ373" i="4" s="1"/>
  <c r="AJ372" i="4" a="1"/>
  <c r="AJ372" i="4" s="1"/>
  <c r="AJ371" i="4" a="1"/>
  <c r="AJ371" i="4" s="1"/>
  <c r="AJ370" i="4" a="1"/>
  <c r="AJ370" i="4" s="1"/>
  <c r="AJ369" i="4" a="1"/>
  <c r="AJ369" i="4" s="1"/>
  <c r="AJ368" i="4" a="1"/>
  <c r="AJ368" i="4" s="1"/>
  <c r="AJ367" i="4" a="1"/>
  <c r="AJ367" i="4" s="1"/>
  <c r="AJ366" i="4" a="1"/>
  <c r="AJ366" i="4" s="1"/>
  <c r="AJ365" i="4" a="1"/>
  <c r="AJ365" i="4" s="1"/>
  <c r="AJ364" i="4" a="1"/>
  <c r="AJ364" i="4" s="1"/>
  <c r="AJ363" i="4" a="1"/>
  <c r="AJ363" i="4" s="1"/>
  <c r="AJ362" i="4" a="1"/>
  <c r="AJ362" i="4" s="1"/>
  <c r="AJ361" i="4" a="1"/>
  <c r="AJ361" i="4" s="1"/>
  <c r="AJ360" i="4" a="1"/>
  <c r="AJ360" i="4" s="1"/>
  <c r="AJ359" i="4" a="1"/>
  <c r="AJ359" i="4" s="1"/>
  <c r="AJ358" i="4" a="1"/>
  <c r="AJ358" i="4" s="1"/>
  <c r="AJ357" i="4" a="1"/>
  <c r="AJ357" i="4" s="1"/>
  <c r="AJ356" i="4" a="1"/>
  <c r="AJ356" i="4" s="1"/>
  <c r="AJ355" i="4" a="1"/>
  <c r="AJ355" i="4" s="1"/>
  <c r="AJ354" i="4" a="1"/>
  <c r="AJ354" i="4" s="1"/>
  <c r="AJ353" i="4" a="1"/>
  <c r="AJ353" i="4" s="1"/>
  <c r="AJ352" i="4" a="1"/>
  <c r="AJ352" i="4" s="1"/>
  <c r="AJ351" i="4" a="1"/>
  <c r="AJ351" i="4" s="1"/>
  <c r="AJ350" i="4" a="1"/>
  <c r="AJ350" i="4" s="1"/>
  <c r="AJ349" i="4" a="1"/>
  <c r="AJ349" i="4" s="1"/>
  <c r="AJ348" i="4" a="1"/>
  <c r="AJ348" i="4" s="1"/>
  <c r="AJ347" i="4" a="1"/>
  <c r="AJ347" i="4" s="1"/>
  <c r="AJ346" i="4" a="1"/>
  <c r="AJ346" i="4" s="1"/>
  <c r="AJ345" i="4" a="1"/>
  <c r="AJ345" i="4" s="1"/>
  <c r="AJ344" i="4" a="1"/>
  <c r="AJ344" i="4" s="1"/>
  <c r="AJ343" i="4" a="1"/>
  <c r="AJ343" i="4" s="1"/>
  <c r="AJ342" i="4" a="1"/>
  <c r="AJ342" i="4" s="1"/>
  <c r="AJ341" i="4" a="1"/>
  <c r="AJ341" i="4" s="1"/>
  <c r="AJ340" i="4" a="1"/>
  <c r="AJ340" i="4" s="1"/>
  <c r="AJ339" i="4" a="1"/>
  <c r="AJ339" i="4" s="1"/>
  <c r="AJ338" i="4" a="1"/>
  <c r="AJ338" i="4" s="1"/>
  <c r="AJ337" i="4" a="1"/>
  <c r="AJ337" i="4" s="1"/>
  <c r="AJ336" i="4" a="1"/>
  <c r="AJ336" i="4" s="1"/>
  <c r="AJ335" i="4" a="1"/>
  <c r="AJ335" i="4" s="1"/>
  <c r="AJ334" i="4" a="1"/>
  <c r="AJ334" i="4" s="1"/>
  <c r="AJ333" i="4" a="1"/>
  <c r="AJ333" i="4" s="1"/>
  <c r="AJ332" i="4" a="1"/>
  <c r="AJ332" i="4" s="1"/>
  <c r="AJ331" i="4" a="1"/>
  <c r="AJ331" i="4" s="1"/>
  <c r="AJ330" i="4" a="1"/>
  <c r="AJ330" i="4" s="1"/>
  <c r="AJ329" i="4" a="1"/>
  <c r="AJ329" i="4" s="1"/>
  <c r="AJ328" i="4" a="1"/>
  <c r="AJ328" i="4" s="1"/>
  <c r="AJ327" i="4" a="1"/>
  <c r="AJ327" i="4" s="1"/>
  <c r="AJ326" i="4" a="1"/>
  <c r="AJ326" i="4" s="1"/>
  <c r="AJ325" i="4" a="1"/>
  <c r="AJ325" i="4" s="1"/>
  <c r="AJ324" i="4" a="1"/>
  <c r="AJ324" i="4" s="1"/>
  <c r="AJ323" i="4" a="1"/>
  <c r="AJ323" i="4" s="1"/>
  <c r="AJ322" i="4" a="1"/>
  <c r="AJ322" i="4" s="1"/>
  <c r="AJ321" i="4" a="1"/>
  <c r="AJ321" i="4" s="1"/>
  <c r="AJ320" i="4" a="1"/>
  <c r="AJ320" i="4" s="1"/>
  <c r="AJ319" i="4" a="1"/>
  <c r="AJ319" i="4" s="1"/>
  <c r="AJ318" i="4" a="1"/>
  <c r="AJ318" i="4" s="1"/>
  <c r="AJ317" i="4" a="1"/>
  <c r="AJ317" i="4" s="1"/>
  <c r="AJ316" i="4" a="1"/>
  <c r="AJ316" i="4" s="1"/>
  <c r="AJ315" i="4" a="1"/>
  <c r="AJ315" i="4" s="1"/>
  <c r="AJ314" i="4" a="1"/>
  <c r="AJ314" i="4" s="1"/>
  <c r="AJ313" i="4" a="1"/>
  <c r="AJ313" i="4" s="1"/>
  <c r="AJ312" i="4" a="1"/>
  <c r="AJ312" i="4" s="1"/>
  <c r="AJ311" i="4" a="1"/>
  <c r="AJ311" i="4" s="1"/>
  <c r="AJ310" i="4" a="1"/>
  <c r="AJ310" i="4" s="1"/>
  <c r="AJ309" i="4" a="1"/>
  <c r="AJ309" i="4" s="1"/>
  <c r="AJ308" i="4" a="1"/>
  <c r="AJ308" i="4" s="1"/>
  <c r="AJ307" i="4" a="1"/>
  <c r="AJ307" i="4" s="1"/>
  <c r="AJ306" i="4" a="1"/>
  <c r="AJ306" i="4" s="1"/>
  <c r="AJ305" i="4" a="1"/>
  <c r="AJ305" i="4" s="1"/>
  <c r="AJ304" i="4" a="1"/>
  <c r="AJ304" i="4" s="1"/>
  <c r="AJ303" i="4" a="1"/>
  <c r="AJ303" i="4" s="1"/>
  <c r="AJ302" i="4" a="1"/>
  <c r="AJ302" i="4" s="1"/>
  <c r="AJ301" i="4" a="1"/>
  <c r="AJ301" i="4" s="1"/>
  <c r="AJ300" i="4" a="1"/>
  <c r="AJ300" i="4" s="1"/>
  <c r="AJ299" i="4" a="1"/>
  <c r="AJ299" i="4" s="1"/>
  <c r="AJ298" i="4" a="1"/>
  <c r="AJ298" i="4" s="1"/>
  <c r="AJ297" i="4" a="1"/>
  <c r="AJ297" i="4" s="1"/>
  <c r="AJ296" i="4" a="1"/>
  <c r="AJ296" i="4" s="1"/>
  <c r="AJ295" i="4" a="1"/>
  <c r="AJ295" i="4" s="1"/>
  <c r="AJ294" i="4" a="1"/>
  <c r="AJ294" i="4" s="1"/>
  <c r="AJ293" i="4" a="1"/>
  <c r="AJ293" i="4" s="1"/>
  <c r="AJ292" i="4" a="1"/>
  <c r="AJ292" i="4" s="1"/>
  <c r="AJ291" i="4" a="1"/>
  <c r="AJ291" i="4" s="1"/>
  <c r="AJ290" i="4" a="1"/>
  <c r="AJ290" i="4" s="1"/>
  <c r="AJ289" i="4" a="1"/>
  <c r="AJ289" i="4" s="1"/>
  <c r="AJ288" i="4" a="1"/>
  <c r="AJ288" i="4" s="1"/>
  <c r="AJ287" i="4" a="1"/>
  <c r="AJ287" i="4" s="1"/>
  <c r="AJ286" i="4" a="1"/>
  <c r="AJ286" i="4" s="1"/>
  <c r="AJ285" i="4" a="1"/>
  <c r="AJ285" i="4" s="1"/>
  <c r="AJ284" i="4" a="1"/>
  <c r="AJ284" i="4" s="1"/>
  <c r="AJ283" i="4" a="1"/>
  <c r="AJ283" i="4" s="1"/>
  <c r="AJ282" i="4" a="1"/>
  <c r="AJ282" i="4" s="1"/>
  <c r="AJ281" i="4" a="1"/>
  <c r="AJ281" i="4" s="1"/>
  <c r="AJ280" i="4" a="1"/>
  <c r="AJ280" i="4" s="1"/>
  <c r="AJ279" i="4" a="1"/>
  <c r="AJ279" i="4" s="1"/>
  <c r="AJ278" i="4" a="1"/>
  <c r="AJ278" i="4" s="1"/>
  <c r="AJ277" i="4" a="1"/>
  <c r="AJ277" i="4" s="1"/>
  <c r="AJ276" i="4" a="1"/>
  <c r="AJ276" i="4" s="1"/>
  <c r="AJ275" i="4" a="1"/>
  <c r="AJ275" i="4" s="1"/>
  <c r="AJ274" i="4" a="1"/>
  <c r="AJ274" i="4" s="1"/>
  <c r="AJ273" i="4" a="1"/>
  <c r="AJ273" i="4" s="1"/>
  <c r="AJ272" i="4" a="1"/>
  <c r="AJ272" i="4" s="1"/>
  <c r="AJ271" i="4" a="1"/>
  <c r="AJ271" i="4" s="1"/>
  <c r="AJ270" i="4" a="1"/>
  <c r="AJ270" i="4" s="1"/>
  <c r="AJ269" i="4" a="1"/>
  <c r="AJ269" i="4" s="1"/>
  <c r="AJ268" i="4" a="1"/>
  <c r="AJ268" i="4" s="1"/>
  <c r="AJ267" i="4" a="1"/>
  <c r="AJ267" i="4" s="1"/>
  <c r="AJ266" i="4" a="1"/>
  <c r="AJ266" i="4" s="1"/>
  <c r="AJ265" i="4" a="1"/>
  <c r="AJ265" i="4" s="1"/>
  <c r="AJ264" i="4" a="1"/>
  <c r="AJ264" i="4" s="1"/>
  <c r="AJ263" i="4" a="1"/>
  <c r="AJ263" i="4" s="1"/>
  <c r="AJ262" i="4" a="1"/>
  <c r="AJ262" i="4" s="1"/>
  <c r="AJ261" i="4" a="1"/>
  <c r="AJ261" i="4" s="1"/>
  <c r="AJ260" i="4" a="1"/>
  <c r="AJ260" i="4" s="1"/>
  <c r="AJ259" i="4" a="1"/>
  <c r="AJ259" i="4" s="1"/>
  <c r="AJ258" i="4" a="1"/>
  <c r="AJ258" i="4" s="1"/>
  <c r="AJ257" i="4" a="1"/>
  <c r="AJ257" i="4" s="1"/>
  <c r="AJ256" i="4" a="1"/>
  <c r="AJ256" i="4" s="1"/>
  <c r="AJ255" i="4" a="1"/>
  <c r="AJ255" i="4" s="1"/>
  <c r="AJ254" i="4" a="1"/>
  <c r="AJ254" i="4" s="1"/>
  <c r="AJ253" i="4" a="1"/>
  <c r="AJ253" i="4" s="1"/>
  <c r="AJ252" i="4" a="1"/>
  <c r="AJ252" i="4" s="1"/>
  <c r="AJ251" i="4" a="1"/>
  <c r="AJ251" i="4" s="1"/>
  <c r="AJ250" i="4" a="1"/>
  <c r="AJ250" i="4" s="1"/>
  <c r="AJ249" i="4" a="1"/>
  <c r="AJ249" i="4" s="1"/>
  <c r="AJ248" i="4" a="1"/>
  <c r="AJ248" i="4" s="1"/>
  <c r="AJ247" i="4" a="1"/>
  <c r="AJ247" i="4" s="1"/>
  <c r="AJ246" i="4" a="1"/>
  <c r="AJ246" i="4" s="1"/>
  <c r="AJ245" i="4" a="1"/>
  <c r="AJ245" i="4" s="1"/>
  <c r="AJ244" i="4" a="1"/>
  <c r="AJ244" i="4" s="1"/>
  <c r="AJ243" i="4" a="1"/>
  <c r="AJ243" i="4" s="1"/>
  <c r="AJ242" i="4" a="1"/>
  <c r="AJ242" i="4" s="1"/>
  <c r="AJ241" i="4" a="1"/>
  <c r="AJ241" i="4" s="1"/>
  <c r="AJ240" i="4" a="1"/>
  <c r="AJ240" i="4" s="1"/>
  <c r="AJ239" i="4" a="1"/>
  <c r="AJ239" i="4" s="1"/>
  <c r="AJ238" i="4" a="1"/>
  <c r="AJ238" i="4" s="1"/>
  <c r="AJ237" i="4" a="1"/>
  <c r="AJ237" i="4" s="1"/>
  <c r="AJ236" i="4" a="1"/>
  <c r="AJ236" i="4" s="1"/>
  <c r="AJ235" i="4" a="1"/>
  <c r="AJ235" i="4" s="1"/>
  <c r="AJ234" i="4" a="1"/>
  <c r="AJ234" i="4" s="1"/>
  <c r="AJ233" i="4" a="1"/>
  <c r="AJ233" i="4" s="1"/>
  <c r="AJ232" i="4" a="1"/>
  <c r="AJ232" i="4" s="1"/>
  <c r="AJ231" i="4" a="1"/>
  <c r="AJ231" i="4" s="1"/>
  <c r="AJ230" i="4" a="1"/>
  <c r="AJ230" i="4" s="1"/>
  <c r="AJ229" i="4" a="1"/>
  <c r="AJ229" i="4" s="1"/>
  <c r="AJ228" i="4" a="1"/>
  <c r="AJ228" i="4" s="1"/>
  <c r="AJ227" i="4" a="1"/>
  <c r="AJ227" i="4" s="1"/>
  <c r="AJ226" i="4" a="1"/>
  <c r="AJ226" i="4" s="1"/>
  <c r="AJ225" i="4" a="1"/>
  <c r="AJ225" i="4" s="1"/>
  <c r="AJ224" i="4" a="1"/>
  <c r="AJ224" i="4" s="1"/>
  <c r="AJ223" i="4" a="1"/>
  <c r="AJ223" i="4" s="1"/>
  <c r="AJ222" i="4" a="1"/>
  <c r="AJ222" i="4" s="1"/>
  <c r="AJ221" i="4" a="1"/>
  <c r="AJ221" i="4" s="1"/>
  <c r="AJ220" i="4" a="1"/>
  <c r="AJ220" i="4" s="1"/>
  <c r="AJ219" i="4" a="1"/>
  <c r="AJ219" i="4" s="1"/>
  <c r="AJ218" i="4" a="1"/>
  <c r="AJ218" i="4" s="1"/>
  <c r="AJ217" i="4" a="1"/>
  <c r="AJ217" i="4" s="1"/>
  <c r="AJ216" i="4" a="1"/>
  <c r="AJ216" i="4" s="1"/>
  <c r="AJ215" i="4" a="1"/>
  <c r="AJ215" i="4" s="1"/>
  <c r="AJ214" i="4" a="1"/>
  <c r="AJ214" i="4" s="1"/>
  <c r="AJ213" i="4" a="1"/>
  <c r="AJ213" i="4" s="1"/>
  <c r="AJ212" i="4" a="1"/>
  <c r="AJ212" i="4" s="1"/>
  <c r="AJ211" i="4" a="1"/>
  <c r="AJ211" i="4" s="1"/>
  <c r="AJ210" i="4" a="1"/>
  <c r="AJ210" i="4" s="1"/>
  <c r="AJ209" i="4" a="1"/>
  <c r="AJ209" i="4" s="1"/>
  <c r="AJ208" i="4" a="1"/>
  <c r="AJ208" i="4" s="1"/>
  <c r="AJ207" i="4" a="1"/>
  <c r="AJ207" i="4" s="1"/>
  <c r="AJ206" i="4" a="1"/>
  <c r="AJ206" i="4" s="1"/>
  <c r="AJ205" i="4" a="1"/>
  <c r="AJ205" i="4" s="1"/>
  <c r="AJ204" i="4" a="1"/>
  <c r="AJ204" i="4" s="1"/>
  <c r="AJ203" i="4" a="1"/>
  <c r="AJ203" i="4" s="1"/>
  <c r="AJ202" i="4" a="1"/>
  <c r="AJ202" i="4" s="1"/>
  <c r="AJ201" i="4" a="1"/>
  <c r="AJ201" i="4" s="1"/>
  <c r="AJ200" i="4" a="1"/>
  <c r="AJ200" i="4" s="1"/>
  <c r="AJ199" i="4" a="1"/>
  <c r="AJ199" i="4" s="1"/>
  <c r="AJ198" i="4" a="1"/>
  <c r="AJ198" i="4" s="1"/>
  <c r="AJ197" i="4" a="1"/>
  <c r="AJ197" i="4" s="1"/>
  <c r="AJ196" i="4" a="1"/>
  <c r="AJ196" i="4" s="1"/>
  <c r="AJ195" i="4" a="1"/>
  <c r="AJ195" i="4" s="1"/>
  <c r="AJ194" i="4" a="1"/>
  <c r="AJ194" i="4" s="1"/>
  <c r="AJ193" i="4" a="1"/>
  <c r="AJ193" i="4" s="1"/>
  <c r="AJ192" i="4" a="1"/>
  <c r="AJ192" i="4" s="1"/>
  <c r="AJ191" i="4" a="1"/>
  <c r="AJ191" i="4" s="1"/>
  <c r="AJ190" i="4" a="1"/>
  <c r="AJ190" i="4" s="1"/>
  <c r="AJ189" i="4" a="1"/>
  <c r="AJ189" i="4" s="1"/>
  <c r="AJ188" i="4" a="1"/>
  <c r="AJ188" i="4" s="1"/>
  <c r="AJ187" i="4" a="1"/>
  <c r="AJ187" i="4" s="1"/>
  <c r="AJ186" i="4" a="1"/>
  <c r="AJ186" i="4" s="1"/>
  <c r="AJ185" i="4" a="1"/>
  <c r="AJ185" i="4" s="1"/>
  <c r="AJ184" i="4" a="1"/>
  <c r="AJ184" i="4" s="1"/>
  <c r="AJ183" i="4" a="1"/>
  <c r="AJ183" i="4" s="1"/>
  <c r="AJ182" i="4" a="1"/>
  <c r="AJ182" i="4" s="1"/>
  <c r="AJ181" i="4" a="1"/>
  <c r="AJ181" i="4" s="1"/>
  <c r="AJ180" i="4" a="1"/>
  <c r="AJ180" i="4" s="1"/>
  <c r="AJ179" i="4" a="1"/>
  <c r="AJ179" i="4" s="1"/>
  <c r="AJ178" i="4" a="1"/>
  <c r="AJ178" i="4" s="1"/>
  <c r="AJ177" i="4" a="1"/>
  <c r="AJ177" i="4" s="1"/>
  <c r="AJ176" i="4" a="1"/>
  <c r="AJ176" i="4" s="1"/>
  <c r="AJ175" i="4" a="1"/>
  <c r="AJ175" i="4" s="1"/>
  <c r="AJ174" i="4" a="1"/>
  <c r="AJ174" i="4" s="1"/>
  <c r="AJ173" i="4" a="1"/>
  <c r="AJ173" i="4" s="1"/>
  <c r="AJ172" i="4" a="1"/>
  <c r="AJ172" i="4" s="1"/>
  <c r="AJ171" i="4" a="1"/>
  <c r="AJ171" i="4" s="1"/>
  <c r="AJ170" i="4" a="1"/>
  <c r="AJ170" i="4" s="1"/>
  <c r="AJ169" i="4" a="1"/>
  <c r="AJ169" i="4" s="1"/>
  <c r="AJ168" i="4" a="1"/>
  <c r="AJ168" i="4" s="1"/>
  <c r="AJ167" i="4" a="1"/>
  <c r="AJ167" i="4" s="1"/>
  <c r="AJ166" i="4" a="1"/>
  <c r="AJ166" i="4" s="1"/>
  <c r="AJ165" i="4" a="1"/>
  <c r="AJ165" i="4" s="1"/>
  <c r="AJ164" i="4" a="1"/>
  <c r="AJ164" i="4" s="1"/>
  <c r="AJ163" i="4" a="1"/>
  <c r="AJ163" i="4" s="1"/>
  <c r="AJ162" i="4" a="1"/>
  <c r="AJ162" i="4" s="1"/>
  <c r="AJ161" i="4" a="1"/>
  <c r="AJ161" i="4" s="1"/>
  <c r="AJ160" i="4" a="1"/>
  <c r="AJ160" i="4" s="1"/>
  <c r="AJ159" i="4" a="1"/>
  <c r="AJ159" i="4" s="1"/>
  <c r="AJ158" i="4" a="1"/>
  <c r="AJ158" i="4" s="1"/>
  <c r="AJ157" i="4" a="1"/>
  <c r="AJ157" i="4" s="1"/>
  <c r="AJ156" i="4" a="1"/>
  <c r="AJ156" i="4" s="1"/>
  <c r="AJ155" i="4" a="1"/>
  <c r="AJ155" i="4" s="1"/>
  <c r="AJ154" i="4" a="1"/>
  <c r="AJ154" i="4" s="1"/>
  <c r="AJ153" i="4" a="1"/>
  <c r="AJ153" i="4" s="1"/>
  <c r="AJ152" i="4" a="1"/>
  <c r="AJ152" i="4" s="1"/>
  <c r="AJ151" i="4" a="1"/>
  <c r="AJ151" i="4" s="1"/>
  <c r="AJ150" i="4" a="1"/>
  <c r="AJ150" i="4" s="1"/>
  <c r="AJ149" i="4" a="1"/>
  <c r="AJ149" i="4" s="1"/>
  <c r="AJ148" i="4" a="1"/>
  <c r="AJ148" i="4" s="1"/>
  <c r="AJ147" i="4" a="1"/>
  <c r="AJ147" i="4" s="1"/>
  <c r="AJ146" i="4" a="1"/>
  <c r="AJ146" i="4" s="1"/>
  <c r="AJ145" i="4" a="1"/>
  <c r="AJ145" i="4" s="1"/>
  <c r="AJ144" i="4" a="1"/>
  <c r="AJ144" i="4" s="1"/>
  <c r="AJ143" i="4" a="1"/>
  <c r="AJ143" i="4" s="1"/>
  <c r="AJ142" i="4" a="1"/>
  <c r="AJ142" i="4" s="1"/>
  <c r="AJ141" i="4" a="1"/>
  <c r="AJ141" i="4" s="1"/>
  <c r="AJ140" i="4" a="1"/>
  <c r="AJ140" i="4" s="1"/>
  <c r="AJ139" i="4" a="1"/>
  <c r="AJ139" i="4" s="1"/>
  <c r="AJ138" i="4" a="1"/>
  <c r="AJ138" i="4" s="1"/>
  <c r="AJ137" i="4" a="1"/>
  <c r="AJ137" i="4" s="1"/>
  <c r="AJ136" i="4" a="1"/>
  <c r="AJ136" i="4" s="1"/>
  <c r="AJ135" i="4" a="1"/>
  <c r="AJ135" i="4" s="1"/>
  <c r="AJ134" i="4" a="1"/>
  <c r="AJ134" i="4" s="1"/>
  <c r="AJ133" i="4" a="1"/>
  <c r="AJ133" i="4" s="1"/>
  <c r="AJ132" i="4" a="1"/>
  <c r="AJ132" i="4" s="1"/>
  <c r="AJ131" i="4" a="1"/>
  <c r="AJ131" i="4" s="1"/>
  <c r="AJ130" i="4" a="1"/>
  <c r="AJ130" i="4" s="1"/>
  <c r="AJ129" i="4" a="1"/>
  <c r="AJ129" i="4" s="1"/>
  <c r="AJ128" i="4" a="1"/>
  <c r="AJ128" i="4" s="1"/>
  <c r="AJ127" i="4" a="1"/>
  <c r="AJ127" i="4" s="1"/>
  <c r="AJ126" i="4" a="1"/>
  <c r="AJ126" i="4" s="1"/>
  <c r="AJ125" i="4" a="1"/>
  <c r="AJ125" i="4" s="1"/>
  <c r="AJ124" i="4" a="1"/>
  <c r="AJ124" i="4" s="1"/>
  <c r="AJ123" i="4" a="1"/>
  <c r="AJ123" i="4" s="1"/>
  <c r="AJ122" i="4" a="1"/>
  <c r="AJ122" i="4" s="1"/>
  <c r="AJ121" i="4" a="1"/>
  <c r="AJ121" i="4" s="1"/>
  <c r="AJ120" i="4" a="1"/>
  <c r="AJ120" i="4" s="1"/>
  <c r="AJ119" i="4" a="1"/>
  <c r="AJ119" i="4" s="1"/>
  <c r="AJ118" i="4" a="1"/>
  <c r="AJ118" i="4" s="1"/>
  <c r="AJ117" i="4" a="1"/>
  <c r="AJ117" i="4" s="1"/>
  <c r="AJ116" i="4" a="1"/>
  <c r="AJ116" i="4" s="1"/>
  <c r="AJ115" i="4" a="1"/>
  <c r="AJ115" i="4" s="1"/>
  <c r="AJ114" i="4" a="1"/>
  <c r="AJ114" i="4" s="1"/>
  <c r="AJ113" i="4" a="1"/>
  <c r="AJ113" i="4" s="1"/>
  <c r="AJ112" i="4" a="1"/>
  <c r="AJ112" i="4" s="1"/>
  <c r="AJ111" i="4" a="1"/>
  <c r="AJ111" i="4" s="1"/>
  <c r="AJ110" i="4" a="1"/>
  <c r="AJ110" i="4" s="1"/>
  <c r="AJ109" i="4" a="1"/>
  <c r="AJ109" i="4" s="1"/>
  <c r="AJ108" i="4" a="1"/>
  <c r="AJ108" i="4" s="1"/>
  <c r="AJ107" i="4" a="1"/>
  <c r="AJ107" i="4" s="1"/>
  <c r="AJ106" i="4" a="1"/>
  <c r="AJ106" i="4" s="1"/>
  <c r="AJ105" i="4" a="1"/>
  <c r="AJ105" i="4" s="1"/>
  <c r="AJ104" i="4" a="1"/>
  <c r="AJ104" i="4" s="1"/>
  <c r="AJ103" i="4" a="1"/>
  <c r="AJ103" i="4" s="1"/>
  <c r="AJ102" i="4" a="1"/>
  <c r="AJ102" i="4" s="1"/>
  <c r="AJ101" i="4" a="1"/>
  <c r="AJ101" i="4" s="1"/>
  <c r="AJ100" i="4" a="1"/>
  <c r="AJ100" i="4" s="1"/>
  <c r="AJ99" i="4" a="1"/>
  <c r="AJ99" i="4" s="1"/>
  <c r="AJ98" i="4" a="1"/>
  <c r="AJ98" i="4" s="1"/>
  <c r="AJ97" i="4" a="1"/>
  <c r="AJ97" i="4" s="1"/>
  <c r="AJ96" i="4" a="1"/>
  <c r="AJ96" i="4" s="1"/>
  <c r="AJ95" i="4" a="1"/>
  <c r="AJ95" i="4" s="1"/>
  <c r="AJ94" i="4" a="1"/>
  <c r="AJ94" i="4" s="1"/>
  <c r="AJ93" i="4" a="1"/>
  <c r="AJ93" i="4" s="1"/>
  <c r="AJ92" i="4" a="1"/>
  <c r="AJ92" i="4" s="1"/>
  <c r="AJ91" i="4" a="1"/>
  <c r="AJ91" i="4" s="1"/>
  <c r="AJ90" i="4" a="1"/>
  <c r="AJ90" i="4" s="1"/>
  <c r="AJ89" i="4" a="1"/>
  <c r="AJ89" i="4" s="1"/>
  <c r="AJ88" i="4" a="1"/>
  <c r="AJ88" i="4" s="1"/>
  <c r="AJ87" i="4" a="1"/>
  <c r="AJ87" i="4" s="1"/>
  <c r="AJ86" i="4" a="1"/>
  <c r="AJ86" i="4" s="1"/>
  <c r="AJ85" i="4" a="1"/>
  <c r="AJ85" i="4" s="1"/>
  <c r="AJ84" i="4" a="1"/>
  <c r="AJ84" i="4" s="1"/>
  <c r="AJ83" i="4" a="1"/>
  <c r="AJ83" i="4" s="1"/>
  <c r="AJ82" i="4" a="1"/>
  <c r="AJ82" i="4" s="1"/>
  <c r="AJ81" i="4" a="1"/>
  <c r="AJ81" i="4" s="1"/>
  <c r="AJ80" i="4" a="1"/>
  <c r="AJ80" i="4" s="1"/>
  <c r="AJ79" i="4" a="1"/>
  <c r="AJ79" i="4" s="1"/>
  <c r="AJ78" i="4" a="1"/>
  <c r="AJ78" i="4" s="1"/>
  <c r="AJ77" i="4" a="1"/>
  <c r="AJ77" i="4" s="1"/>
  <c r="AJ76" i="4" a="1"/>
  <c r="AJ76" i="4" s="1"/>
  <c r="AJ75" i="4" a="1"/>
  <c r="AJ75" i="4" s="1"/>
  <c r="AJ74" i="4" a="1"/>
  <c r="AJ74" i="4" s="1"/>
  <c r="AJ73" i="4" a="1"/>
  <c r="AJ73" i="4" s="1"/>
  <c r="AJ72" i="4" a="1"/>
  <c r="AJ72" i="4" s="1"/>
  <c r="AJ71" i="4" a="1"/>
  <c r="AJ71" i="4" s="1"/>
  <c r="AJ70" i="4" a="1"/>
  <c r="AJ70" i="4" s="1"/>
  <c r="AJ69" i="4" a="1"/>
  <c r="AJ69" i="4" s="1"/>
  <c r="AJ68" i="4" a="1"/>
  <c r="AJ68" i="4" s="1"/>
  <c r="AJ67" i="4" a="1"/>
  <c r="AJ67" i="4" s="1"/>
  <c r="AJ66" i="4" a="1"/>
  <c r="AJ66" i="4" s="1"/>
  <c r="AJ65" i="4" a="1"/>
  <c r="AJ65" i="4" s="1"/>
  <c r="AJ64" i="4" a="1"/>
  <c r="AJ64" i="4" s="1"/>
  <c r="AJ63" i="4" a="1"/>
  <c r="AJ63" i="4" s="1"/>
  <c r="AJ62" i="4" a="1"/>
  <c r="AJ62" i="4" s="1"/>
  <c r="AJ61" i="4" a="1"/>
  <c r="AJ61" i="4" s="1"/>
  <c r="AJ60" i="4" a="1"/>
  <c r="AJ60" i="4" s="1"/>
  <c r="AJ59" i="4" a="1"/>
  <c r="AJ59" i="4" s="1"/>
  <c r="AJ58" i="4" a="1"/>
  <c r="AJ58" i="4" s="1"/>
  <c r="AJ57" i="4" a="1"/>
  <c r="AJ57" i="4" s="1"/>
  <c r="AJ56" i="4" a="1"/>
  <c r="AJ56" i="4" s="1"/>
  <c r="AJ55" i="4" a="1"/>
  <c r="AJ55" i="4" s="1"/>
  <c r="AJ54" i="4" a="1"/>
  <c r="AJ54" i="4" s="1"/>
  <c r="AJ53" i="4" a="1"/>
  <c r="AJ53" i="4" s="1"/>
  <c r="AJ52" i="4" a="1"/>
  <c r="AJ52" i="4" s="1"/>
  <c r="AJ51" i="4" a="1"/>
  <c r="AJ51" i="4" s="1"/>
  <c r="AJ50" i="4" a="1"/>
  <c r="AJ50" i="4" s="1"/>
  <c r="AJ49" i="4" a="1"/>
  <c r="AJ49" i="4" s="1"/>
  <c r="AJ48" i="4" a="1"/>
  <c r="AJ48" i="4" s="1"/>
  <c r="AJ47" i="4" a="1"/>
  <c r="AJ47" i="4" s="1"/>
  <c r="AJ46" i="4" a="1"/>
  <c r="AJ46" i="4" s="1"/>
  <c r="AJ45" i="4" a="1"/>
  <c r="AJ45" i="4" s="1"/>
  <c r="AJ44" i="4" a="1"/>
  <c r="AJ44" i="4" s="1"/>
  <c r="AJ43" i="4" a="1"/>
  <c r="AJ43" i="4" s="1"/>
  <c r="AJ42" i="4" a="1"/>
  <c r="AJ42" i="4" s="1"/>
  <c r="AJ41" i="4" a="1"/>
  <c r="AJ41" i="4" s="1"/>
  <c r="AJ40" i="4" a="1"/>
  <c r="AJ40" i="4" s="1"/>
  <c r="AJ39" i="4" a="1"/>
  <c r="AJ39" i="4" s="1"/>
  <c r="AJ38" i="4" a="1"/>
  <c r="AJ38" i="4" s="1"/>
  <c r="AJ37" i="4" a="1"/>
  <c r="AJ37" i="4" s="1"/>
  <c r="AJ36" i="4" a="1"/>
  <c r="AJ36" i="4" s="1"/>
  <c r="AF26" i="4" a="1"/>
  <c r="AF26" i="4" s="1"/>
  <c r="C5" i="5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B19" i="2"/>
  <c r="AF36" i="2" s="1"/>
  <c r="B8" i="4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D38" i="2" l="1"/>
  <c r="H40" i="2"/>
  <c r="F43" i="2"/>
  <c r="D46" i="2"/>
  <c r="H48" i="2"/>
  <c r="F51" i="2"/>
  <c r="D54" i="2"/>
  <c r="H56" i="2"/>
  <c r="F59" i="2"/>
  <c r="D62" i="2"/>
  <c r="H64" i="2"/>
  <c r="F38" i="2"/>
  <c r="D41" i="2"/>
  <c r="H43" i="2"/>
  <c r="F46" i="2"/>
  <c r="D49" i="2"/>
  <c r="H51" i="2"/>
  <c r="F54" i="2"/>
  <c r="D57" i="2"/>
  <c r="H59" i="2"/>
  <c r="F62" i="2"/>
  <c r="D65" i="2"/>
  <c r="H38" i="2"/>
  <c r="F41" i="2"/>
  <c r="D44" i="2"/>
  <c r="H46" i="2"/>
  <c r="F49" i="2"/>
  <c r="D52" i="2"/>
  <c r="H54" i="2"/>
  <c r="F57" i="2"/>
  <c r="D60" i="2"/>
  <c r="H62" i="2"/>
  <c r="F65" i="2"/>
  <c r="D39" i="2"/>
  <c r="H41" i="2"/>
  <c r="F44" i="2"/>
  <c r="D47" i="2"/>
  <c r="H49" i="2"/>
  <c r="F52" i="2"/>
  <c r="D55" i="2"/>
  <c r="H57" i="2"/>
  <c r="F60" i="2"/>
  <c r="D63" i="2"/>
  <c r="H65" i="2"/>
  <c r="F39" i="2"/>
  <c r="D42" i="2"/>
  <c r="H44" i="2"/>
  <c r="F47" i="2"/>
  <c r="D50" i="2"/>
  <c r="H52" i="2"/>
  <c r="F55" i="2"/>
  <c r="D58" i="2"/>
  <c r="H60" i="2"/>
  <c r="F63" i="2"/>
  <c r="D66" i="2"/>
  <c r="D37" i="2"/>
  <c r="H39" i="2"/>
  <c r="F42" i="2"/>
  <c r="D45" i="2"/>
  <c r="H47" i="2"/>
  <c r="F50" i="2"/>
  <c r="D53" i="2"/>
  <c r="H55" i="2"/>
  <c r="F58" i="2"/>
  <c r="D61" i="2"/>
  <c r="H63" i="2"/>
  <c r="F66" i="2"/>
  <c r="F37" i="2"/>
  <c r="D40" i="2"/>
  <c r="H42" i="2"/>
  <c r="F45" i="2"/>
  <c r="D48" i="2"/>
  <c r="H50" i="2"/>
  <c r="F53" i="2"/>
  <c r="D56" i="2"/>
  <c r="H58" i="2"/>
  <c r="F61" i="2"/>
  <c r="D64" i="2"/>
  <c r="H66" i="2"/>
  <c r="H37" i="2"/>
  <c r="F40" i="2"/>
  <c r="D43" i="2"/>
  <c r="H45" i="2"/>
  <c r="F48" i="2"/>
  <c r="D51" i="2"/>
  <c r="H53" i="2"/>
  <c r="F56" i="2"/>
  <c r="D59" i="2"/>
  <c r="H61" i="2"/>
  <c r="F64" i="2"/>
  <c r="H36" i="2"/>
  <c r="P36" i="2"/>
  <c r="X36" i="2"/>
  <c r="I36" i="2"/>
  <c r="Q36" i="2"/>
  <c r="Y36" i="2"/>
  <c r="J36" i="2"/>
  <c r="R36" i="2"/>
  <c r="Z36" i="2"/>
  <c r="C36" i="2"/>
  <c r="K36" i="2"/>
  <c r="S36" i="2"/>
  <c r="AA36" i="2"/>
  <c r="D36" i="2"/>
  <c r="L36" i="2"/>
  <c r="T36" i="2"/>
  <c r="AB36" i="2"/>
  <c r="E36" i="2"/>
  <c r="M36" i="2"/>
  <c r="U36" i="2"/>
  <c r="AC36" i="2"/>
  <c r="F36" i="2"/>
  <c r="N36" i="2"/>
  <c r="V36" i="2"/>
  <c r="AD36" i="2"/>
  <c r="G36" i="2"/>
  <c r="O36" i="2"/>
  <c r="W36" i="2"/>
  <c r="AE36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C32" i="2" l="1"/>
  <c r="D32" i="2" s="1"/>
  <c r="E32" i="2" s="1"/>
  <c r="F32" i="2" s="1"/>
  <c r="G32" i="2" s="1"/>
  <c r="H32" i="2" s="1"/>
  <c r="I32" i="2" s="1"/>
  <c r="J32" i="2" s="1"/>
  <c r="K32" i="2" s="1"/>
  <c r="L32" i="2" s="1"/>
  <c r="M32" i="2" s="1"/>
  <c r="N32" i="2" s="1"/>
  <c r="O32" i="2" s="1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C29" i="2"/>
  <c r="C34" i="2"/>
  <c r="C26" i="2"/>
  <c r="C33" i="2"/>
  <c r="C31" i="2"/>
  <c r="D31" i="2" s="1"/>
  <c r="E31" i="2" s="1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P31" i="2" s="1"/>
  <c r="Q31" i="2" s="1"/>
  <c r="R31" i="2" s="1"/>
  <c r="S31" i="2" s="1"/>
  <c r="T31" i="2" s="1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C30" i="2"/>
  <c r="D30" i="2" s="1"/>
  <c r="E30" i="2" s="1"/>
  <c r="F30" i="2" s="1"/>
  <c r="G30" i="2" s="1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C28" i="2"/>
  <c r="C27" i="2"/>
  <c r="C25" i="2"/>
  <c r="D25" i="2" s="1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O25" i="2" s="1"/>
  <c r="P25" i="2" s="1"/>
  <c r="Q25" i="2" s="1"/>
  <c r="R25" i="2" s="1"/>
  <c r="S25" i="2" s="1"/>
  <c r="T25" i="2" s="1"/>
  <c r="U25" i="2" s="1"/>
  <c r="V25" i="2" s="1"/>
  <c r="W25" i="2" s="1"/>
  <c r="X25" i="2" s="1"/>
  <c r="Y25" i="2" s="1"/>
  <c r="Z25" i="2" s="1"/>
  <c r="AA25" i="2" s="1"/>
  <c r="AB25" i="2" s="1"/>
  <c r="AC25" i="2" s="1"/>
  <c r="AD25" i="2" s="1"/>
  <c r="AE25" i="2" s="1"/>
  <c r="AF25" i="2" s="1"/>
  <c r="C24" i="2"/>
  <c r="D24" i="2" l="1"/>
  <c r="C23" i="2"/>
  <c r="D33" i="2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D29" i="2"/>
  <c r="E29" i="2" s="1"/>
  <c r="F29" i="2" s="1"/>
  <c r="G29" i="2" s="1"/>
  <c r="H29" i="2" s="1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B12" i="2" a="1"/>
  <c r="B12" i="2" s="1"/>
  <c r="E24" i="2" l="1"/>
  <c r="D23" i="2"/>
  <c r="D27" i="2"/>
  <c r="E27" i="2" s="1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P27" i="2" s="1"/>
  <c r="Q27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O26" i="2" s="1"/>
  <c r="P26" i="2" s="1"/>
  <c r="Q26" i="2" s="1"/>
  <c r="D28" i="2"/>
  <c r="E28" i="2" s="1"/>
  <c r="F28" i="2" s="1"/>
  <c r="G28" i="2" s="1"/>
  <c r="H28" i="2" s="1"/>
  <c r="I28" i="2" s="1"/>
  <c r="J28" i="2" s="1"/>
  <c r="K28" i="2" s="1"/>
  <c r="L28" i="2" s="1"/>
  <c r="M28" i="2" s="1"/>
  <c r="N28" i="2" s="1"/>
  <c r="O28" i="2" s="1"/>
  <c r="P28" i="2" s="1"/>
  <c r="Q28" i="2" s="1"/>
  <c r="F24" i="2" l="1"/>
  <c r="E23" i="2"/>
  <c r="R26" i="2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R27" i="2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R28" i="2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G24" i="2" l="1"/>
  <c r="F23" i="2"/>
  <c r="B15" i="2" a="1"/>
  <c r="B15" i="2" s="1"/>
  <c r="B14" i="2" a="1"/>
  <c r="B14" i="2" s="1"/>
  <c r="B13" i="2" a="1"/>
  <c r="B13" i="2" s="1"/>
  <c r="H24" i="2" l="1"/>
  <c r="G23" i="2"/>
  <c r="I24" i="2" l="1"/>
  <c r="H23" i="2"/>
  <c r="J24" i="2" l="1"/>
  <c r="I23" i="2"/>
  <c r="K24" i="2" l="1"/>
  <c r="J23" i="2"/>
  <c r="L24" i="2" l="1"/>
  <c r="K23" i="2"/>
  <c r="M24" i="2" l="1"/>
  <c r="L23" i="2"/>
  <c r="N24" i="2" l="1"/>
  <c r="M23" i="2"/>
  <c r="O24" i="2" l="1"/>
  <c r="N23" i="2"/>
  <c r="P24" i="2" l="1"/>
  <c r="O23" i="2"/>
  <c r="Q24" i="2" l="1"/>
  <c r="P23" i="2"/>
  <c r="R24" i="2" l="1"/>
  <c r="Q23" i="2"/>
  <c r="S24" i="2" l="1"/>
  <c r="R23" i="2"/>
  <c r="T24" i="2" l="1"/>
  <c r="S23" i="2"/>
  <c r="U24" i="2" l="1"/>
  <c r="T23" i="2"/>
  <c r="V24" i="2" l="1"/>
  <c r="U23" i="2"/>
  <c r="W24" i="2" l="1"/>
  <c r="V23" i="2"/>
  <c r="X24" i="2" l="1"/>
  <c r="W23" i="2"/>
  <c r="Y24" i="2" l="1"/>
  <c r="X23" i="2"/>
  <c r="Z24" i="2" l="1"/>
  <c r="Y23" i="2"/>
  <c r="AA24" i="2" l="1"/>
  <c r="Z23" i="2"/>
  <c r="AB24" i="2" l="1"/>
  <c r="AA23" i="2"/>
  <c r="AC24" i="2" l="1"/>
  <c r="AB23" i="2"/>
  <c r="AD24" i="2" l="1"/>
  <c r="AC23" i="2"/>
  <c r="AE24" i="2" l="1"/>
  <c r="AD23" i="2"/>
  <c r="AF24" i="2" l="1"/>
  <c r="AE23" i="2"/>
  <c r="AF23" i="2" l="1"/>
  <c r="B11" i="2" a="1"/>
  <c r="B11" i="2" s="1"/>
  <c r="B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<sst xmlns="http://schemas.openxmlformats.org/spreadsheetml/2006/main" count="160" uniqueCount="129">
  <si>
    <t>RSuaveDerivH</t>
  </si>
  <si>
    <t>Número minimo de ciclos para calcular CA</t>
  </si>
  <si>
    <t>Intervalo de calculo de CA e CC</t>
  </si>
  <si>
    <t>sumx</t>
  </si>
  <si>
    <t>sumx2</t>
  </si>
  <si>
    <t>sumy</t>
  </si>
  <si>
    <t>sumy2</t>
  </si>
  <si>
    <t>sumxy</t>
  </si>
  <si>
    <t>i</t>
  </si>
  <si>
    <t>k</t>
  </si>
  <si>
    <t>NCicCoefAngDeriv</t>
  </si>
  <si>
    <t>MinNCicCADeriv</t>
  </si>
  <si>
    <t>IntervCalcCADeriv</t>
  </si>
  <si>
    <t>CCont</t>
  </si>
  <si>
    <t>Número de ciclos para calculo de coeficiente angular da derivada</t>
  </si>
  <si>
    <t>Cuba</t>
  </si>
  <si>
    <t>Data</t>
  </si>
  <si>
    <t>Hora</t>
  </si>
  <si>
    <t>Rsuave [MiOhm]</t>
  </si>
  <si>
    <t>RSuaveDeriv [MiOhm/h]</t>
  </si>
  <si>
    <t>RSuaveDerivH [MiOhm/h]</t>
  </si>
  <si>
    <t>Possível Início de Quebrada</t>
  </si>
  <si>
    <t>Sinalização de Quebrada</t>
  </si>
  <si>
    <t>Fim de Quebrada</t>
  </si>
  <si>
    <t>IniPrevEa</t>
  </si>
  <si>
    <t>Ciclos de Controle</t>
  </si>
  <si>
    <t>RSuave Ini -  RSuave Fim</t>
  </si>
  <si>
    <t>RSuaveDeriv Ini -  RSuaveDeriv Fim</t>
  </si>
  <si>
    <t>Rsuave [MiOhm] = RCicContlBruta</t>
  </si>
  <si>
    <t>RSuaveDeriv [MiOhms/h] = ((RCicContlBruta - RCicContlBrutaAnt)/IntervCicCont)*60;</t>
  </si>
  <si>
    <t>RSuaveDerivH [MiOhms/h] = KSuaveDeriv*RSuaveDerivH + (1-KSuaveDeriv)*RSuaveDerivH</t>
  </si>
  <si>
    <t>SizeOf(HistRSuave)</t>
  </si>
  <si>
    <t>Quantidade de elementos no buffer da variável</t>
  </si>
  <si>
    <t>Número do ciclo de controle em que se está analisando o Coeficiente Angular</t>
  </si>
  <si>
    <t>Coeficiente Angular Resultante pelo Método do Mínimos Quadrados (Melhor Inclincação da Reta)</t>
  </si>
  <si>
    <t>CoefAng</t>
  </si>
  <si>
    <t>Rsuave</t>
  </si>
  <si>
    <t>RSuaveDeriv</t>
  </si>
  <si>
    <t>sumy (RSuave)</t>
  </si>
  <si>
    <t>sumy2 (RSuave)</t>
  </si>
  <si>
    <t>sumxy (RSuave)</t>
  </si>
  <si>
    <t>sumy (RSuaveDeriv)</t>
  </si>
  <si>
    <t>sumy2 (RSuaveDeriv)</t>
  </si>
  <si>
    <t>sumxy (RSuaveDeriv)</t>
  </si>
  <si>
    <t>sumy (RSuaveDerivH)</t>
  </si>
  <si>
    <t>sumy2 (RSuaveDerivH)</t>
  </si>
  <si>
    <t>sumxy (RSuaveDerivH)</t>
  </si>
  <si>
    <t>Coluna1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</si>
  <si>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</si>
  <si>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</si>
  <si>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</si>
  <si>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</si>
  <si>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</si>
  <si>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</si>
  <si>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</si>
  <si>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</si>
  <si>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</si>
  <si>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</si>
  <si>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</si>
  <si>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</si>
  <si>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</si>
  <si>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</si>
  <si>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</si>
  <si>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</si>
  <si>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</si>
  <si>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</si>
  <si>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</si>
  <si>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</si>
  <si>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</si>
  <si>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</si>
  <si>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</si>
  <si>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</si>
  <si>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</si>
  <si>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</si>
  <si>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</si>
  <si>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</si>
  <si>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</si>
  <si>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</si>
  <si>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SizeOfBuffer</t>
  </si>
  <si>
    <t/>
  </si>
  <si>
    <t>Ciclo de Controle</t>
  </si>
  <si>
    <t>CoefAngDerivH</t>
  </si>
  <si>
    <t>Queb -&gt;</t>
  </si>
  <si>
    <t>Tempo de Queda de RSuaveDerivH:</t>
  </si>
  <si>
    <t>TEfeitoQueb</t>
  </si>
  <si>
    <t>Movimentação Inibida RSuaveDerivH</t>
  </si>
  <si>
    <t>Movimentação Liberada RSuaveDerivH</t>
  </si>
  <si>
    <t>Possível quebrada ?</t>
  </si>
  <si>
    <t>Possível Fim de Quebrada</t>
  </si>
  <si>
    <t>ChaveLocal - Subida Manual Anodo</t>
  </si>
  <si>
    <t>IniQPrev</t>
  </si>
  <si>
    <t>Subida Manual de Anodo</t>
  </si>
  <si>
    <t>FimPrevEa</t>
  </si>
  <si>
    <t>Quebrada Programada</t>
  </si>
  <si>
    <t>CoefAng (15), m, RSuaveDerivH</t>
  </si>
  <si>
    <t>CoefAng (15), b, RSuaveDerivH</t>
  </si>
  <si>
    <t>CoefAng (20), m, RSuaveDerivH</t>
  </si>
  <si>
    <t>CoefAng (20), b, RSuaveDerivH</t>
  </si>
  <si>
    <t>CoefAng (25), m, RSuaveDerivH</t>
  </si>
  <si>
    <t>CoefAng (25), b, RSuaveDerivH</t>
  </si>
  <si>
    <t>CoefAng (30), m, RSuaveDerivH</t>
  </si>
  <si>
    <t>CoefAng (30), b, RSuaveDerivH</t>
  </si>
  <si>
    <t>CoefAng (15), m, RSuaveDeriv</t>
  </si>
  <si>
    <t>CoefAng (15), b, RSuaveDeriv</t>
  </si>
  <si>
    <t>CoefAng (20), m, RSuaveDeriv</t>
  </si>
  <si>
    <t>CoefAng (20), b, RSuaveDeriv</t>
  </si>
  <si>
    <t>CoefAng (25), m, RSuaveDeriv</t>
  </si>
  <si>
    <t>CoefAng (25), b, RSuaveDeriv</t>
  </si>
  <si>
    <t>CoefAng (30), m, RSuaveDeriv</t>
  </si>
  <si>
    <t>CoefAng (30), b, RSuaveDeriv</t>
  </si>
  <si>
    <t>CoefAng (15), m, RSuave</t>
  </si>
  <si>
    <t>CoefAng (15), b, RSuave</t>
  </si>
  <si>
    <t>CoefAng (20), m, RSuave</t>
  </si>
  <si>
    <t>CoefAng (20), b, RSuave</t>
  </si>
  <si>
    <t>CoefAng (25), m, RSuave</t>
  </si>
  <si>
    <t>CoefAng (25), b, RSuave</t>
  </si>
  <si>
    <t>CoefAng (30), m, RSuave</t>
  </si>
  <si>
    <t>CoefAng (30), b, RSuave</t>
  </si>
  <si>
    <t>CoefAng (10), m, RSuaveDeriv</t>
  </si>
  <si>
    <t>CoefAng (10), m, RSuaveDerivH</t>
  </si>
  <si>
    <t>CoefAng (10), m, RSuave</t>
  </si>
  <si>
    <t>CoefAng (10), b, RSuave</t>
  </si>
  <si>
    <t>CoefAng (10), b, RSuaveDeriv</t>
  </si>
  <si>
    <t>CoefAng (10), b, RSuaveDerivH</t>
  </si>
  <si>
    <t>Log Cuba</t>
  </si>
  <si>
    <t>RsuaveDeriv</t>
  </si>
  <si>
    <t>RsuaveDerivH</t>
  </si>
  <si>
    <t>sumx*sumx</t>
  </si>
  <si>
    <t>sumx * sumx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</si>
</sst>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x[&quot;0&quot;]&quot;"/>
    <numFmt numFmtId="165" formatCode="&quot;HistDerivH[&quot;0&quot;]&quot;"/>
    <numFmt numFmtId="166" formatCode="0.000\ &quot;MiOhms&quot;"/>
    <numFmt numFmtId="167" formatCode="0.000\ &quot;MiOhms/h&quot;"/>
    <numFmt numFmtId="168" formatCode="&quot;HistRSuave[&quot;0&quot;]&quot;"/>
    <numFmt numFmtId="169" formatCode="0.000"/>
    <numFmt numFmtId="170" formatCode="&quot;HistRSuaveDeriv[&quot;0&quot;]&quot;"/>
    <numFmt numFmtId="171" formatCode="&quot;HistRSuaveDerivH[&quot;0&quot;]&quot;"/>
  </numFmts>
  <fonts count="14" x14ac:knownFonts="1">
    <font>
      <sz val="11"/>
      <color theme="1"/>
      <name val="Calibri"/>
      <family val="2"/>
      <scheme val="minor"/>
    </font>
    <font>
      <sz val="12"/>
      <color rgb="FFD4D4D4"/>
      <name val="Consolas"/>
      <family val="3"/>
    </font>
    <font>
      <sz val="12"/>
      <color rgb="FF6A9955"/>
      <name val="Consolas"/>
      <family val="3"/>
    </font>
    <font>
      <sz val="24"/>
      <color rgb="FF9CDCFE"/>
      <name val="Consolas"/>
      <family val="3"/>
    </font>
    <font>
      <sz val="24"/>
      <color theme="1"/>
      <name val="Calibri"/>
      <family val="2"/>
      <scheme val="minor"/>
    </font>
    <font>
      <sz val="24"/>
      <color rgb="FFD4D4D4"/>
      <name val="Consolas"/>
      <family val="3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theme="0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165" fontId="4" fillId="0" borderId="0" xfId="0" applyNumberFormat="1" applyFont="1"/>
    <xf numFmtId="0" fontId="3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0" fillId="3" borderId="0" xfId="0" applyFill="1"/>
    <xf numFmtId="0" fontId="8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1" fontId="0" fillId="4" borderId="1" xfId="0" applyNumberFormat="1" applyFill="1" applyBorder="1" applyAlignment="1">
      <alignment horizontal="center"/>
    </xf>
    <xf numFmtId="0" fontId="0" fillId="4" borderId="0" xfId="0" applyFill="1"/>
    <xf numFmtId="2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0" fillId="4" borderId="0" xfId="0" applyFont="1" applyFill="1"/>
    <xf numFmtId="168" fontId="0" fillId="0" borderId="0" xfId="0" applyNumberFormat="1"/>
    <xf numFmtId="0" fontId="3" fillId="6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170" fontId="0" fillId="0" borderId="0" xfId="0" applyNumberFormat="1"/>
    <xf numFmtId="171" fontId="0" fillId="0" borderId="0" xfId="0" applyNumberFormat="1"/>
    <xf numFmtId="0" fontId="7" fillId="7" borderId="0" xfId="0" applyFont="1" applyFill="1" applyAlignment="1">
      <alignment horizontal="right"/>
    </xf>
    <xf numFmtId="0" fontId="0" fillId="7" borderId="0" xfId="0" applyFill="1"/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11" fillId="0" borderId="3" xfId="0" applyFont="1" applyBorder="1" applyAlignment="1">
      <alignment horizontal="center"/>
    </xf>
    <xf numFmtId="0" fontId="7" fillId="7" borderId="0" xfId="0" applyFont="1" applyFill="1" applyAlignment="1">
      <alignment vertical="center" textRotation="90"/>
    </xf>
    <xf numFmtId="169" fontId="4" fillId="0" borderId="0" xfId="0" applyNumberFormat="1" applyFont="1" applyAlignment="1">
      <alignment horizontal="center"/>
    </xf>
    <xf numFmtId="2" fontId="0" fillId="3" borderId="1" xfId="0" applyNumberFormat="1" applyFill="1" applyBorder="1" applyAlignment="1">
      <alignment horizontal="center"/>
    </xf>
    <xf numFmtId="169" fontId="0" fillId="3" borderId="1" xfId="0" applyNumberFormat="1" applyFill="1" applyBorder="1" applyAlignment="1">
      <alignment horizontal="center"/>
    </xf>
    <xf numFmtId="0" fontId="7" fillId="7" borderId="0" xfId="0" applyFont="1" applyFill="1" applyAlignment="1">
      <alignment vertical="center"/>
    </xf>
    <xf numFmtId="0" fontId="7" fillId="2" borderId="4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7" borderId="0" xfId="0" applyFont="1" applyFill="1"/>
    <xf numFmtId="0" fontId="9" fillId="7" borderId="0" xfId="0" applyFont="1" applyFill="1" applyAlignment="1">
      <alignment horizontal="center"/>
    </xf>
    <xf numFmtId="0" fontId="9" fillId="0" borderId="5" xfId="0" applyFont="1" applyFill="1" applyBorder="1" applyAlignment="1">
      <alignment vertical="center"/>
    </xf>
    <xf numFmtId="0" fontId="7" fillId="9" borderId="4" xfId="0" applyFont="1" applyFill="1" applyBorder="1" applyAlignment="1">
      <alignment horizontal="center"/>
    </xf>
    <xf numFmtId="2" fontId="9" fillId="8" borderId="1" xfId="0" applyNumberFormat="1" applyFont="1" applyFill="1" applyBorder="1" applyAlignment="1">
      <alignment horizontal="center"/>
    </xf>
    <xf numFmtId="2" fontId="9" fillId="2" borderId="1" xfId="0" applyNumberFormat="1" applyFont="1" applyFill="1" applyBorder="1" applyAlignment="1">
      <alignment horizontal="center"/>
    </xf>
    <xf numFmtId="2" fontId="9" fillId="7" borderId="1" xfId="0" applyNumberFormat="1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2" fontId="9" fillId="10" borderId="1" xfId="0" applyNumberFormat="1" applyFont="1" applyFill="1" applyBorder="1" applyAlignment="1">
      <alignment horizontal="center"/>
    </xf>
    <xf numFmtId="2" fontId="9" fillId="5" borderId="1" xfId="0" applyNumberFormat="1" applyFont="1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9" fillId="7" borderId="1" xfId="0" applyFon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/>
    </xf>
    <xf numFmtId="0" fontId="0" fillId="0" borderId="0" xfId="0" applyFill="1"/>
    <xf numFmtId="169" fontId="0" fillId="3" borderId="0" xfId="0" applyNumberFormat="1" applyFill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8" borderId="0" xfId="0" applyFill="1"/>
    <xf numFmtId="0" fontId="7" fillId="8" borderId="8" xfId="0" applyFont="1" applyFill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7" fillId="2" borderId="0" xfId="0" applyFont="1" applyFill="1" applyAlignment="1">
      <alignment horizontal="center"/>
    </xf>
    <xf numFmtId="2" fontId="0" fillId="9" borderId="1" xfId="0" applyNumberFormat="1" applyFill="1" applyBorder="1" applyAlignment="1">
      <alignment horizontal="center"/>
    </xf>
    <xf numFmtId="21" fontId="0" fillId="4" borderId="6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2" fontId="12" fillId="3" borderId="2" xfId="0" applyNumberFormat="1" applyFon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3" borderId="14" xfId="0" applyNumberFormat="1" applyFill="1" applyBorder="1" applyAlignment="1">
      <alignment horizontal="center"/>
    </xf>
    <xf numFmtId="2" fontId="0" fillId="3" borderId="15" xfId="0" applyNumberFormat="1" applyFill="1" applyBorder="1" applyAlignment="1">
      <alignment horizontal="center"/>
    </xf>
    <xf numFmtId="2" fontId="0" fillId="3" borderId="16" xfId="0" applyNumberFormat="1" applyFill="1" applyBorder="1" applyAlignment="1">
      <alignment horizontal="center"/>
    </xf>
    <xf numFmtId="2" fontId="0" fillId="3" borderId="17" xfId="0" applyNumberFormat="1" applyFill="1" applyBorder="1" applyAlignment="1">
      <alignment horizontal="center"/>
    </xf>
    <xf numFmtId="2" fontId="0" fillId="3" borderId="18" xfId="0" applyNumberFormat="1" applyFill="1" applyBorder="1" applyAlignment="1">
      <alignment horizontal="center"/>
    </xf>
    <xf numFmtId="2" fontId="0" fillId="3" borderId="19" xfId="0" applyNumberFormat="1" applyFill="1" applyBorder="1" applyAlignment="1">
      <alignment horizontal="center"/>
    </xf>
    <xf numFmtId="0" fontId="9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13" fillId="7" borderId="0" xfId="0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22" fmlaLink="$B$19" max="30" min="2" page="10" val="10"/>
</file>

<file path=xl/ctrlProps/ctrlProp2.xml><?xml version="1.0" encoding="utf-8"?>
<formControlPr xmlns="http://schemas.microsoft.com/office/spreadsheetml/2009/9/main" objectType="Spin" dx="22" fmlaLink="$B$22" max="30" min="2" page="10" val="10"/>
</file>

<file path=xl/ctrlProps/ctrlProp3.xml><?xml version="1.0" encoding="utf-8"?>
<formControlPr xmlns="http://schemas.microsoft.com/office/spreadsheetml/2009/9/main" objectType="Spin" dx="22" fmlaLink="$B$17" max="700" min="30" page="10" val="161"/>
</file>

<file path=xl/ctrlProps/ctrlProp4.xml><?xml version="1.0" encoding="utf-8"?>
<formControlPr xmlns="http://schemas.microsoft.com/office/spreadsheetml/2009/9/main" objectType="List" dx="22" fmlaLink="$A$1" fmlaRange="$A$2:$A$4" sel="3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pn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11" Type="http://schemas.openxmlformats.org/officeDocument/2006/relationships/image" Target="../media/image36.png"/><Relationship Id="rId5" Type="http://schemas.openxmlformats.org/officeDocument/2006/relationships/image" Target="../media/image30.png"/><Relationship Id="rId15" Type="http://schemas.openxmlformats.org/officeDocument/2006/relationships/image" Target="../media/image40.pn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Relationship Id="rId14" Type="http://schemas.openxmlformats.org/officeDocument/2006/relationships/image" Target="../media/image3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3" Type="http://schemas.openxmlformats.org/officeDocument/2006/relationships/image" Target="../media/image23.emf"/><Relationship Id="rId21" Type="http://schemas.openxmlformats.org/officeDocument/2006/relationships/image" Target="../media/image5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1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6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23" Type="http://schemas.openxmlformats.org/officeDocument/2006/relationships/image" Target="../media/image3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171450</xdr:rowOff>
        </xdr:from>
        <xdr:to>
          <xdr:col>0</xdr:col>
          <xdr:colOff>885825</xdr:colOff>
          <xdr:row>1</xdr:row>
          <xdr:rowOff>161925</xdr:rowOff>
        </xdr:to>
        <xdr:sp macro="" textlink="">
          <xdr:nvSpPr>
            <xdr:cNvPr id="6152" name="CheckBox1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133350</xdr:rowOff>
        </xdr:from>
        <xdr:to>
          <xdr:col>0</xdr:col>
          <xdr:colOff>876300</xdr:colOff>
          <xdr:row>2</xdr:row>
          <xdr:rowOff>123825</xdr:rowOff>
        </xdr:to>
        <xdr:sp macro="" textlink="">
          <xdr:nvSpPr>
            <xdr:cNvPr id="6153" name="CheckBox2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95250</xdr:rowOff>
        </xdr:from>
        <xdr:to>
          <xdr:col>0</xdr:col>
          <xdr:colOff>876300</xdr:colOff>
          <xdr:row>3</xdr:row>
          <xdr:rowOff>85725</xdr:rowOff>
        </xdr:to>
        <xdr:sp macro="" textlink="">
          <xdr:nvSpPr>
            <xdr:cNvPr id="6154" name="CheckBox3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57150</xdr:rowOff>
        </xdr:from>
        <xdr:to>
          <xdr:col>0</xdr:col>
          <xdr:colOff>876300</xdr:colOff>
          <xdr:row>4</xdr:row>
          <xdr:rowOff>47625</xdr:rowOff>
        </xdr:to>
        <xdr:sp macro="" textlink="">
          <xdr:nvSpPr>
            <xdr:cNvPr id="6155" name="CheckBox4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</xdr:row>
          <xdr:rowOff>9525</xdr:rowOff>
        </xdr:from>
        <xdr:to>
          <xdr:col>0</xdr:col>
          <xdr:colOff>876300</xdr:colOff>
          <xdr:row>5</xdr:row>
          <xdr:rowOff>0</xdr:rowOff>
        </xdr:to>
        <xdr:sp macro="" textlink="">
          <xdr:nvSpPr>
            <xdr:cNvPr id="6156" name="CheckBox5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</xdr:row>
          <xdr:rowOff>161925</xdr:rowOff>
        </xdr:from>
        <xdr:to>
          <xdr:col>0</xdr:col>
          <xdr:colOff>876300</xdr:colOff>
          <xdr:row>5</xdr:row>
          <xdr:rowOff>152400</xdr:rowOff>
        </xdr:to>
        <xdr:sp macro="" textlink="">
          <xdr:nvSpPr>
            <xdr:cNvPr id="6157" name="CheckBox6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123825</xdr:rowOff>
        </xdr:from>
        <xdr:to>
          <xdr:col>0</xdr:col>
          <xdr:colOff>942975</xdr:colOff>
          <xdr:row>6</xdr:row>
          <xdr:rowOff>114300</xdr:rowOff>
        </xdr:to>
        <xdr:sp macro="" textlink="">
          <xdr:nvSpPr>
            <xdr:cNvPr id="6158" name="CheckBox7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180975</xdr:rowOff>
        </xdr:from>
        <xdr:to>
          <xdr:col>1</xdr:col>
          <xdr:colOff>981075</xdr:colOff>
          <xdr:row>1</xdr:row>
          <xdr:rowOff>171450</xdr:rowOff>
        </xdr:to>
        <xdr:sp macro="" textlink="">
          <xdr:nvSpPr>
            <xdr:cNvPr id="6159" name="CheckBox8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142875</xdr:rowOff>
        </xdr:from>
        <xdr:to>
          <xdr:col>1</xdr:col>
          <xdr:colOff>914400</xdr:colOff>
          <xdr:row>2</xdr:row>
          <xdr:rowOff>133350</xdr:rowOff>
        </xdr:to>
        <xdr:sp macro="" textlink="">
          <xdr:nvSpPr>
            <xdr:cNvPr id="6160" name="CheckBox9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</xdr:row>
          <xdr:rowOff>104775</xdr:rowOff>
        </xdr:from>
        <xdr:to>
          <xdr:col>1</xdr:col>
          <xdr:colOff>914400</xdr:colOff>
          <xdr:row>3</xdr:row>
          <xdr:rowOff>95250</xdr:rowOff>
        </xdr:to>
        <xdr:sp macro="" textlink="">
          <xdr:nvSpPr>
            <xdr:cNvPr id="6161" name="CheckBox10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66675</xdr:rowOff>
        </xdr:from>
        <xdr:to>
          <xdr:col>1</xdr:col>
          <xdr:colOff>914400</xdr:colOff>
          <xdr:row>4</xdr:row>
          <xdr:rowOff>57150</xdr:rowOff>
        </xdr:to>
        <xdr:sp macro="" textlink="">
          <xdr:nvSpPr>
            <xdr:cNvPr id="6162" name="CheckBox11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19050</xdr:rowOff>
        </xdr:from>
        <xdr:to>
          <xdr:col>1</xdr:col>
          <xdr:colOff>914400</xdr:colOff>
          <xdr:row>5</xdr:row>
          <xdr:rowOff>9525</xdr:rowOff>
        </xdr:to>
        <xdr:sp macro="" textlink="">
          <xdr:nvSpPr>
            <xdr:cNvPr id="6163" name="CheckBox12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161925</xdr:rowOff>
        </xdr:from>
        <xdr:to>
          <xdr:col>1</xdr:col>
          <xdr:colOff>914400</xdr:colOff>
          <xdr:row>5</xdr:row>
          <xdr:rowOff>152400</xdr:rowOff>
        </xdr:to>
        <xdr:sp macro="" textlink="">
          <xdr:nvSpPr>
            <xdr:cNvPr id="6164" name="CheckBox13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180975</xdr:rowOff>
        </xdr:from>
        <xdr:to>
          <xdr:col>2</xdr:col>
          <xdr:colOff>942975</xdr:colOff>
          <xdr:row>1</xdr:row>
          <xdr:rowOff>171450</xdr:rowOff>
        </xdr:to>
        <xdr:sp macro="" textlink="">
          <xdr:nvSpPr>
            <xdr:cNvPr id="6165" name="CheckBox14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142875</xdr:rowOff>
        </xdr:from>
        <xdr:to>
          <xdr:col>2</xdr:col>
          <xdr:colOff>876300</xdr:colOff>
          <xdr:row>2</xdr:row>
          <xdr:rowOff>133350</xdr:rowOff>
        </xdr:to>
        <xdr:sp macro="" textlink="">
          <xdr:nvSpPr>
            <xdr:cNvPr id="6166" name="CheckBox15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104775</xdr:rowOff>
        </xdr:from>
        <xdr:to>
          <xdr:col>2</xdr:col>
          <xdr:colOff>876300</xdr:colOff>
          <xdr:row>3</xdr:row>
          <xdr:rowOff>95250</xdr:rowOff>
        </xdr:to>
        <xdr:sp macro="" textlink="">
          <xdr:nvSpPr>
            <xdr:cNvPr id="6167" name="CheckBox16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66675</xdr:rowOff>
        </xdr:from>
        <xdr:to>
          <xdr:col>2</xdr:col>
          <xdr:colOff>876300</xdr:colOff>
          <xdr:row>4</xdr:row>
          <xdr:rowOff>57150</xdr:rowOff>
        </xdr:to>
        <xdr:sp macro="" textlink="">
          <xdr:nvSpPr>
            <xdr:cNvPr id="6168" name="CheckBox17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19050</xdr:rowOff>
        </xdr:from>
        <xdr:to>
          <xdr:col>2</xdr:col>
          <xdr:colOff>876300</xdr:colOff>
          <xdr:row>5</xdr:row>
          <xdr:rowOff>9525</xdr:rowOff>
        </xdr:to>
        <xdr:sp macro="" textlink="">
          <xdr:nvSpPr>
            <xdr:cNvPr id="6169" name="CheckBox18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161925</xdr:rowOff>
        </xdr:from>
        <xdr:to>
          <xdr:col>2</xdr:col>
          <xdr:colOff>876300</xdr:colOff>
          <xdr:row>5</xdr:row>
          <xdr:rowOff>152400</xdr:rowOff>
        </xdr:to>
        <xdr:sp macro="" textlink="">
          <xdr:nvSpPr>
            <xdr:cNvPr id="6170" name="CheckBox19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180975</xdr:rowOff>
        </xdr:from>
        <xdr:to>
          <xdr:col>3</xdr:col>
          <xdr:colOff>942975</xdr:colOff>
          <xdr:row>1</xdr:row>
          <xdr:rowOff>171450</xdr:rowOff>
        </xdr:to>
        <xdr:sp macro="" textlink="">
          <xdr:nvSpPr>
            <xdr:cNvPr id="6171" name="CheckBox20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142875</xdr:rowOff>
        </xdr:from>
        <xdr:to>
          <xdr:col>3</xdr:col>
          <xdr:colOff>876300</xdr:colOff>
          <xdr:row>2</xdr:row>
          <xdr:rowOff>133350</xdr:rowOff>
        </xdr:to>
        <xdr:sp macro="" textlink="">
          <xdr:nvSpPr>
            <xdr:cNvPr id="6172" name="CheckBox21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</xdr:row>
          <xdr:rowOff>104775</xdr:rowOff>
        </xdr:from>
        <xdr:to>
          <xdr:col>3</xdr:col>
          <xdr:colOff>876300</xdr:colOff>
          <xdr:row>3</xdr:row>
          <xdr:rowOff>95250</xdr:rowOff>
        </xdr:to>
        <xdr:sp macro="" textlink="">
          <xdr:nvSpPr>
            <xdr:cNvPr id="6173" name="CheckBox22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66675</xdr:rowOff>
        </xdr:from>
        <xdr:to>
          <xdr:col>3</xdr:col>
          <xdr:colOff>876300</xdr:colOff>
          <xdr:row>4</xdr:row>
          <xdr:rowOff>57150</xdr:rowOff>
        </xdr:to>
        <xdr:sp macro="" textlink="">
          <xdr:nvSpPr>
            <xdr:cNvPr id="6174" name="CheckBox23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19050</xdr:rowOff>
        </xdr:from>
        <xdr:to>
          <xdr:col>3</xdr:col>
          <xdr:colOff>876300</xdr:colOff>
          <xdr:row>5</xdr:row>
          <xdr:rowOff>9525</xdr:rowOff>
        </xdr:to>
        <xdr:sp macro="" textlink="">
          <xdr:nvSpPr>
            <xdr:cNvPr id="6175" name="CheckBox24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161925</xdr:rowOff>
        </xdr:from>
        <xdr:to>
          <xdr:col>3</xdr:col>
          <xdr:colOff>876300</xdr:colOff>
          <xdr:row>5</xdr:row>
          <xdr:rowOff>152400</xdr:rowOff>
        </xdr:to>
        <xdr:sp macro="" textlink="">
          <xdr:nvSpPr>
            <xdr:cNvPr id="6176" name="CheckBox25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11913</xdr:colOff>
      <xdr:row>159</xdr:row>
      <xdr:rowOff>130966</xdr:rowOff>
    </xdr:from>
    <xdr:to>
      <xdr:col>45</xdr:col>
      <xdr:colOff>73154</xdr:colOff>
      <xdr:row>168</xdr:row>
      <xdr:rowOff>16466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82" y="2000247"/>
          <a:ext cx="5371429" cy="160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11907</xdr:colOff>
      <xdr:row>256</xdr:row>
      <xdr:rowOff>59532</xdr:rowOff>
    </xdr:from>
    <xdr:to>
      <xdr:col>45</xdr:col>
      <xdr:colOff>82671</xdr:colOff>
      <xdr:row>264</xdr:row>
      <xdr:rowOff>116484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87876" y="48601313"/>
          <a:ext cx="5380952" cy="1580952"/>
        </a:xfrm>
        <a:prstGeom prst="rect">
          <a:avLst/>
        </a:prstGeom>
      </xdr:spPr>
    </xdr:pic>
    <xdr:clientData/>
  </xdr:twoCellAnchor>
  <xdr:twoCellAnchor editAs="oneCell">
    <xdr:from>
      <xdr:col>38</xdr:col>
      <xdr:colOff>11907</xdr:colOff>
      <xdr:row>264</xdr:row>
      <xdr:rowOff>119062</xdr:rowOff>
    </xdr:from>
    <xdr:to>
      <xdr:col>45</xdr:col>
      <xdr:colOff>111243</xdr:colOff>
      <xdr:row>273</xdr:row>
      <xdr:rowOff>14086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287876" y="50184843"/>
          <a:ext cx="5409524" cy="1609524"/>
        </a:xfrm>
        <a:prstGeom prst="rect">
          <a:avLst/>
        </a:prstGeom>
      </xdr:spPr>
    </xdr:pic>
    <xdr:clientData/>
  </xdr:twoCellAnchor>
  <xdr:twoCellAnchor editAs="oneCell">
    <xdr:from>
      <xdr:col>38</xdr:col>
      <xdr:colOff>11909</xdr:colOff>
      <xdr:row>279</xdr:row>
      <xdr:rowOff>107155</xdr:rowOff>
    </xdr:from>
    <xdr:to>
      <xdr:col>47</xdr:col>
      <xdr:colOff>590553</xdr:colOff>
      <xdr:row>283</xdr:row>
      <xdr:rowOff>11905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7878" y="53030436"/>
          <a:ext cx="7103269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23813</xdr:colOff>
      <xdr:row>284</xdr:row>
      <xdr:rowOff>119057</xdr:rowOff>
    </xdr:from>
    <xdr:to>
      <xdr:col>47</xdr:col>
      <xdr:colOff>602457</xdr:colOff>
      <xdr:row>288</xdr:row>
      <xdr:rowOff>2376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99782" y="53994838"/>
          <a:ext cx="7103269" cy="645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11907</xdr:colOff>
      <xdr:row>291</xdr:row>
      <xdr:rowOff>178593</xdr:rowOff>
    </xdr:from>
    <xdr:to>
      <xdr:col>45</xdr:col>
      <xdr:colOff>128588</xdr:colOff>
      <xdr:row>300</xdr:row>
      <xdr:rowOff>85724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7876" y="55387874"/>
          <a:ext cx="5426869" cy="1621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11908</xdr:colOff>
      <xdr:row>385</xdr:row>
      <xdr:rowOff>47638</xdr:rowOff>
    </xdr:from>
    <xdr:to>
      <xdr:col>45</xdr:col>
      <xdr:colOff>101720</xdr:colOff>
      <xdr:row>393</xdr:row>
      <xdr:rowOff>123638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287877" y="73163919"/>
          <a:ext cx="5400000" cy="160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23813</xdr:colOff>
      <xdr:row>379</xdr:row>
      <xdr:rowOff>142882</xdr:rowOff>
    </xdr:from>
    <xdr:to>
      <xdr:col>48</xdr:col>
      <xdr:colOff>291967</xdr:colOff>
      <xdr:row>385</xdr:row>
      <xdr:rowOff>66549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299782" y="72116163"/>
          <a:ext cx="7400000" cy="1066667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393</xdr:row>
      <xdr:rowOff>119061</xdr:rowOff>
    </xdr:from>
    <xdr:to>
      <xdr:col>45</xdr:col>
      <xdr:colOff>99336</xdr:colOff>
      <xdr:row>401</xdr:row>
      <xdr:rowOff>176013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75969" y="74759342"/>
          <a:ext cx="5409524" cy="1580952"/>
        </a:xfrm>
        <a:prstGeom prst="rect">
          <a:avLst/>
        </a:prstGeom>
      </xdr:spPr>
    </xdr:pic>
    <xdr:clientData/>
  </xdr:twoCellAnchor>
  <xdr:twoCellAnchor editAs="oneCell">
    <xdr:from>
      <xdr:col>38</xdr:col>
      <xdr:colOff>11906</xdr:colOff>
      <xdr:row>440</xdr:row>
      <xdr:rowOff>119062</xdr:rowOff>
    </xdr:from>
    <xdr:to>
      <xdr:col>45</xdr:col>
      <xdr:colOff>92194</xdr:colOff>
      <xdr:row>449</xdr:row>
      <xdr:rowOff>14086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87875" y="83712843"/>
          <a:ext cx="5390476" cy="1609524"/>
        </a:xfrm>
        <a:prstGeom prst="rect">
          <a:avLst/>
        </a:prstGeom>
      </xdr:spPr>
    </xdr:pic>
    <xdr:clientData/>
  </xdr:twoCellAnchor>
  <xdr:twoCellAnchor editAs="oneCell">
    <xdr:from>
      <xdr:col>38</xdr:col>
      <xdr:colOff>11906</xdr:colOff>
      <xdr:row>449</xdr:row>
      <xdr:rowOff>11913</xdr:rowOff>
    </xdr:from>
    <xdr:to>
      <xdr:col>45</xdr:col>
      <xdr:colOff>73147</xdr:colOff>
      <xdr:row>457</xdr:row>
      <xdr:rowOff>57223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87875" y="85320194"/>
          <a:ext cx="5371429" cy="1590476"/>
        </a:xfrm>
        <a:prstGeom prst="rect">
          <a:avLst/>
        </a:prstGeom>
      </xdr:spPr>
    </xdr:pic>
    <xdr:clientData/>
  </xdr:twoCellAnchor>
  <xdr:twoCellAnchor editAs="oneCell">
    <xdr:from>
      <xdr:col>38</xdr:col>
      <xdr:colOff>12700</xdr:colOff>
      <xdr:row>463</xdr:row>
      <xdr:rowOff>114300</xdr:rowOff>
    </xdr:from>
    <xdr:to>
      <xdr:col>45</xdr:col>
      <xdr:colOff>100923</xdr:colOff>
      <xdr:row>471</xdr:row>
      <xdr:rowOff>189240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49800" y="59905900"/>
          <a:ext cx="5409524" cy="1609524"/>
        </a:xfrm>
        <a:prstGeom prst="rect">
          <a:avLst/>
        </a:prstGeom>
      </xdr:spPr>
    </xdr:pic>
    <xdr:clientData/>
  </xdr:twoCellAnchor>
  <xdr:twoCellAnchor editAs="oneCell">
    <xdr:from>
      <xdr:col>38</xdr:col>
      <xdr:colOff>25400</xdr:colOff>
      <xdr:row>473</xdr:row>
      <xdr:rowOff>88900</xdr:rowOff>
    </xdr:from>
    <xdr:to>
      <xdr:col>45</xdr:col>
      <xdr:colOff>113623</xdr:colOff>
      <xdr:row>481</xdr:row>
      <xdr:rowOff>154317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62500" y="61785500"/>
          <a:ext cx="5409524" cy="160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12700</xdr:colOff>
      <xdr:row>508</xdr:row>
      <xdr:rowOff>88900</xdr:rowOff>
    </xdr:from>
    <xdr:to>
      <xdr:col>45</xdr:col>
      <xdr:colOff>167589</xdr:colOff>
      <xdr:row>521</xdr:row>
      <xdr:rowOff>31448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49800" y="68453000"/>
          <a:ext cx="5476190" cy="2419048"/>
        </a:xfrm>
        <a:prstGeom prst="rect">
          <a:avLst/>
        </a:prstGeom>
      </xdr:spPr>
    </xdr:pic>
    <xdr:clientData/>
  </xdr:twoCellAnchor>
  <xdr:twoCellAnchor editAs="oneCell">
    <xdr:from>
      <xdr:col>38</xdr:col>
      <xdr:colOff>21167</xdr:colOff>
      <xdr:row>481</xdr:row>
      <xdr:rowOff>158750</xdr:rowOff>
    </xdr:from>
    <xdr:to>
      <xdr:col>45</xdr:col>
      <xdr:colOff>116415</xdr:colOff>
      <xdr:row>486</xdr:row>
      <xdr:rowOff>30692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5084" y="85418083"/>
          <a:ext cx="5450416" cy="824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18</xdr:row>
          <xdr:rowOff>0</xdr:rowOff>
        </xdr:from>
        <xdr:to>
          <xdr:col>1</xdr:col>
          <xdr:colOff>1381125</xdr:colOff>
          <xdr:row>18</xdr:row>
          <xdr:rowOff>438150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21</xdr:row>
          <xdr:rowOff>0</xdr:rowOff>
        </xdr:from>
        <xdr:to>
          <xdr:col>1</xdr:col>
          <xdr:colOff>1381125</xdr:colOff>
          <xdr:row>21</xdr:row>
          <xdr:rowOff>438150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16</xdr:row>
          <xdr:rowOff>0</xdr:rowOff>
        </xdr:from>
        <xdr:to>
          <xdr:col>1</xdr:col>
          <xdr:colOff>1381125</xdr:colOff>
          <xdr:row>16</xdr:row>
          <xdr:rowOff>438150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3257550</xdr:colOff>
          <xdr:row>4</xdr:row>
          <xdr:rowOff>9525</xdr:rowOff>
        </xdr:to>
        <xdr:sp macro="" textlink="">
          <xdr:nvSpPr>
            <xdr:cNvPr id="2062" name="List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E8D968-19C3-49F6-9D10-CD77E53FB6BC}" name="Tabela2" displayName="Tabela2" ref="C3:AG34" totalsRowShown="0" headerRowDxfId="1">
  <autoFilter ref="C3:AG34" xr:uid="{3AA48522-3503-40A3-AEF2-FE7A1B6378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88328A26-A0F8-4235-98C8-BC7E248B10A3}" name="Coluna1" dataDxfId="0"/>
    <tableColumn id="2" xr3:uid="{6094C659-357B-4F4D-9477-65074A46D68D}" name="1"/>
    <tableColumn id="3" xr3:uid="{21F0E32F-3ADA-47E5-B21C-CF8B5183D165}" name="2"/>
    <tableColumn id="4" xr3:uid="{14530C05-BADE-440B-AFCA-2EAB02D47E25}" name="3"/>
    <tableColumn id="5" xr3:uid="{4ADFC04E-C799-42DF-92D7-083BCD718456}" name="4"/>
    <tableColumn id="6" xr3:uid="{ADAFC8D2-2963-419B-A14A-3B5EDCE36939}" name="5"/>
    <tableColumn id="7" xr3:uid="{428D4386-3544-493E-8B9C-AC9EFFD4CD9E}" name="6"/>
    <tableColumn id="8" xr3:uid="{D692EA8F-CE69-427B-A65E-8131705DD29B}" name="7"/>
    <tableColumn id="9" xr3:uid="{D3ED8A19-64F4-4800-9834-E3A336BA5E03}" name="8"/>
    <tableColumn id="10" xr3:uid="{9D5AA347-B45D-4762-B7C2-B73548917617}" name="9"/>
    <tableColumn id="11" xr3:uid="{D82CFA5B-748A-4C66-B799-F69DCF50C049}" name="10"/>
    <tableColumn id="12" xr3:uid="{1C360813-4150-4114-B401-7717F4C45A4C}" name="11"/>
    <tableColumn id="13" xr3:uid="{BB19E20B-3487-4DD1-B5FA-48490BEC61B5}" name="12"/>
    <tableColumn id="14" xr3:uid="{F0DF0A95-A654-4A79-827B-330E992C8872}" name="13"/>
    <tableColumn id="15" xr3:uid="{97CBB9E4-9D12-4B91-AB1E-7F579D4DB42C}" name="14"/>
    <tableColumn id="16" xr3:uid="{1D7C9560-7E23-49C5-9105-B0C4B7A14379}" name="15"/>
    <tableColumn id="17" xr3:uid="{AD694B39-816A-4EAF-A8B7-9252CE4B41B8}" name="16"/>
    <tableColumn id="18" xr3:uid="{867E7132-155D-4ADD-A934-8DE67D5AC998}" name="17"/>
    <tableColumn id="19" xr3:uid="{36654BFA-41D5-4D08-A9D2-51D09F666990}" name="18"/>
    <tableColumn id="20" xr3:uid="{6A52BF11-96AA-458F-814A-331E2D505700}" name="19"/>
    <tableColumn id="21" xr3:uid="{AED34747-E8FD-4E89-97AC-E6488CBEC121}" name="20"/>
    <tableColumn id="22" xr3:uid="{004F7E74-9541-4646-A439-DEC2E4976CE4}" name="21"/>
    <tableColumn id="23" xr3:uid="{F9383276-70B9-46FF-B6CD-C39D72FC03D7}" name="22"/>
    <tableColumn id="24" xr3:uid="{0096D741-A2E3-47DD-A21F-CA3D26CD2FBC}" name="23"/>
    <tableColumn id="25" xr3:uid="{3E1F521E-3288-430B-8B88-67596D4C9F69}" name="24"/>
    <tableColumn id="26" xr3:uid="{7E0A869C-333B-440C-98AA-2E643F9CDC0B}" name="25"/>
    <tableColumn id="27" xr3:uid="{2E03A911-4B81-44DD-9B16-3B0C9A3B1175}" name="26"/>
    <tableColumn id="28" xr3:uid="{C30DBDDD-D838-406E-A039-A57BD1B1438C}" name="27"/>
    <tableColumn id="29" xr3:uid="{CA5E3F24-3E84-43F4-A2BA-397EA4784348}" name="28"/>
    <tableColumn id="30" xr3:uid="{AD6F44A8-DEB2-4A6A-8678-D7878BC76B70}" name="29"/>
    <tableColumn id="31" xr3:uid="{8BBCB851-FC8E-48AA-B8A4-DCE8EC02D794}" name="3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C6B39-5BB3-4254-B8CD-853C6365C299}">
  <sheetPr codeName="Planilha4"/>
  <dimension ref="A1:D8"/>
  <sheetViews>
    <sheetView tabSelected="1" zoomScale="200" zoomScaleNormal="200" workbookViewId="0">
      <selection activeCell="B7" sqref="B7"/>
    </sheetView>
  </sheetViews>
  <sheetFormatPr defaultColWidth="0" defaultRowHeight="15" zeroHeight="1" x14ac:dyDescent="0.25"/>
  <cols>
    <col min="1" max="4" width="15.7109375" style="62" customWidth="1"/>
    <col min="5" max="16384" width="9.140625" style="62" hidden="1"/>
  </cols>
  <sheetData>
    <row r="1" spans="1:4" x14ac:dyDescent="0.25">
      <c r="A1" s="63" t="s">
        <v>124</v>
      </c>
      <c r="B1" s="63" t="s">
        <v>36</v>
      </c>
      <c r="C1" s="63" t="s">
        <v>125</v>
      </c>
      <c r="D1" s="63" t="s">
        <v>126</v>
      </c>
    </row>
    <row r="2" spans="1:4" x14ac:dyDescent="0.25">
      <c r="A2" s="64"/>
      <c r="B2" s="64"/>
      <c r="C2" s="64"/>
      <c r="D2" s="64"/>
    </row>
    <row r="3" spans="1:4" x14ac:dyDescent="0.25">
      <c r="A3" s="64"/>
      <c r="B3" s="64"/>
      <c r="C3" s="64"/>
      <c r="D3" s="64"/>
    </row>
    <row r="4" spans="1:4" x14ac:dyDescent="0.25">
      <c r="A4" s="64"/>
      <c r="B4" s="64"/>
      <c r="C4" s="64"/>
      <c r="D4" s="64"/>
    </row>
    <row r="5" spans="1:4" x14ac:dyDescent="0.25">
      <c r="A5" s="64"/>
      <c r="B5" s="64"/>
      <c r="C5" s="64"/>
      <c r="D5" s="64"/>
    </row>
    <row r="6" spans="1:4" x14ac:dyDescent="0.25">
      <c r="A6" s="64"/>
      <c r="B6" s="64"/>
      <c r="C6" s="64"/>
      <c r="D6" s="64"/>
    </row>
    <row r="7" spans="1:4" ht="15.75" thickBot="1" x14ac:dyDescent="0.3">
      <c r="A7" s="65"/>
      <c r="B7" s="65"/>
      <c r="C7" s="65"/>
      <c r="D7" s="65"/>
    </row>
    <row r="8" spans="1:4" ht="18.75" hidden="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76" r:id="rId4" name="CheckBox25">
          <controlPr defaultSize="0" autoLine="0" r:id="rId5">
            <anchor moveWithCells="1">
              <from>
                <xdr:col>3</xdr:col>
                <xdr:colOff>57150</xdr:colOff>
                <xdr:row>4</xdr:row>
                <xdr:rowOff>161925</xdr:rowOff>
              </from>
              <to>
                <xdr:col>3</xdr:col>
                <xdr:colOff>876300</xdr:colOff>
                <xdr:row>5</xdr:row>
                <xdr:rowOff>152400</xdr:rowOff>
              </to>
            </anchor>
          </controlPr>
        </control>
      </mc:Choice>
      <mc:Fallback>
        <control shapeId="6176" r:id="rId4" name="CheckBox25"/>
      </mc:Fallback>
    </mc:AlternateContent>
    <mc:AlternateContent xmlns:mc="http://schemas.openxmlformats.org/markup-compatibility/2006">
      <mc:Choice Requires="x14">
        <control shapeId="6175" r:id="rId6" name="CheckBox24">
          <controlPr defaultSize="0" autoLine="0" r:id="rId7">
            <anchor moveWithCells="1">
              <from>
                <xdr:col>3</xdr:col>
                <xdr:colOff>57150</xdr:colOff>
                <xdr:row>4</xdr:row>
                <xdr:rowOff>19050</xdr:rowOff>
              </from>
              <to>
                <xdr:col>3</xdr:col>
                <xdr:colOff>876300</xdr:colOff>
                <xdr:row>5</xdr:row>
                <xdr:rowOff>9525</xdr:rowOff>
              </to>
            </anchor>
          </controlPr>
        </control>
      </mc:Choice>
      <mc:Fallback>
        <control shapeId="6175" r:id="rId6" name="CheckBox24"/>
      </mc:Fallback>
    </mc:AlternateContent>
    <mc:AlternateContent xmlns:mc="http://schemas.openxmlformats.org/markup-compatibility/2006">
      <mc:Choice Requires="x14">
        <control shapeId="6174" r:id="rId8" name="CheckBox23">
          <controlPr defaultSize="0" autoLine="0" r:id="rId9">
            <anchor moveWithCells="1">
              <from>
                <xdr:col>3</xdr:col>
                <xdr:colOff>57150</xdr:colOff>
                <xdr:row>3</xdr:row>
                <xdr:rowOff>66675</xdr:rowOff>
              </from>
              <to>
                <xdr:col>3</xdr:col>
                <xdr:colOff>876300</xdr:colOff>
                <xdr:row>4</xdr:row>
                <xdr:rowOff>57150</xdr:rowOff>
              </to>
            </anchor>
          </controlPr>
        </control>
      </mc:Choice>
      <mc:Fallback>
        <control shapeId="6174" r:id="rId8" name="CheckBox23"/>
      </mc:Fallback>
    </mc:AlternateContent>
    <mc:AlternateContent xmlns:mc="http://schemas.openxmlformats.org/markup-compatibility/2006">
      <mc:Choice Requires="x14">
        <control shapeId="6173" r:id="rId10" name="CheckBox22">
          <controlPr defaultSize="0" autoLine="0" r:id="rId11">
            <anchor moveWithCells="1">
              <from>
                <xdr:col>3</xdr:col>
                <xdr:colOff>57150</xdr:colOff>
                <xdr:row>2</xdr:row>
                <xdr:rowOff>104775</xdr:rowOff>
              </from>
              <to>
                <xdr:col>3</xdr:col>
                <xdr:colOff>876300</xdr:colOff>
                <xdr:row>3</xdr:row>
                <xdr:rowOff>95250</xdr:rowOff>
              </to>
            </anchor>
          </controlPr>
        </control>
      </mc:Choice>
      <mc:Fallback>
        <control shapeId="6173" r:id="rId10" name="CheckBox22"/>
      </mc:Fallback>
    </mc:AlternateContent>
    <mc:AlternateContent xmlns:mc="http://schemas.openxmlformats.org/markup-compatibility/2006">
      <mc:Choice Requires="x14">
        <control shapeId="6172" r:id="rId12" name="CheckBox21">
          <controlPr defaultSize="0" autoLine="0" r:id="rId13">
            <anchor moveWithCells="1">
              <from>
                <xdr:col>3</xdr:col>
                <xdr:colOff>57150</xdr:colOff>
                <xdr:row>1</xdr:row>
                <xdr:rowOff>142875</xdr:rowOff>
              </from>
              <to>
                <xdr:col>3</xdr:col>
                <xdr:colOff>876300</xdr:colOff>
                <xdr:row>2</xdr:row>
                <xdr:rowOff>133350</xdr:rowOff>
              </to>
            </anchor>
          </controlPr>
        </control>
      </mc:Choice>
      <mc:Fallback>
        <control shapeId="6172" r:id="rId12" name="CheckBox21"/>
      </mc:Fallback>
    </mc:AlternateContent>
    <mc:AlternateContent xmlns:mc="http://schemas.openxmlformats.org/markup-compatibility/2006">
      <mc:Choice Requires="x14">
        <control shapeId="6171" r:id="rId14" name="CheckBox20">
          <controlPr defaultSize="0" autoLine="0" r:id="rId15">
            <anchor moveWithCells="1">
              <from>
                <xdr:col>3</xdr:col>
                <xdr:colOff>57150</xdr:colOff>
                <xdr:row>0</xdr:row>
                <xdr:rowOff>180975</xdr:rowOff>
              </from>
              <to>
                <xdr:col>3</xdr:col>
                <xdr:colOff>942975</xdr:colOff>
                <xdr:row>1</xdr:row>
                <xdr:rowOff>171450</xdr:rowOff>
              </to>
            </anchor>
          </controlPr>
        </control>
      </mc:Choice>
      <mc:Fallback>
        <control shapeId="6171" r:id="rId14" name="CheckBox20"/>
      </mc:Fallback>
    </mc:AlternateContent>
    <mc:AlternateContent xmlns:mc="http://schemas.openxmlformats.org/markup-compatibility/2006">
      <mc:Choice Requires="x14">
        <control shapeId="6170" r:id="rId16" name="CheckBox19">
          <controlPr defaultSize="0" autoLine="0" r:id="rId17">
            <anchor moveWithCells="1">
              <from>
                <xdr:col>2</xdr:col>
                <xdr:colOff>57150</xdr:colOff>
                <xdr:row>4</xdr:row>
                <xdr:rowOff>161925</xdr:rowOff>
              </from>
              <to>
                <xdr:col>2</xdr:col>
                <xdr:colOff>876300</xdr:colOff>
                <xdr:row>5</xdr:row>
                <xdr:rowOff>152400</xdr:rowOff>
              </to>
            </anchor>
          </controlPr>
        </control>
      </mc:Choice>
      <mc:Fallback>
        <control shapeId="6170" r:id="rId16" name="CheckBox19"/>
      </mc:Fallback>
    </mc:AlternateContent>
    <mc:AlternateContent xmlns:mc="http://schemas.openxmlformats.org/markup-compatibility/2006">
      <mc:Choice Requires="x14">
        <control shapeId="6169" r:id="rId18" name="CheckBox18">
          <controlPr defaultSize="0" autoLine="0" r:id="rId19">
            <anchor moveWithCells="1">
              <from>
                <xdr:col>2</xdr:col>
                <xdr:colOff>57150</xdr:colOff>
                <xdr:row>4</xdr:row>
                <xdr:rowOff>19050</xdr:rowOff>
              </from>
              <to>
                <xdr:col>2</xdr:col>
                <xdr:colOff>876300</xdr:colOff>
                <xdr:row>5</xdr:row>
                <xdr:rowOff>9525</xdr:rowOff>
              </to>
            </anchor>
          </controlPr>
        </control>
      </mc:Choice>
      <mc:Fallback>
        <control shapeId="6169" r:id="rId18" name="CheckBox18"/>
      </mc:Fallback>
    </mc:AlternateContent>
    <mc:AlternateContent xmlns:mc="http://schemas.openxmlformats.org/markup-compatibility/2006">
      <mc:Choice Requires="x14">
        <control shapeId="6168" r:id="rId20" name="CheckBox17">
          <controlPr defaultSize="0" autoLine="0" r:id="rId21">
            <anchor moveWithCells="1">
              <from>
                <xdr:col>2</xdr:col>
                <xdr:colOff>57150</xdr:colOff>
                <xdr:row>3</xdr:row>
                <xdr:rowOff>66675</xdr:rowOff>
              </from>
              <to>
                <xdr:col>2</xdr:col>
                <xdr:colOff>876300</xdr:colOff>
                <xdr:row>4</xdr:row>
                <xdr:rowOff>57150</xdr:rowOff>
              </to>
            </anchor>
          </controlPr>
        </control>
      </mc:Choice>
      <mc:Fallback>
        <control shapeId="6168" r:id="rId20" name="CheckBox17"/>
      </mc:Fallback>
    </mc:AlternateContent>
    <mc:AlternateContent xmlns:mc="http://schemas.openxmlformats.org/markup-compatibility/2006">
      <mc:Choice Requires="x14">
        <control shapeId="6167" r:id="rId22" name="CheckBox16">
          <controlPr defaultSize="0" autoLine="0" r:id="rId23">
            <anchor moveWithCells="1">
              <from>
                <xdr:col>2</xdr:col>
                <xdr:colOff>57150</xdr:colOff>
                <xdr:row>2</xdr:row>
                <xdr:rowOff>104775</xdr:rowOff>
              </from>
              <to>
                <xdr:col>2</xdr:col>
                <xdr:colOff>876300</xdr:colOff>
                <xdr:row>3</xdr:row>
                <xdr:rowOff>95250</xdr:rowOff>
              </to>
            </anchor>
          </controlPr>
        </control>
      </mc:Choice>
      <mc:Fallback>
        <control shapeId="6167" r:id="rId22" name="CheckBox16"/>
      </mc:Fallback>
    </mc:AlternateContent>
    <mc:AlternateContent xmlns:mc="http://schemas.openxmlformats.org/markup-compatibility/2006">
      <mc:Choice Requires="x14">
        <control shapeId="6166" r:id="rId24" name="CheckBox15">
          <controlPr defaultSize="0" autoLine="0" r:id="rId25">
            <anchor moveWithCells="1">
              <from>
                <xdr:col>2</xdr:col>
                <xdr:colOff>57150</xdr:colOff>
                <xdr:row>1</xdr:row>
                <xdr:rowOff>142875</xdr:rowOff>
              </from>
              <to>
                <xdr:col>2</xdr:col>
                <xdr:colOff>876300</xdr:colOff>
                <xdr:row>2</xdr:row>
                <xdr:rowOff>133350</xdr:rowOff>
              </to>
            </anchor>
          </controlPr>
        </control>
      </mc:Choice>
      <mc:Fallback>
        <control shapeId="6166" r:id="rId24" name="CheckBox15"/>
      </mc:Fallback>
    </mc:AlternateContent>
    <mc:AlternateContent xmlns:mc="http://schemas.openxmlformats.org/markup-compatibility/2006">
      <mc:Choice Requires="x14">
        <control shapeId="6165" r:id="rId26" name="CheckBox14">
          <controlPr defaultSize="0" autoLine="0" r:id="rId27">
            <anchor moveWithCells="1">
              <from>
                <xdr:col>2</xdr:col>
                <xdr:colOff>57150</xdr:colOff>
                <xdr:row>0</xdr:row>
                <xdr:rowOff>180975</xdr:rowOff>
              </from>
              <to>
                <xdr:col>2</xdr:col>
                <xdr:colOff>942975</xdr:colOff>
                <xdr:row>1</xdr:row>
                <xdr:rowOff>171450</xdr:rowOff>
              </to>
            </anchor>
          </controlPr>
        </control>
      </mc:Choice>
      <mc:Fallback>
        <control shapeId="6165" r:id="rId26" name="CheckBox14"/>
      </mc:Fallback>
    </mc:AlternateContent>
    <mc:AlternateContent xmlns:mc="http://schemas.openxmlformats.org/markup-compatibility/2006">
      <mc:Choice Requires="x14">
        <control shapeId="6164" r:id="rId28" name="CheckBox13">
          <controlPr defaultSize="0" autoLine="0" r:id="rId29">
            <anchor moveWithCells="1">
              <from>
                <xdr:col>1</xdr:col>
                <xdr:colOff>95250</xdr:colOff>
                <xdr:row>4</xdr:row>
                <xdr:rowOff>161925</xdr:rowOff>
              </from>
              <to>
                <xdr:col>1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6164" r:id="rId28" name="CheckBox13"/>
      </mc:Fallback>
    </mc:AlternateContent>
    <mc:AlternateContent xmlns:mc="http://schemas.openxmlformats.org/markup-compatibility/2006">
      <mc:Choice Requires="x14">
        <control shapeId="6163" r:id="rId30" name="CheckBox12">
          <controlPr defaultSize="0" autoLine="0" r:id="rId31">
            <anchor moveWithCells="1">
              <from>
                <xdr:col>1</xdr:col>
                <xdr:colOff>95250</xdr:colOff>
                <xdr:row>4</xdr:row>
                <xdr:rowOff>19050</xdr:rowOff>
              </from>
              <to>
                <xdr:col>1</xdr:col>
                <xdr:colOff>914400</xdr:colOff>
                <xdr:row>5</xdr:row>
                <xdr:rowOff>9525</xdr:rowOff>
              </to>
            </anchor>
          </controlPr>
        </control>
      </mc:Choice>
      <mc:Fallback>
        <control shapeId="6163" r:id="rId30" name="CheckBox12"/>
      </mc:Fallback>
    </mc:AlternateContent>
    <mc:AlternateContent xmlns:mc="http://schemas.openxmlformats.org/markup-compatibility/2006">
      <mc:Choice Requires="x14">
        <control shapeId="6162" r:id="rId32" name="CheckBox11">
          <controlPr defaultSize="0" autoLine="0" r:id="rId33">
            <anchor moveWithCells="1">
              <from>
                <xdr:col>1</xdr:col>
                <xdr:colOff>95250</xdr:colOff>
                <xdr:row>3</xdr:row>
                <xdr:rowOff>66675</xdr:rowOff>
              </from>
              <to>
                <xdr:col>1</xdr:col>
                <xdr:colOff>914400</xdr:colOff>
                <xdr:row>4</xdr:row>
                <xdr:rowOff>57150</xdr:rowOff>
              </to>
            </anchor>
          </controlPr>
        </control>
      </mc:Choice>
      <mc:Fallback>
        <control shapeId="6162" r:id="rId32" name="CheckBox11"/>
      </mc:Fallback>
    </mc:AlternateContent>
    <mc:AlternateContent xmlns:mc="http://schemas.openxmlformats.org/markup-compatibility/2006">
      <mc:Choice Requires="x14">
        <control shapeId="6161" r:id="rId34" name="CheckBox10">
          <controlPr defaultSize="0" autoLine="0" r:id="rId35">
            <anchor moveWithCells="1">
              <from>
                <xdr:col>1</xdr:col>
                <xdr:colOff>95250</xdr:colOff>
                <xdr:row>2</xdr:row>
                <xdr:rowOff>104775</xdr:rowOff>
              </from>
              <to>
                <xdr:col>1</xdr:col>
                <xdr:colOff>914400</xdr:colOff>
                <xdr:row>3</xdr:row>
                <xdr:rowOff>95250</xdr:rowOff>
              </to>
            </anchor>
          </controlPr>
        </control>
      </mc:Choice>
      <mc:Fallback>
        <control shapeId="6161" r:id="rId34" name="CheckBox10"/>
      </mc:Fallback>
    </mc:AlternateContent>
    <mc:AlternateContent xmlns:mc="http://schemas.openxmlformats.org/markup-compatibility/2006">
      <mc:Choice Requires="x14">
        <control shapeId="6160" r:id="rId36" name="CheckBox9">
          <controlPr defaultSize="0" autoLine="0" r:id="rId37">
            <anchor moveWithCells="1">
              <from>
                <xdr:col>1</xdr:col>
                <xdr:colOff>95250</xdr:colOff>
                <xdr:row>1</xdr:row>
                <xdr:rowOff>142875</xdr:rowOff>
              </from>
              <to>
                <xdr:col>1</xdr:col>
                <xdr:colOff>914400</xdr:colOff>
                <xdr:row>2</xdr:row>
                <xdr:rowOff>133350</xdr:rowOff>
              </to>
            </anchor>
          </controlPr>
        </control>
      </mc:Choice>
      <mc:Fallback>
        <control shapeId="6160" r:id="rId36" name="CheckBox9"/>
      </mc:Fallback>
    </mc:AlternateContent>
    <mc:AlternateContent xmlns:mc="http://schemas.openxmlformats.org/markup-compatibility/2006">
      <mc:Choice Requires="x14">
        <control shapeId="6159" r:id="rId38" name="CheckBox8">
          <controlPr defaultSize="0" autoLine="0" autoPict="0" r:id="rId39">
            <anchor moveWithCells="1">
              <from>
                <xdr:col>1</xdr:col>
                <xdr:colOff>95250</xdr:colOff>
                <xdr:row>0</xdr:row>
                <xdr:rowOff>180975</xdr:rowOff>
              </from>
              <to>
                <xdr:col>1</xdr:col>
                <xdr:colOff>981075</xdr:colOff>
                <xdr:row>1</xdr:row>
                <xdr:rowOff>171450</xdr:rowOff>
              </to>
            </anchor>
          </controlPr>
        </control>
      </mc:Choice>
      <mc:Fallback>
        <control shapeId="6159" r:id="rId38" name="CheckBox8"/>
      </mc:Fallback>
    </mc:AlternateContent>
    <mc:AlternateContent xmlns:mc="http://schemas.openxmlformats.org/markup-compatibility/2006">
      <mc:Choice Requires="x14">
        <control shapeId="6158" r:id="rId40" name="CheckBox7">
          <controlPr defaultSize="0" autoLine="0" r:id="rId41">
            <anchor moveWithCells="1">
              <from>
                <xdr:col>0</xdr:col>
                <xdr:colOff>57150</xdr:colOff>
                <xdr:row>5</xdr:row>
                <xdr:rowOff>123825</xdr:rowOff>
              </from>
              <to>
                <xdr:col>0</xdr:col>
                <xdr:colOff>942975</xdr:colOff>
                <xdr:row>6</xdr:row>
                <xdr:rowOff>114300</xdr:rowOff>
              </to>
            </anchor>
          </controlPr>
        </control>
      </mc:Choice>
      <mc:Fallback>
        <control shapeId="6158" r:id="rId40" name="CheckBox7"/>
      </mc:Fallback>
    </mc:AlternateContent>
    <mc:AlternateContent xmlns:mc="http://schemas.openxmlformats.org/markup-compatibility/2006">
      <mc:Choice Requires="x14">
        <control shapeId="6157" r:id="rId42" name="CheckBox6">
          <controlPr defaultSize="0" autoLine="0" r:id="rId43">
            <anchor moveWithCells="1">
              <from>
                <xdr:col>0</xdr:col>
                <xdr:colOff>57150</xdr:colOff>
                <xdr:row>4</xdr:row>
                <xdr:rowOff>161925</xdr:rowOff>
              </from>
              <to>
                <xdr:col>0</xdr:col>
                <xdr:colOff>876300</xdr:colOff>
                <xdr:row>5</xdr:row>
                <xdr:rowOff>152400</xdr:rowOff>
              </to>
            </anchor>
          </controlPr>
        </control>
      </mc:Choice>
      <mc:Fallback>
        <control shapeId="6157" r:id="rId42" name="CheckBox6"/>
      </mc:Fallback>
    </mc:AlternateContent>
    <mc:AlternateContent xmlns:mc="http://schemas.openxmlformats.org/markup-compatibility/2006">
      <mc:Choice Requires="x14">
        <control shapeId="6156" r:id="rId44" name="CheckBox5">
          <controlPr defaultSize="0" autoLine="0" r:id="rId45">
            <anchor moveWithCells="1">
              <from>
                <xdr:col>0</xdr:col>
                <xdr:colOff>57150</xdr:colOff>
                <xdr:row>4</xdr:row>
                <xdr:rowOff>9525</xdr:rowOff>
              </from>
              <to>
                <xdr:col>0</xdr:col>
                <xdr:colOff>876300</xdr:colOff>
                <xdr:row>5</xdr:row>
                <xdr:rowOff>0</xdr:rowOff>
              </to>
            </anchor>
          </controlPr>
        </control>
      </mc:Choice>
      <mc:Fallback>
        <control shapeId="6156" r:id="rId44" name="CheckBox5"/>
      </mc:Fallback>
    </mc:AlternateContent>
    <mc:AlternateContent xmlns:mc="http://schemas.openxmlformats.org/markup-compatibility/2006">
      <mc:Choice Requires="x14">
        <control shapeId="6155" r:id="rId46" name="CheckBox4">
          <controlPr defaultSize="0" autoLine="0" r:id="rId47">
            <anchor moveWithCells="1">
              <from>
                <xdr:col>0</xdr:col>
                <xdr:colOff>57150</xdr:colOff>
                <xdr:row>3</xdr:row>
                <xdr:rowOff>57150</xdr:rowOff>
              </from>
              <to>
                <xdr:col>0</xdr:col>
                <xdr:colOff>876300</xdr:colOff>
                <xdr:row>4</xdr:row>
                <xdr:rowOff>47625</xdr:rowOff>
              </to>
            </anchor>
          </controlPr>
        </control>
      </mc:Choice>
      <mc:Fallback>
        <control shapeId="6155" r:id="rId46" name="CheckBox4"/>
      </mc:Fallback>
    </mc:AlternateContent>
    <mc:AlternateContent xmlns:mc="http://schemas.openxmlformats.org/markup-compatibility/2006">
      <mc:Choice Requires="x14">
        <control shapeId="6154" r:id="rId48" name="CheckBox3">
          <controlPr defaultSize="0" autoLine="0" r:id="rId49">
            <anchor moveWithCells="1">
              <from>
                <xdr:col>0</xdr:col>
                <xdr:colOff>57150</xdr:colOff>
                <xdr:row>2</xdr:row>
                <xdr:rowOff>95250</xdr:rowOff>
              </from>
              <to>
                <xdr:col>0</xdr:col>
                <xdr:colOff>876300</xdr:colOff>
                <xdr:row>3</xdr:row>
                <xdr:rowOff>85725</xdr:rowOff>
              </to>
            </anchor>
          </controlPr>
        </control>
      </mc:Choice>
      <mc:Fallback>
        <control shapeId="6154" r:id="rId48" name="CheckBox3"/>
      </mc:Fallback>
    </mc:AlternateContent>
    <mc:AlternateContent xmlns:mc="http://schemas.openxmlformats.org/markup-compatibility/2006">
      <mc:Choice Requires="x14">
        <control shapeId="6153" r:id="rId50" name="CheckBox2">
          <controlPr defaultSize="0" autoLine="0" r:id="rId51">
            <anchor moveWithCells="1">
              <from>
                <xdr:col>0</xdr:col>
                <xdr:colOff>57150</xdr:colOff>
                <xdr:row>1</xdr:row>
                <xdr:rowOff>133350</xdr:rowOff>
              </from>
              <to>
                <xdr:col>0</xdr:col>
                <xdr:colOff>876300</xdr:colOff>
                <xdr:row>2</xdr:row>
                <xdr:rowOff>123825</xdr:rowOff>
              </to>
            </anchor>
          </controlPr>
        </control>
      </mc:Choice>
      <mc:Fallback>
        <control shapeId="6153" r:id="rId50" name="CheckBox2"/>
      </mc:Fallback>
    </mc:AlternateContent>
    <mc:AlternateContent xmlns:mc="http://schemas.openxmlformats.org/markup-compatibility/2006">
      <mc:Choice Requires="x14">
        <control shapeId="6152" r:id="rId52" name="CheckBox1">
          <controlPr defaultSize="0" autoLine="0" autoPict="0" r:id="rId53">
            <anchor moveWithCells="1">
              <from>
                <xdr:col>0</xdr:col>
                <xdr:colOff>66675</xdr:colOff>
                <xdr:row>0</xdr:row>
                <xdr:rowOff>171450</xdr:rowOff>
              </from>
              <to>
                <xdr:col>0</xdr:col>
                <xdr:colOff>885825</xdr:colOff>
                <xdr:row>1</xdr:row>
                <xdr:rowOff>161925</xdr:rowOff>
              </to>
            </anchor>
          </controlPr>
        </control>
      </mc:Choice>
      <mc:Fallback>
        <control shapeId="6152" r:id="rId52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6F19F-461D-4E54-AB61-B719B9ECCFDE}">
  <sheetPr codeName="Planilha1"/>
  <dimension ref="A1:AO601"/>
  <sheetViews>
    <sheetView topLeftCell="B498" zoomScale="70" zoomScaleNormal="70" workbookViewId="0">
      <selection activeCell="AJ516" sqref="AJ516"/>
    </sheetView>
  </sheetViews>
  <sheetFormatPr defaultRowHeight="15" x14ac:dyDescent="0.25"/>
  <cols>
    <col min="1" max="1" width="10.7109375" style="17" hidden="1" customWidth="1"/>
    <col min="2" max="2" width="10.7109375" style="17" customWidth="1"/>
    <col min="3" max="3" width="13.7109375" style="17" hidden="1" customWidth="1"/>
    <col min="4" max="4" width="10.7109375" style="17" customWidth="1"/>
    <col min="5" max="7" width="25.7109375" style="12" customWidth="1"/>
    <col min="8" max="27" width="30.7109375" style="58" hidden="1" customWidth="1"/>
    <col min="28" max="28" width="30.7109375" style="12" customWidth="1"/>
    <col min="29" max="29" width="30.7109375" style="12" hidden="1" customWidth="1"/>
    <col min="30" max="30" width="30.7109375" style="12" customWidth="1"/>
    <col min="31" max="31" width="30.7109375" style="12" hidden="1" customWidth="1"/>
    <col min="32" max="32" width="30.7109375" style="12" customWidth="1"/>
    <col min="33" max="33" width="30.7109375" style="12" hidden="1" customWidth="1"/>
    <col min="34" max="34" width="30.7109375" style="12" customWidth="1"/>
    <col min="35" max="35" width="30.7109375" style="12" hidden="1" customWidth="1"/>
    <col min="36" max="36" width="30.7109375" style="12" customWidth="1"/>
    <col min="37" max="37" width="30.7109375" style="12" hidden="1" customWidth="1"/>
    <col min="38" max="38" width="35.7109375" bestFit="1" customWidth="1"/>
    <col min="39" max="39" width="17.7109375" bestFit="1" customWidth="1"/>
    <col min="40" max="40" width="16.42578125" bestFit="1" customWidth="1"/>
  </cols>
  <sheetData>
    <row r="1" spans="1:37" ht="5.0999999999999996" hidden="1" customHeight="1" x14ac:dyDescent="0.25"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7" ht="15.75" hidden="1" x14ac:dyDescent="0.25">
      <c r="C2" s="22" t="s">
        <v>28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15.75" hidden="1" x14ac:dyDescent="0.25">
      <c r="C3" s="22" t="s">
        <v>29</v>
      </c>
      <c r="E3" s="17"/>
      <c r="F3" s="17"/>
      <c r="G3" s="17"/>
      <c r="H3" s="42"/>
      <c r="I3" s="17"/>
      <c r="J3" s="17"/>
      <c r="K3" s="17"/>
      <c r="L3" s="17"/>
      <c r="M3" s="17"/>
      <c r="N3" s="17"/>
      <c r="O3" s="17"/>
      <c r="P3" s="17"/>
      <c r="Q3" s="17"/>
      <c r="R3" s="42"/>
      <c r="S3" s="17"/>
      <c r="T3" s="17"/>
      <c r="U3" s="17"/>
      <c r="V3" s="17"/>
      <c r="W3" s="17"/>
      <c r="X3" s="17"/>
      <c r="Y3" s="17"/>
      <c r="Z3" s="17"/>
      <c r="AA3" s="17"/>
      <c r="AB3" s="42"/>
      <c r="AC3" s="17"/>
      <c r="AD3" s="17"/>
      <c r="AE3" s="17"/>
      <c r="AF3" s="17"/>
      <c r="AG3" s="17"/>
      <c r="AH3" s="17"/>
      <c r="AI3" s="17"/>
      <c r="AJ3" s="17"/>
      <c r="AK3" s="17"/>
    </row>
    <row r="4" spans="1:37" ht="15.75" hidden="1" x14ac:dyDescent="0.25">
      <c r="C4" s="22" t="s">
        <v>30</v>
      </c>
      <c r="E4" s="17"/>
      <c r="F4" s="17"/>
      <c r="G4" s="17"/>
      <c r="H4" s="42"/>
      <c r="I4" s="17"/>
      <c r="J4" s="17"/>
      <c r="K4" s="17"/>
      <c r="L4" s="17"/>
      <c r="M4" s="17"/>
      <c r="N4" s="17"/>
      <c r="O4" s="17"/>
      <c r="P4" s="17"/>
      <c r="Q4" s="17"/>
      <c r="R4" s="42"/>
      <c r="S4" s="17"/>
      <c r="T4" s="17"/>
      <c r="U4" s="17"/>
      <c r="V4" s="17"/>
      <c r="W4" s="17"/>
      <c r="X4" s="17"/>
      <c r="Y4" s="17"/>
      <c r="Z4" s="17"/>
      <c r="AA4" s="17"/>
      <c r="AB4" s="42"/>
      <c r="AC4" s="17"/>
      <c r="AD4" s="17"/>
      <c r="AE4" s="17"/>
      <c r="AF4" s="17"/>
      <c r="AG4" s="17"/>
      <c r="AH4" s="17"/>
      <c r="AI4" s="17"/>
      <c r="AJ4" s="17"/>
      <c r="AK4" s="17"/>
    </row>
    <row r="5" spans="1:37" ht="5.0999999999999996" customHeight="1" x14ac:dyDescent="0.25"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</row>
    <row r="6" spans="1:37" x14ac:dyDescent="0.25">
      <c r="A6" s="60" t="s">
        <v>15</v>
      </c>
      <c r="B6" s="13" t="s">
        <v>13</v>
      </c>
      <c r="C6" s="13" t="s">
        <v>16</v>
      </c>
      <c r="D6" s="13" t="s">
        <v>17</v>
      </c>
      <c r="E6" s="11" t="s">
        <v>18</v>
      </c>
      <c r="F6" s="11" t="s">
        <v>19</v>
      </c>
      <c r="G6" s="11" t="s">
        <v>20</v>
      </c>
      <c r="H6" s="11" t="s">
        <v>120</v>
      </c>
      <c r="I6" s="11" t="s">
        <v>121</v>
      </c>
      <c r="J6" s="11" t="s">
        <v>110</v>
      </c>
      <c r="K6" s="11" t="s">
        <v>111</v>
      </c>
      <c r="L6" s="11" t="s">
        <v>112</v>
      </c>
      <c r="M6" s="11" t="s">
        <v>113</v>
      </c>
      <c r="N6" s="11" t="s">
        <v>114</v>
      </c>
      <c r="O6" s="11" t="s">
        <v>115</v>
      </c>
      <c r="P6" s="11" t="s">
        <v>116</v>
      </c>
      <c r="Q6" s="11" t="s">
        <v>117</v>
      </c>
      <c r="R6" s="11" t="s">
        <v>118</v>
      </c>
      <c r="S6" s="11" t="s">
        <v>122</v>
      </c>
      <c r="T6" s="11" t="s">
        <v>102</v>
      </c>
      <c r="U6" s="11" t="s">
        <v>103</v>
      </c>
      <c r="V6" s="11" t="s">
        <v>104</v>
      </c>
      <c r="W6" s="11" t="s">
        <v>105</v>
      </c>
      <c r="X6" s="11" t="s">
        <v>106</v>
      </c>
      <c r="Y6" s="11" t="s">
        <v>107</v>
      </c>
      <c r="Z6" s="11" t="s">
        <v>108</v>
      </c>
      <c r="AA6" s="11" t="s">
        <v>109</v>
      </c>
      <c r="AB6" s="11" t="s">
        <v>119</v>
      </c>
      <c r="AC6" s="11" t="s">
        <v>123</v>
      </c>
      <c r="AD6" s="11" t="s">
        <v>94</v>
      </c>
      <c r="AE6" s="11" t="s">
        <v>95</v>
      </c>
      <c r="AF6" s="11" t="s">
        <v>96</v>
      </c>
      <c r="AG6" s="11" t="s">
        <v>97</v>
      </c>
      <c r="AH6" s="11" t="s">
        <v>98</v>
      </c>
      <c r="AI6" s="11" t="s">
        <v>99</v>
      </c>
      <c r="AJ6" s="11" t="s">
        <v>100</v>
      </c>
      <c r="AK6" s="11" t="s">
        <v>101</v>
      </c>
    </row>
    <row r="7" spans="1:37" hidden="1" x14ac:dyDescent="0.25">
      <c r="A7" s="61">
        <v>502</v>
      </c>
      <c r="B7" s="14">
        <v>1</v>
      </c>
      <c r="C7" s="15">
        <v>43980</v>
      </c>
      <c r="D7" s="16">
        <v>0.79540509259259251</v>
      </c>
      <c r="E7" s="36">
        <v>20.2</v>
      </c>
      <c r="F7" s="36">
        <v>1.67</v>
      </c>
      <c r="G7" s="36">
        <v>0.73</v>
      </c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37"/>
      <c r="AC7" s="37"/>
      <c r="AD7" s="37"/>
      <c r="AE7" s="37"/>
      <c r="AF7" s="37"/>
      <c r="AG7" s="37"/>
      <c r="AH7" s="37"/>
      <c r="AI7" s="37"/>
      <c r="AJ7" s="37"/>
      <c r="AK7" s="37"/>
    </row>
    <row r="8" spans="1:37" hidden="1" x14ac:dyDescent="0.25">
      <c r="A8" s="61">
        <v>502</v>
      </c>
      <c r="B8" s="14">
        <f>B7+1</f>
        <v>2</v>
      </c>
      <c r="C8" s="15">
        <v>43980</v>
      </c>
      <c r="D8" s="16">
        <v>0.79679398148148151</v>
      </c>
      <c r="E8" s="36">
        <v>20.21</v>
      </c>
      <c r="F8" s="36">
        <v>0.26</v>
      </c>
      <c r="G8" s="36">
        <v>0.69</v>
      </c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37"/>
      <c r="AC8" s="37"/>
      <c r="AD8" s="37"/>
      <c r="AE8" s="37"/>
      <c r="AF8" s="37"/>
      <c r="AG8" s="37"/>
      <c r="AH8" s="37"/>
      <c r="AI8" s="37"/>
      <c r="AJ8" s="37"/>
      <c r="AK8" s="37"/>
    </row>
    <row r="9" spans="1:37" hidden="1" x14ac:dyDescent="0.25">
      <c r="A9" s="61">
        <v>502</v>
      </c>
      <c r="B9" s="14">
        <f t="shared" ref="B9:B72" si="0">B8+1</f>
        <v>3</v>
      </c>
      <c r="C9" s="15">
        <v>43980</v>
      </c>
      <c r="D9" s="16">
        <v>0.79818287037037028</v>
      </c>
      <c r="E9" s="36">
        <v>20.28</v>
      </c>
      <c r="F9" s="36">
        <v>2.17</v>
      </c>
      <c r="G9" s="36">
        <v>0.81</v>
      </c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37"/>
      <c r="AC9" s="37"/>
      <c r="AD9" s="37"/>
      <c r="AE9" s="37"/>
      <c r="AF9" s="37"/>
      <c r="AG9" s="37"/>
      <c r="AH9" s="37"/>
      <c r="AI9" s="37"/>
      <c r="AJ9" s="37"/>
      <c r="AK9" s="37"/>
    </row>
    <row r="10" spans="1:37" hidden="1" x14ac:dyDescent="0.25">
      <c r="A10" s="61">
        <v>502</v>
      </c>
      <c r="B10" s="14">
        <f t="shared" si="0"/>
        <v>4</v>
      </c>
      <c r="C10" s="15">
        <v>43980</v>
      </c>
      <c r="D10" s="16">
        <v>0.79957175925925927</v>
      </c>
      <c r="E10" s="36">
        <v>20.309999999999999</v>
      </c>
      <c r="F10" s="36">
        <v>0.77</v>
      </c>
      <c r="G10" s="36">
        <v>0.8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spans="1:37" hidden="1" x14ac:dyDescent="0.25">
      <c r="A11" s="61">
        <v>502</v>
      </c>
      <c r="B11" s="14">
        <f t="shared" si="0"/>
        <v>5</v>
      </c>
      <c r="C11" s="15">
        <v>43980</v>
      </c>
      <c r="D11" s="16">
        <v>0.80096064814814805</v>
      </c>
      <c r="E11" s="36">
        <v>20.329999999999998</v>
      </c>
      <c r="F11" s="36">
        <v>0.59</v>
      </c>
      <c r="G11" s="36">
        <v>0.79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37"/>
      <c r="AC11" s="37"/>
      <c r="AD11" s="37"/>
      <c r="AE11" s="37"/>
      <c r="AF11" s="37"/>
      <c r="AG11" s="37"/>
      <c r="AH11" s="37"/>
      <c r="AI11" s="37"/>
      <c r="AJ11" s="37"/>
      <c r="AK11" s="37"/>
    </row>
    <row r="12" spans="1:37" hidden="1" x14ac:dyDescent="0.25">
      <c r="A12" s="61">
        <v>502</v>
      </c>
      <c r="B12" s="14">
        <f t="shared" si="0"/>
        <v>6</v>
      </c>
      <c r="C12" s="15">
        <v>43980</v>
      </c>
      <c r="D12" s="16">
        <v>0.80234953703703704</v>
      </c>
      <c r="E12" s="36">
        <v>20.36</v>
      </c>
      <c r="F12" s="36">
        <v>1.17</v>
      </c>
      <c r="G12" s="36">
        <v>0.82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37"/>
      <c r="AC12" s="37"/>
      <c r="AD12" s="37"/>
      <c r="AE12" s="37"/>
      <c r="AF12" s="37"/>
      <c r="AG12" s="37"/>
      <c r="AH12" s="37"/>
      <c r="AI12" s="37"/>
      <c r="AJ12" s="37"/>
      <c r="AK12" s="37"/>
    </row>
    <row r="13" spans="1:37" hidden="1" x14ac:dyDescent="0.25">
      <c r="A13" s="61">
        <v>502</v>
      </c>
      <c r="B13" s="14">
        <f t="shared" si="0"/>
        <v>7</v>
      </c>
      <c r="C13" s="15">
        <v>43980</v>
      </c>
      <c r="D13" s="16">
        <v>0.80373842592592604</v>
      </c>
      <c r="E13" s="36">
        <v>22.79</v>
      </c>
      <c r="F13" s="36">
        <v>1.17</v>
      </c>
      <c r="G13" s="36">
        <v>0.85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37"/>
      <c r="AC13" s="37"/>
      <c r="AD13" s="37"/>
      <c r="AE13" s="37"/>
      <c r="AF13" s="37"/>
      <c r="AG13" s="37"/>
      <c r="AH13" s="37"/>
      <c r="AI13" s="37"/>
      <c r="AJ13" s="37"/>
      <c r="AK13" s="37"/>
    </row>
    <row r="14" spans="1:37" hidden="1" x14ac:dyDescent="0.25">
      <c r="A14" s="61">
        <v>502</v>
      </c>
      <c r="B14" s="14">
        <f t="shared" si="0"/>
        <v>8</v>
      </c>
      <c r="C14" s="15">
        <v>43980</v>
      </c>
      <c r="D14" s="16">
        <v>0.80512731481481481</v>
      </c>
      <c r="E14" s="36">
        <v>22.41</v>
      </c>
      <c r="F14" s="36">
        <v>1.17</v>
      </c>
      <c r="G14" s="36">
        <v>0.87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37"/>
      <c r="AC14" s="37"/>
      <c r="AD14" s="37"/>
      <c r="AE14" s="37"/>
      <c r="AF14" s="37"/>
      <c r="AG14" s="37"/>
      <c r="AH14" s="37"/>
      <c r="AI14" s="37"/>
      <c r="AJ14" s="37"/>
      <c r="AK14" s="37"/>
    </row>
    <row r="15" spans="1:37" hidden="1" x14ac:dyDescent="0.25">
      <c r="A15" s="61">
        <v>502</v>
      </c>
      <c r="B15" s="14">
        <f t="shared" si="0"/>
        <v>9</v>
      </c>
      <c r="C15" s="15">
        <v>43980</v>
      </c>
      <c r="D15" s="16">
        <v>0.8065162037037038</v>
      </c>
      <c r="E15" s="36">
        <v>22.29</v>
      </c>
      <c r="F15" s="36">
        <v>1.17</v>
      </c>
      <c r="G15" s="36">
        <v>0.89</v>
      </c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37"/>
      <c r="AC15" s="37"/>
      <c r="AD15" s="37"/>
      <c r="AE15" s="37"/>
      <c r="AF15" s="37"/>
      <c r="AG15" s="37"/>
      <c r="AH15" s="37"/>
      <c r="AI15" s="37"/>
      <c r="AJ15" s="37"/>
      <c r="AK15" s="37"/>
    </row>
    <row r="16" spans="1:37" hidden="1" x14ac:dyDescent="0.25">
      <c r="A16" s="61">
        <v>502</v>
      </c>
      <c r="B16" s="14">
        <f t="shared" si="0"/>
        <v>10</v>
      </c>
      <c r="C16" s="15">
        <v>43980</v>
      </c>
      <c r="D16" s="16">
        <v>0.80790509259259258</v>
      </c>
      <c r="E16" s="36">
        <v>22.22</v>
      </c>
      <c r="F16" s="36">
        <v>-1.5</v>
      </c>
      <c r="G16" s="36">
        <v>0.71</v>
      </c>
      <c r="H16" s="56" cm="1">
        <f t="array" ref="H16:I16">LINEST(E7:E16,D7:D16)</f>
        <v>221.93454545454455</v>
      </c>
      <c r="I16" s="56">
        <v>-156.77495858585786</v>
      </c>
      <c r="J16" s="56"/>
      <c r="K16" s="56"/>
      <c r="L16" s="56"/>
      <c r="M16" s="56"/>
      <c r="N16" s="56"/>
      <c r="O16" s="56"/>
      <c r="P16" s="56"/>
      <c r="Q16" s="56"/>
      <c r="R16" s="56" cm="1">
        <f t="array" ref="R16:S16">LINEST(F7:F16,D7:D16)</f>
        <v>-110.74909090908946</v>
      </c>
      <c r="S16" s="56">
        <v>89.646572727271561</v>
      </c>
      <c r="T16" s="56"/>
      <c r="U16" s="56"/>
      <c r="V16" s="56"/>
      <c r="W16" s="56"/>
      <c r="X16" s="56"/>
      <c r="Y16" s="56"/>
      <c r="Z16" s="56"/>
      <c r="AA16" s="56"/>
      <c r="AB16" s="37" cm="1">
        <f t="array" ref="AB16:AC16">LINEST(G7:G16,D7:D16)</f>
        <v>7.4181818181818109</v>
      </c>
      <c r="AC16" s="37">
        <v>-5.1508232323232255</v>
      </c>
      <c r="AD16" s="37"/>
      <c r="AE16" s="37"/>
      <c r="AF16" s="37"/>
      <c r="AG16" s="37"/>
      <c r="AH16" s="37"/>
      <c r="AI16" s="37"/>
      <c r="AJ16" s="37"/>
      <c r="AK16" s="37"/>
    </row>
    <row r="17" spans="1:37" hidden="1" x14ac:dyDescent="0.25">
      <c r="A17" s="61">
        <v>502</v>
      </c>
      <c r="B17" s="14">
        <f t="shared" si="0"/>
        <v>11</v>
      </c>
      <c r="C17" s="15">
        <v>43980</v>
      </c>
      <c r="D17" s="16">
        <v>0.80929398148148157</v>
      </c>
      <c r="E17" s="36">
        <v>22.23</v>
      </c>
      <c r="F17" s="36">
        <v>0.33</v>
      </c>
      <c r="G17" s="36">
        <v>0.68</v>
      </c>
      <c r="H17" s="56" cm="1">
        <f t="array" ref="H17:I17">LINEST(E8:E17,D8:D17)</f>
        <v>219.62181818181733</v>
      </c>
      <c r="I17" s="56">
        <v>-155.0229792929286</v>
      </c>
      <c r="J17" s="56"/>
      <c r="K17" s="56"/>
      <c r="L17" s="56"/>
      <c r="M17" s="56"/>
      <c r="N17" s="56"/>
      <c r="O17" s="56"/>
      <c r="P17" s="56"/>
      <c r="Q17" s="56"/>
      <c r="R17" s="56" cm="1">
        <f t="array" ref="R17:S17">LINEST(F8:F17,D8:D17)</f>
        <v>-93.032727272725936</v>
      </c>
      <c r="S17" s="56">
        <v>75.439371717170644</v>
      </c>
      <c r="T17" s="56"/>
      <c r="U17" s="56"/>
      <c r="V17" s="56"/>
      <c r="W17" s="56"/>
      <c r="X17" s="56"/>
      <c r="Y17" s="56"/>
      <c r="Z17" s="56"/>
      <c r="AA17" s="56"/>
      <c r="AB17" s="37" cm="1">
        <f t="array" ref="AB17:AC17">LINEST(G8:G17,D8:D17)</f>
        <v>-0.30545454545451778</v>
      </c>
      <c r="AC17" s="37">
        <v>1.036293434343412</v>
      </c>
      <c r="AD17" s="37"/>
      <c r="AE17" s="37"/>
      <c r="AF17" s="37"/>
      <c r="AG17" s="37"/>
      <c r="AH17" s="37"/>
      <c r="AI17" s="37"/>
      <c r="AJ17" s="37"/>
      <c r="AK17" s="37"/>
    </row>
    <row r="18" spans="1:37" hidden="1" x14ac:dyDescent="0.25">
      <c r="A18" s="61">
        <v>502</v>
      </c>
      <c r="B18" s="14">
        <f t="shared" si="0"/>
        <v>12</v>
      </c>
      <c r="C18" s="15">
        <v>43980</v>
      </c>
      <c r="D18" s="16">
        <v>0.81068287037037035</v>
      </c>
      <c r="E18" s="36">
        <v>22.24</v>
      </c>
      <c r="F18" s="36">
        <v>0.25</v>
      </c>
      <c r="G18" s="36">
        <v>0.64</v>
      </c>
      <c r="H18" s="56" cm="1">
        <f t="array" ref="H18:I18">LINEST(E9:E18,D9:D18)</f>
        <v>200.46545454545435</v>
      </c>
      <c r="I18" s="56">
        <v>-139.71500101010082</v>
      </c>
      <c r="J18" s="56"/>
      <c r="K18" s="56"/>
      <c r="L18" s="56"/>
      <c r="M18" s="56"/>
      <c r="N18" s="56"/>
      <c r="O18" s="56"/>
      <c r="P18" s="56"/>
      <c r="Q18" s="56"/>
      <c r="R18" s="56" cm="1">
        <f t="array" ref="R18:S18">LINEST(F9:F18,D9:D18)</f>
        <v>-134.4436363636344</v>
      </c>
      <c r="S18" s="56">
        <v>108.87988030302868</v>
      </c>
      <c r="T18" s="56"/>
      <c r="U18" s="56"/>
      <c r="V18" s="56"/>
      <c r="W18" s="56"/>
      <c r="X18" s="56"/>
      <c r="Y18" s="56"/>
      <c r="Z18" s="56"/>
      <c r="AA18" s="56"/>
      <c r="AB18" s="37" cm="1">
        <f t="array" ref="AB18:AC18">LINEST(G9:G18,D9:D18)</f>
        <v>-11.083636363636131</v>
      </c>
      <c r="AC18" s="37">
        <v>9.7020414141412239</v>
      </c>
      <c r="AD18" s="37"/>
      <c r="AE18" s="37"/>
      <c r="AF18" s="37"/>
      <c r="AG18" s="37"/>
      <c r="AH18" s="37"/>
      <c r="AI18" s="37"/>
      <c r="AJ18" s="37"/>
      <c r="AK18" s="37"/>
    </row>
    <row r="19" spans="1:37" hidden="1" x14ac:dyDescent="0.25">
      <c r="A19" s="61">
        <v>502</v>
      </c>
      <c r="B19" s="14">
        <f t="shared" si="0"/>
        <v>13</v>
      </c>
      <c r="C19" s="15">
        <v>43980</v>
      </c>
      <c r="D19" s="16">
        <v>0.81207175925925934</v>
      </c>
      <c r="E19" s="36">
        <v>22.26</v>
      </c>
      <c r="F19" s="36">
        <v>0.48</v>
      </c>
      <c r="G19" s="36">
        <v>0.63</v>
      </c>
      <c r="H19" s="56" cm="1">
        <f t="array" ref="H19:I19">LINEST(E10:E19,D10:D19)</f>
        <v>167.73818181818228</v>
      </c>
      <c r="I19" s="56">
        <v>-113.42307676767712</v>
      </c>
      <c r="J19" s="56"/>
      <c r="K19" s="56"/>
      <c r="L19" s="56"/>
      <c r="M19" s="56"/>
      <c r="N19" s="56"/>
      <c r="O19" s="56"/>
      <c r="P19" s="56"/>
      <c r="Q19" s="56"/>
      <c r="R19" s="56" cm="1">
        <f t="array" ref="R19:S19">LINEST(F10:F19,D10:D19)</f>
        <v>-75.054545454543714</v>
      </c>
      <c r="S19" s="56">
        <v>61.04058585858445</v>
      </c>
      <c r="T19" s="56"/>
      <c r="U19" s="56"/>
      <c r="V19" s="56"/>
      <c r="W19" s="56"/>
      <c r="X19" s="56"/>
      <c r="Y19" s="56"/>
      <c r="Z19" s="56"/>
      <c r="AA19" s="56"/>
      <c r="AB19" s="37" cm="1">
        <f t="array" ref="AB19:AC19">LINEST(G10:G19,D10:D19)</f>
        <v>-16.058181818181609</v>
      </c>
      <c r="AC19" s="37">
        <v>13.708032323232153</v>
      </c>
      <c r="AD19" s="37"/>
      <c r="AE19" s="37"/>
      <c r="AF19" s="37"/>
      <c r="AG19" s="37"/>
      <c r="AH19" s="37"/>
      <c r="AI19" s="37"/>
      <c r="AJ19" s="37"/>
      <c r="AK19" s="37"/>
    </row>
    <row r="20" spans="1:37" hidden="1" x14ac:dyDescent="0.25">
      <c r="A20" s="61">
        <v>502</v>
      </c>
      <c r="B20" s="14">
        <f t="shared" si="0"/>
        <v>14</v>
      </c>
      <c r="C20" s="15">
        <v>43980</v>
      </c>
      <c r="D20" s="16">
        <v>0.81346064814814811</v>
      </c>
      <c r="E20" s="36">
        <v>22.28</v>
      </c>
      <c r="F20" s="36">
        <v>0.6</v>
      </c>
      <c r="G20" s="36">
        <v>0.63</v>
      </c>
      <c r="H20" s="56" cm="1">
        <f t="array" ref="H20:I20">LINEST(E11:E20,D11:D20)</f>
        <v>119.95636363636504</v>
      </c>
      <c r="I20" s="56">
        <v>-74.889054040405185</v>
      </c>
      <c r="J20" s="56"/>
      <c r="K20" s="56"/>
      <c r="L20" s="56"/>
      <c r="M20" s="56"/>
      <c r="N20" s="56"/>
      <c r="O20" s="56"/>
      <c r="P20" s="56"/>
      <c r="Q20" s="56"/>
      <c r="R20" s="56" cm="1">
        <f t="array" ref="R20:S20">LINEST(F11:F20,D11:D20)</f>
        <v>-63.403636363635137</v>
      </c>
      <c r="S20" s="56">
        <v>51.723090404039418</v>
      </c>
      <c r="T20" s="56"/>
      <c r="U20" s="56"/>
      <c r="V20" s="56"/>
      <c r="W20" s="56"/>
      <c r="X20" s="56"/>
      <c r="Y20" s="56"/>
      <c r="Z20" s="56"/>
      <c r="AA20" s="56"/>
      <c r="AB20" s="37" cm="1">
        <f t="array" ref="AB20:AC20">LINEST(G11:G20,D11:D20)</f>
        <v>-19.941818181818</v>
      </c>
      <c r="AC20" s="37">
        <v>16.848247979797836</v>
      </c>
      <c r="AD20" s="37"/>
      <c r="AE20" s="37"/>
      <c r="AF20" s="37"/>
      <c r="AG20" s="37"/>
      <c r="AH20" s="37"/>
      <c r="AI20" s="37"/>
      <c r="AJ20" s="37"/>
      <c r="AK20" s="37"/>
    </row>
    <row r="21" spans="1:37" hidden="1" x14ac:dyDescent="0.25">
      <c r="A21" s="61">
        <v>502</v>
      </c>
      <c r="B21" s="14">
        <f t="shared" si="0"/>
        <v>15</v>
      </c>
      <c r="C21" s="15">
        <v>43980</v>
      </c>
      <c r="D21" s="16">
        <v>0.81484953703703711</v>
      </c>
      <c r="E21" s="36">
        <v>22.29</v>
      </c>
      <c r="F21" s="36">
        <v>0.27</v>
      </c>
      <c r="G21" s="36">
        <v>0.6</v>
      </c>
      <c r="H21" s="56" cm="1">
        <f t="array" ref="H21:I21">LINEST(E12:E21,D12:D21)</f>
        <v>56.334545454546308</v>
      </c>
      <c r="I21" s="56">
        <v>-23.415087373738071</v>
      </c>
      <c r="J21" s="56" cm="1">
        <f t="array" ref="J21:K21">LINEST(E7:E21,D7:D21)</f>
        <v>137.80285714285694</v>
      </c>
      <c r="K21" s="56">
        <v>-89.43551101190458</v>
      </c>
      <c r="L21" s="56"/>
      <c r="M21" s="56"/>
      <c r="N21" s="56"/>
      <c r="O21" s="56"/>
      <c r="P21" s="56"/>
      <c r="Q21" s="56"/>
      <c r="R21" s="56" cm="1">
        <f t="array" ref="R21:S21">LINEST(F12:F21,D12:D21)</f>
        <v>-71.869090909090204</v>
      </c>
      <c r="S21" s="56">
        <v>58.624313636363077</v>
      </c>
      <c r="T21" s="56" cm="1">
        <f t="array" ref="T21:U21">LINEST(F7:F21,D7:D21)</f>
        <v>-62.768571428571072</v>
      </c>
      <c r="U21" s="56">
        <v>51.241358035713994</v>
      </c>
      <c r="V21" s="56"/>
      <c r="W21" s="56"/>
      <c r="X21" s="56"/>
      <c r="Y21" s="56"/>
      <c r="Z21" s="56"/>
      <c r="AA21" s="56"/>
      <c r="AB21" s="37" cm="1">
        <f t="array" ref="AB21:AC21">LINEST(G12:G21,D12:D21)</f>
        <v>-23.999999999999972</v>
      </c>
      <c r="AC21" s="37">
        <v>20.138388888888869</v>
      </c>
      <c r="AD21" s="37" cm="1">
        <f t="array" ref="AD21:AE21">LINEST(G7:G21,D7:D21)</f>
        <v>-8.5371428571427757</v>
      </c>
      <c r="AE21" s="37">
        <v>7.6161535714285051</v>
      </c>
      <c r="AF21" s="37"/>
      <c r="AG21" s="37"/>
      <c r="AH21" s="37"/>
      <c r="AI21" s="37"/>
      <c r="AJ21" s="37"/>
      <c r="AK21" s="37"/>
    </row>
    <row r="22" spans="1:37" hidden="1" x14ac:dyDescent="0.25">
      <c r="A22" s="61">
        <v>502</v>
      </c>
      <c r="B22" s="14">
        <f t="shared" si="0"/>
        <v>16</v>
      </c>
      <c r="C22" s="15">
        <v>43980</v>
      </c>
      <c r="D22" s="16">
        <v>0.81623842592592588</v>
      </c>
      <c r="E22" s="36">
        <v>22.34</v>
      </c>
      <c r="F22" s="36">
        <v>1.45</v>
      </c>
      <c r="G22" s="36">
        <v>0.67</v>
      </c>
      <c r="H22" s="56" cm="1">
        <f t="array" ref="H22:I22">LINEST(E13:E22,D13:D22)</f>
        <v>-20.989090909090887</v>
      </c>
      <c r="I22" s="56">
        <v>39.335920707070684</v>
      </c>
      <c r="J22" s="56" cm="1">
        <f t="array" ref="J22:K22">LINEST(E8:E22,D8:D22)</f>
        <v>125.66571428571457</v>
      </c>
      <c r="K22" s="56">
        <v>-79.695434821428776</v>
      </c>
      <c r="L22" s="56"/>
      <c r="M22" s="56"/>
      <c r="N22" s="56"/>
      <c r="O22" s="56"/>
      <c r="P22" s="56"/>
      <c r="Q22" s="56"/>
      <c r="R22" s="56" cm="1">
        <f t="array" ref="R22:S22">LINEST(F13:F22,D13:D22)</f>
        <v>-3.3599999999995434</v>
      </c>
      <c r="S22" s="56">
        <v>3.2605611111107411</v>
      </c>
      <c r="T22" s="56" cm="1">
        <f t="array" ref="T22:U22">LINEST(F8:F22,D8:D22)</f>
        <v>-29.494285714285756</v>
      </c>
      <c r="U22" s="56">
        <v>24.477619345238125</v>
      </c>
      <c r="V22" s="56"/>
      <c r="W22" s="56"/>
      <c r="X22" s="56"/>
      <c r="Y22" s="56"/>
      <c r="Z22" s="56"/>
      <c r="AA22" s="56"/>
      <c r="AB22" s="37" cm="1">
        <f t="array" ref="AB22:AC22">LINEST(G13:G22,D13:D22)</f>
        <v>-22.210909090909222</v>
      </c>
      <c r="AC22" s="37">
        <v>18.707579292929399</v>
      </c>
      <c r="AD22" s="37" cm="1">
        <f t="array" ref="AD22:AE22">LINEST(G8:G22,D8:D22)</f>
        <v>-10.105714285714242</v>
      </c>
      <c r="AE22" s="37">
        <v>8.8890889880952031</v>
      </c>
      <c r="AF22" s="37"/>
      <c r="AG22" s="37"/>
      <c r="AH22" s="37"/>
      <c r="AI22" s="37"/>
      <c r="AJ22" s="37"/>
      <c r="AK22" s="37"/>
    </row>
    <row r="23" spans="1:37" hidden="1" x14ac:dyDescent="0.25">
      <c r="A23" s="61">
        <v>502</v>
      </c>
      <c r="B23" s="14">
        <f t="shared" si="0"/>
        <v>17</v>
      </c>
      <c r="C23" s="15">
        <v>43980</v>
      </c>
      <c r="D23" s="16">
        <v>0.81762731481481488</v>
      </c>
      <c r="E23" s="36">
        <v>22.32</v>
      </c>
      <c r="F23" s="36">
        <v>-0.54</v>
      </c>
      <c r="G23" s="36">
        <v>0.56999999999999995</v>
      </c>
      <c r="H23" s="56" cm="1">
        <f t="array" ref="H23:I23">LINEST(E14:E23,D14:D23)</f>
        <v>0.26181818181820188</v>
      </c>
      <c r="I23" s="56">
        <v>22.075566666666649</v>
      </c>
      <c r="J23" s="56" cm="1">
        <f t="array" ref="J23:K23">LINEST(E9:E23,D9:D23)</f>
        <v>107.87142857142885</v>
      </c>
      <c r="K23" s="56">
        <v>-65.353209821428777</v>
      </c>
      <c r="L23" s="56"/>
      <c r="M23" s="56"/>
      <c r="N23" s="56"/>
      <c r="O23" s="56"/>
      <c r="P23" s="56"/>
      <c r="Q23" s="56"/>
      <c r="R23" s="56" cm="1">
        <f t="array" ref="R23:S23">LINEST(F14:F23,D14:D23)</f>
        <v>-15.447272727272802</v>
      </c>
      <c r="S23" s="56">
        <v>12.901566666666728</v>
      </c>
      <c r="T23" s="56" cm="1">
        <f t="array" ref="T23:U23">LINEST(F9:F23,D9:D23)</f>
        <v>-60.479999999999876</v>
      </c>
      <c r="U23" s="56">
        <v>49.498766666666555</v>
      </c>
      <c r="V23" s="56"/>
      <c r="W23" s="56"/>
      <c r="X23" s="56"/>
      <c r="Y23" s="56"/>
      <c r="Z23" s="56"/>
      <c r="AA23" s="56"/>
      <c r="AB23" s="37" cm="1">
        <f t="array" ref="AB23:AC23">LINEST(G14:G23,D14:D23)</f>
        <v>-21.600000000000019</v>
      </c>
      <c r="AC23" s="37">
        <v>18.214750000000016</v>
      </c>
      <c r="AD23" s="37" cm="1">
        <f t="array" ref="AD23:AE23">LINEST(G9:G23,D9:D23)</f>
        <v>-14.142857142857061</v>
      </c>
      <c r="AE23" s="37">
        <v>12.156752976190408</v>
      </c>
      <c r="AF23" s="37"/>
      <c r="AG23" s="37"/>
      <c r="AH23" s="37"/>
      <c r="AI23" s="37"/>
      <c r="AJ23" s="37"/>
      <c r="AK23" s="37"/>
    </row>
    <row r="24" spans="1:37" hidden="1" x14ac:dyDescent="0.25">
      <c r="A24" s="61">
        <v>502</v>
      </c>
      <c r="B24" s="14">
        <f t="shared" si="0"/>
        <v>18</v>
      </c>
      <c r="C24" s="15">
        <v>43980</v>
      </c>
      <c r="D24" s="16">
        <v>0.81901620370370365</v>
      </c>
      <c r="E24" s="36">
        <v>22.36</v>
      </c>
      <c r="F24" s="36">
        <v>1.25</v>
      </c>
      <c r="G24" s="36">
        <v>0.63</v>
      </c>
      <c r="H24" s="56" cm="1">
        <f t="array" ref="H24:I24">LINEST(E15:E24,D15:D24)</f>
        <v>8.9454545454546519</v>
      </c>
      <c r="I24" s="56">
        <v>15.01243686868678</v>
      </c>
      <c r="J24" s="56" cm="1">
        <f t="array" ref="J24:K24">LINEST(E10:E24,D10:D24)</f>
        <v>86.811428571429232</v>
      </c>
      <c r="K24" s="56">
        <v>-48.320633333333859</v>
      </c>
      <c r="L24" s="56"/>
      <c r="M24" s="56"/>
      <c r="N24" s="56"/>
      <c r="O24" s="56"/>
      <c r="P24" s="56"/>
      <c r="Q24" s="56"/>
      <c r="R24" s="56" cm="1">
        <f t="array" ref="R24:S24">LINEST(F15:F24,D15:D24)</f>
        <v>57.687272727272983</v>
      </c>
      <c r="S24" s="56">
        <v>-46.510265656565871</v>
      </c>
      <c r="T24" s="56" cm="1">
        <f t="array" ref="T24:U24">LINEST(F10:F24,D10:D24)</f>
        <v>-17.897142857142914</v>
      </c>
      <c r="U24" s="56">
        <v>15.059383333333376</v>
      </c>
      <c r="V24" s="56"/>
      <c r="W24" s="56"/>
      <c r="X24" s="56"/>
      <c r="Y24" s="56"/>
      <c r="Z24" s="56"/>
      <c r="AA24" s="56"/>
      <c r="AB24" s="37" cm="1">
        <f t="array" ref="AB24:AC24">LINEST(G15:G24,D15:D24)</f>
        <v>-15.229090909091008</v>
      </c>
      <c r="AC24" s="37">
        <v>13.042690404040485</v>
      </c>
      <c r="AD24" s="37" cm="1">
        <f t="array" ref="AD24:AE24">LINEST(G10:G24,D10:D24)</f>
        <v>-14.322857142857131</v>
      </c>
      <c r="AE24" s="37">
        <v>12.31006874999999</v>
      </c>
      <c r="AF24" s="37"/>
      <c r="AG24" s="37"/>
      <c r="AH24" s="37"/>
      <c r="AI24" s="37"/>
      <c r="AJ24" s="37"/>
      <c r="AK24" s="37"/>
    </row>
    <row r="25" spans="1:37" hidden="1" x14ac:dyDescent="0.25">
      <c r="A25" s="61">
        <v>502</v>
      </c>
      <c r="B25" s="14">
        <f t="shared" si="0"/>
        <v>19</v>
      </c>
      <c r="C25" s="15">
        <v>43980</v>
      </c>
      <c r="D25" s="16">
        <v>0.82040509259259264</v>
      </c>
      <c r="E25" s="36">
        <v>22.39</v>
      </c>
      <c r="F25" s="36">
        <v>0.81</v>
      </c>
      <c r="G25" s="36">
        <v>0.64</v>
      </c>
      <c r="H25" s="56" cm="1">
        <f t="array" ref="H25:I25">LINEST(E16:E25,D16:D25)</f>
        <v>13.48363636363641</v>
      </c>
      <c r="I25" s="56">
        <v>11.315228787878748</v>
      </c>
      <c r="J25" s="56" cm="1">
        <f t="array" ref="J25:K25">LINEST(E11:E25,D11:D25)</f>
        <v>61.560000000000571</v>
      </c>
      <c r="K25" s="56">
        <v>-27.831637500000468</v>
      </c>
      <c r="L25" s="56"/>
      <c r="M25" s="56"/>
      <c r="N25" s="56"/>
      <c r="O25" s="56"/>
      <c r="P25" s="56"/>
      <c r="Q25" s="56"/>
      <c r="R25" s="56" cm="1">
        <f t="array" ref="R25:S25">LINEST(F16:F25,D16:D25)</f>
        <v>112.84363636363598</v>
      </c>
      <c r="S25" s="56">
        <v>-91.532221212120902</v>
      </c>
      <c r="T25" s="56" cm="1">
        <f t="array" ref="T25:U25">LINEST(F11:F25,D11:D25)</f>
        <v>-9.6685714285714628</v>
      </c>
      <c r="U25" s="56">
        <v>8.4161452380952664</v>
      </c>
      <c r="V25" s="56"/>
      <c r="W25" s="56"/>
      <c r="X25" s="56"/>
      <c r="Y25" s="56"/>
      <c r="Z25" s="56"/>
      <c r="AA25" s="56"/>
      <c r="AB25" s="37" cm="1">
        <f t="array" ref="AB25:AC25">LINEST(G16:G25,D16:D25)</f>
        <v>-5.4109090909091409</v>
      </c>
      <c r="AC25" s="37">
        <v>5.0453191919192326</v>
      </c>
      <c r="AD25" s="37" cm="1">
        <f t="array" ref="AD25:AE25">LINEST(G11:G25,D11:D25)</f>
        <v>-14.065714285714265</v>
      </c>
      <c r="AE25" s="37">
        <v>12.110833630952365</v>
      </c>
      <c r="AF25" s="37"/>
      <c r="AG25" s="37"/>
      <c r="AH25" s="37"/>
      <c r="AI25" s="37"/>
      <c r="AJ25" s="37"/>
      <c r="AK25" s="37"/>
    </row>
    <row r="26" spans="1:37" hidden="1" x14ac:dyDescent="0.25">
      <c r="A26" s="61">
        <v>502</v>
      </c>
      <c r="B26" s="14">
        <f t="shared" si="0"/>
        <v>20</v>
      </c>
      <c r="C26" s="15">
        <v>43980</v>
      </c>
      <c r="D26" s="16">
        <v>0.82179398148148142</v>
      </c>
      <c r="E26" s="36">
        <v>22.4</v>
      </c>
      <c r="F26" s="36">
        <v>0.38</v>
      </c>
      <c r="G26" s="36">
        <v>0.62</v>
      </c>
      <c r="H26" s="56" cm="1">
        <f t="array" ref="H26:I26">LINEST(E17:E26,D17:D26)</f>
        <v>14.181818181818194</v>
      </c>
      <c r="I26" s="56">
        <v>10.745103535353524</v>
      </c>
      <c r="J26" s="56" cm="1">
        <f t="array" ref="J26:K26">LINEST(E12:E26,D12:D26)</f>
        <v>31.551428571428918</v>
      </c>
      <c r="K26" s="56">
        <v>-3.4100241071431441</v>
      </c>
      <c r="L26" s="56" cm="1">
        <f t="array" ref="L26:M26">LINEST(E7:E26,D7:D26)</f>
        <v>92.685112781955141</v>
      </c>
      <c r="M26" s="56">
        <v>-53.219639285714479</v>
      </c>
      <c r="N26" s="56"/>
      <c r="O26" s="56"/>
      <c r="P26" s="56"/>
      <c r="Q26" s="56"/>
      <c r="R26" s="56" cm="1">
        <f t="array" ref="R26:S26">LINEST(F17:F26,D17:D26)</f>
        <v>26.094545454544779</v>
      </c>
      <c r="S26" s="56">
        <v>-20.753249494948946</v>
      </c>
      <c r="T26" s="56" cm="1">
        <f t="array" ref="T26:U26">LINEST(F12:F26,D12:D26)</f>
        <v>-12.985714285714378</v>
      </c>
      <c r="U26" s="56">
        <v>11.109331845238172</v>
      </c>
      <c r="V26" s="56" cm="1">
        <f t="array" ref="V26:W26">LINEST(F7:F26,D7:D26)</f>
        <v>-28.691729323308408</v>
      </c>
      <c r="W26" s="56">
        <v>23.896119047619155</v>
      </c>
      <c r="X26" s="56"/>
      <c r="Y26" s="56"/>
      <c r="Z26" s="56"/>
      <c r="AA26" s="56"/>
      <c r="AB26" s="37" cm="1">
        <f t="array" ref="AB26:AC26">LINEST(G17:G26,D17:D26)</f>
        <v>-2.8363636363636866</v>
      </c>
      <c r="AC26" s="37">
        <v>2.9441792929293342</v>
      </c>
      <c r="AD26" s="37" cm="1">
        <f t="array" ref="AD26:AE26">LINEST(G12:G26,D12:D26)</f>
        <v>-13.962857142857196</v>
      </c>
      <c r="AE26" s="37">
        <v>12.035508630952426</v>
      </c>
      <c r="AF26" s="37" cm="1">
        <f t="array" ref="AF26:AG26">LINEST(G7:G26,D7:D26)</f>
        <v>-8.3639097744360686</v>
      </c>
      <c r="AG26" s="37">
        <v>7.4765535714285525</v>
      </c>
      <c r="AH26" s="37"/>
      <c r="AI26" s="37"/>
      <c r="AJ26" s="37"/>
      <c r="AK26" s="37"/>
    </row>
    <row r="27" spans="1:37" hidden="1" x14ac:dyDescent="0.25">
      <c r="A27" s="61">
        <v>502</v>
      </c>
      <c r="B27" s="14">
        <f t="shared" si="0"/>
        <v>21</v>
      </c>
      <c r="C27" s="15">
        <v>43980</v>
      </c>
      <c r="D27" s="16">
        <v>0.82318287037037041</v>
      </c>
      <c r="E27" s="36">
        <v>22.39</v>
      </c>
      <c r="F27" s="36">
        <v>-0.36</v>
      </c>
      <c r="G27" s="36">
        <v>0.54</v>
      </c>
      <c r="H27" s="56" cm="1">
        <f t="array" ref="H27:I27">LINEST(E18:E27,D18:D27)</f>
        <v>13.396363636363612</v>
      </c>
      <c r="I27" s="56">
        <v>11.383070202020221</v>
      </c>
      <c r="J27" s="56" cm="1">
        <f t="array" ref="J27:K27">LINEST(E13:E27,D13:D27)</f>
        <v>-3.3428571428570901</v>
      </c>
      <c r="K27" s="56">
        <v>25.066616071428523</v>
      </c>
      <c r="L27" s="56" cm="1">
        <f t="array" ref="L27:M27">LINEST(E8:E27,D8:D27)</f>
        <v>82.177443609022816</v>
      </c>
      <c r="M27" s="56">
        <v>-44.727778195488931</v>
      </c>
      <c r="N27" s="56"/>
      <c r="O27" s="56"/>
      <c r="P27" s="56"/>
      <c r="Q27" s="56"/>
      <c r="R27" s="56" cm="1">
        <f t="array" ref="R27:S27">LINEST(F18:F27,D18:D27)</f>
        <v>-18.28363636363747</v>
      </c>
      <c r="S27" s="56">
        <v>15.395503535354438</v>
      </c>
      <c r="T27" s="56" cm="1">
        <f t="array" ref="T27:U27">LINEST(F13:F27,D13:D27)</f>
        <v>-17.151428571428699</v>
      </c>
      <c r="U27" s="56">
        <v>14.414012202381056</v>
      </c>
      <c r="V27" s="56" cm="1">
        <f t="array" ref="V27:W27">LINEST(F8:F27,D8:D27)</f>
        <v>-28.480601503759516</v>
      </c>
      <c r="W27" s="56">
        <v>23.663457581453727</v>
      </c>
      <c r="X27" s="56"/>
      <c r="Y27" s="56"/>
      <c r="Z27" s="56"/>
      <c r="AA27" s="56"/>
      <c r="AB27" s="37" cm="1">
        <f t="array" ref="AB27:AC27">LINEST(G18:G27,D18:D27)</f>
        <v>-4.0581818181818852</v>
      </c>
      <c r="AC27" s="37">
        <v>3.9322621212121756</v>
      </c>
      <c r="AD27" s="37" cm="1">
        <f t="array" ref="AD27:AE27">LINEST(G13:G27,D13:D27)</f>
        <v>-14.24571428571433</v>
      </c>
      <c r="AE27" s="37">
        <v>12.26632797619051</v>
      </c>
      <c r="AF27" s="37" cm="1">
        <f t="array" ref="AF27:AG27">LINEST(G8:G27,D8:D27)</f>
        <v>-9.9609022556390858</v>
      </c>
      <c r="AG27" s="37">
        <v>8.7722155388471084</v>
      </c>
      <c r="AH27" s="37"/>
      <c r="AI27" s="37"/>
      <c r="AJ27" s="37"/>
      <c r="AK27" s="37"/>
    </row>
    <row r="28" spans="1:37" hidden="1" x14ac:dyDescent="0.25">
      <c r="A28" s="61">
        <v>502</v>
      </c>
      <c r="B28" s="14">
        <f t="shared" si="0"/>
        <v>22</v>
      </c>
      <c r="C28" s="15">
        <v>43980</v>
      </c>
      <c r="D28" s="16">
        <v>0.8245717592592593</v>
      </c>
      <c r="E28" s="36">
        <v>22.42</v>
      </c>
      <c r="F28" s="36">
        <v>1.06</v>
      </c>
      <c r="G28" s="36">
        <v>0.57999999999999996</v>
      </c>
      <c r="H28" s="56" cm="1">
        <f t="array" ref="H28:I28">LINEST(E19:E28,D19:D28)</f>
        <v>12.872727272727252</v>
      </c>
      <c r="I28" s="56">
        <v>11.810967171717195</v>
      </c>
      <c r="J28" s="56" cm="1">
        <f t="array" ref="J28:K28">LINEST(E14:E28,D14:D28)</f>
        <v>7.0714285714286182</v>
      </c>
      <c r="K28" s="56">
        <v>16.56051636904758</v>
      </c>
      <c r="L28" s="56" cm="1">
        <f t="array" ref="L28:M28">LINEST(E9:E28,D9:D28)</f>
        <v>69.720902255639359</v>
      </c>
      <c r="M28" s="56">
        <v>-34.624458458646828</v>
      </c>
      <c r="N28" s="56"/>
      <c r="O28" s="56"/>
      <c r="P28" s="56"/>
      <c r="Q28" s="56"/>
      <c r="R28" s="56" cm="1">
        <f t="array" ref="R28:S28">LINEST(F19:F28,D19:D28)</f>
        <v>-4.7127272727283298</v>
      </c>
      <c r="S28" s="56">
        <v>4.3965272727281377</v>
      </c>
      <c r="T28" s="56" cm="1">
        <f t="array" ref="T28:U28">LINEST(F14:F28,D14:D28)</f>
        <v>8.1771428571427709</v>
      </c>
      <c r="U28" s="56">
        <v>-6.2084744047618354</v>
      </c>
      <c r="V28" s="56" cm="1">
        <f t="array" ref="V28:W28">LINEST(F9:F28,D9:D28)</f>
        <v>-27.495338345864756</v>
      </c>
      <c r="W28" s="56">
        <v>22.943593796992555</v>
      </c>
      <c r="X28" s="56"/>
      <c r="Y28" s="56"/>
      <c r="Z28" s="56"/>
      <c r="AA28" s="56"/>
      <c r="AB28" s="37" cm="1">
        <f t="array" ref="AB28:AC28">LINEST(G19:G28,D19:D28)</f>
        <v>-4.4072727272728001</v>
      </c>
      <c r="AC28" s="37">
        <v>4.2175671717172314</v>
      </c>
      <c r="AD28" s="37" cm="1">
        <f t="array" ref="AD28:AE28">LINEST(G14:G28,D14:D28)</f>
        <v>-12.471428571428598</v>
      </c>
      <c r="AE28" s="37">
        <v>10.82233779761907</v>
      </c>
      <c r="AF28" s="37" cm="1">
        <f t="array" ref="AF28:AG28">LINEST(G9:G28,D9:D28)</f>
        <v>-11.395488721804492</v>
      </c>
      <c r="AG28" s="37">
        <v>9.9445410401002334</v>
      </c>
      <c r="AH28" s="37"/>
      <c r="AI28" s="37"/>
      <c r="AJ28" s="37"/>
      <c r="AK28" s="37"/>
    </row>
    <row r="29" spans="1:37" hidden="1" x14ac:dyDescent="0.25">
      <c r="A29" s="61">
        <v>502</v>
      </c>
      <c r="B29" s="14">
        <f t="shared" si="0"/>
        <v>23</v>
      </c>
      <c r="C29" s="15">
        <v>43980</v>
      </c>
      <c r="D29" s="16">
        <v>0.82596064814814818</v>
      </c>
      <c r="E29" s="36">
        <v>22.42</v>
      </c>
      <c r="F29" s="36">
        <v>-0.09</v>
      </c>
      <c r="G29" s="36">
        <v>0.53</v>
      </c>
      <c r="H29" s="56" cm="1">
        <f t="array" ref="H29:I29">LINEST(E20:E29,D20:D29)</f>
        <v>11.738181818181866</v>
      </c>
      <c r="I29" s="56">
        <v>12.739087373737334</v>
      </c>
      <c r="J29" s="56" cm="1">
        <f t="array" ref="J29:K29">LINEST(E15:E29,D15:D29)</f>
        <v>10.620000000000102</v>
      </c>
      <c r="K29" s="56">
        <v>13.654881249999914</v>
      </c>
      <c r="L29" s="56" cm="1">
        <f t="array" ref="L29:M29">LINEST(E10:E29,D10:D29)</f>
        <v>55.667368421052942</v>
      </c>
      <c r="M29" s="56">
        <v>-23.192055701754629</v>
      </c>
      <c r="N29" s="56"/>
      <c r="O29" s="56"/>
      <c r="P29" s="56"/>
      <c r="Q29" s="56"/>
      <c r="R29" s="56" cm="1">
        <f t="array" ref="R29:S29">LINEST(F20:F29,D20:D29)</f>
        <v>-32.334545454546394</v>
      </c>
      <c r="S29" s="56">
        <v>26.987971212121984</v>
      </c>
      <c r="T29" s="56" cm="1">
        <f t="array" ref="T29:U29">LINEST(F15:F29,D15:D29)</f>
        <v>13.088571428571406</v>
      </c>
      <c r="U29" s="56">
        <v>-10.312728273809507</v>
      </c>
      <c r="V29" s="56" cm="1">
        <f t="array" ref="V29:W29">LINEST(F10:F29,D10:D29)</f>
        <v>-17.491127819548893</v>
      </c>
      <c r="W29" s="56">
        <v>14.737697556390991</v>
      </c>
      <c r="X29" s="56"/>
      <c r="Y29" s="56"/>
      <c r="Z29" s="56"/>
      <c r="AA29" s="56"/>
      <c r="AB29" s="37" cm="1">
        <f t="array" ref="AB29:AC29">LINEST(G20:G29,D20:D29)</f>
        <v>-6.6763636363636829</v>
      </c>
      <c r="AC29" s="37">
        <v>6.0736863636364022</v>
      </c>
      <c r="AD29" s="37" cm="1">
        <f t="array" ref="AD29:AE29">LINEST(G15:G29,D15:D29)</f>
        <v>-10.491428571428587</v>
      </c>
      <c r="AE29" s="37">
        <v>9.2008404761904892</v>
      </c>
      <c r="AF29" s="37" cm="1">
        <f t="array" ref="AF29:AG29">LINEST(G10:G29,D10:D29)</f>
        <v>-11.861052631578938</v>
      </c>
      <c r="AG29" s="37">
        <v>10.324762719298235</v>
      </c>
      <c r="AH29" s="37"/>
      <c r="AI29" s="37"/>
      <c r="AJ29" s="37"/>
      <c r="AK29" s="37"/>
    </row>
    <row r="30" spans="1:37" hidden="1" x14ac:dyDescent="0.25">
      <c r="A30" s="61">
        <v>502</v>
      </c>
      <c r="B30" s="14">
        <f t="shared" si="0"/>
        <v>24</v>
      </c>
      <c r="C30" s="15">
        <v>43980</v>
      </c>
      <c r="D30" s="16">
        <v>0.82734953703703706</v>
      </c>
      <c r="E30" s="36">
        <v>22.42</v>
      </c>
      <c r="F30" s="36">
        <v>-0.09</v>
      </c>
      <c r="G30" s="36">
        <v>0.48</v>
      </c>
      <c r="H30" s="56" cm="1">
        <f t="array" ref="H30:I30">LINEST(E21:E30,D21:D30)</f>
        <v>10.167272727272888</v>
      </c>
      <c r="I30" s="56">
        <v>14.026657070706946</v>
      </c>
      <c r="J30" s="56" cm="1">
        <f t="array" ref="J30:K30">LINEST(E16:E30,D16:D30)</f>
        <v>11.6742857142858</v>
      </c>
      <c r="K30" s="56">
        <v>12.786785119047554</v>
      </c>
      <c r="L30" s="56" cm="1">
        <f t="array" ref="L30:M30">LINEST(E11:E30,D11:D30)</f>
        <v>39.637894736842405</v>
      </c>
      <c r="M30" s="56">
        <v>-10.113393859649374</v>
      </c>
      <c r="N30" s="56"/>
      <c r="O30" s="56"/>
      <c r="P30" s="56"/>
      <c r="Q30" s="56"/>
      <c r="R30" s="56" cm="1">
        <f t="array" ref="R30:S30">LINEST(F21:F30,D21:D30)</f>
        <v>-49.221818181819216</v>
      </c>
      <c r="S30" s="56">
        <v>40.830012121212974</v>
      </c>
      <c r="T30" s="56" cm="1">
        <f t="array" ref="T30:U30">LINEST(F16:F30,D16:D30)</f>
        <v>21.239999999999778</v>
      </c>
      <c r="U30" s="56">
        <v>-17.079737499999819</v>
      </c>
      <c r="V30" s="56" cm="1">
        <f t="array" ref="V30:W30">LINEST(F11:F30,D11:D30)</f>
        <v>-20.955789473684238</v>
      </c>
      <c r="W30" s="56">
        <v>17.53976271929827</v>
      </c>
      <c r="X30" s="56"/>
      <c r="Y30" s="56"/>
      <c r="Z30" s="56"/>
      <c r="AA30" s="56"/>
      <c r="AB30" s="37" cm="1">
        <f t="array" ref="AB30:AC30">LINEST(G21:G30,D21:D30)</f>
        <v>-10.036363636363699</v>
      </c>
      <c r="AC30" s="37">
        <v>8.8268535353535871</v>
      </c>
      <c r="AD30" s="37" cm="1">
        <f t="array" ref="AD30:AE30">LINEST(G16:G30,D16:D30)</f>
        <v>-8.1257142857143094</v>
      </c>
      <c r="AE30" s="37">
        <v>7.2538059523809713</v>
      </c>
      <c r="AF30" s="37" cm="1">
        <f t="array" ref="AF30:AG30">LINEST(G11:G30,D11:D30)</f>
        <v>-12.651428571428566</v>
      </c>
      <c r="AG30" s="37">
        <v>10.968724999999996</v>
      </c>
      <c r="AH30" s="37"/>
      <c r="AI30" s="37"/>
      <c r="AJ30" s="37"/>
      <c r="AK30" s="37"/>
    </row>
    <row r="31" spans="1:37" hidden="1" x14ac:dyDescent="0.25">
      <c r="A31" s="61">
        <v>502</v>
      </c>
      <c r="B31" s="14">
        <f t="shared" si="0"/>
        <v>25</v>
      </c>
      <c r="C31" s="15">
        <v>43980</v>
      </c>
      <c r="D31" s="16">
        <v>0.82873842592592595</v>
      </c>
      <c r="E31" s="36">
        <v>21.82</v>
      </c>
      <c r="F31" s="36">
        <v>-0.09</v>
      </c>
      <c r="G31" s="36">
        <v>0.44</v>
      </c>
      <c r="H31" s="56" cm="1">
        <f t="array" ref="H31:I31">LINEST(E22:E31,D22:D31)</f>
        <v>-15.709090909090683</v>
      </c>
      <c r="I31" s="56">
        <v>35.248545454545273</v>
      </c>
      <c r="J31" s="56" cm="1">
        <f t="array" ref="J31:K31">LINEST(E17:E31,D17:D31)</f>
        <v>0.15428571428575547</v>
      </c>
      <c r="K31" s="56">
        <v>22.178970833333302</v>
      </c>
      <c r="L31" s="56" cm="1">
        <f t="array" ref="L31:M31">LINEST(E12:E31,D12:D31)</f>
        <v>15.379849624060318</v>
      </c>
      <c r="M31" s="56">
        <v>9.6895562030073794</v>
      </c>
      <c r="N31" s="56" cm="1">
        <f t="array" ref="N31:O31">LINEST(E7:E31,D7:D31)</f>
        <v>62.523692307692457</v>
      </c>
      <c r="O31" s="56">
        <v>-28.934524807692423</v>
      </c>
      <c r="P31" s="56"/>
      <c r="Q31" s="56"/>
      <c r="R31" s="56" cm="1">
        <f t="array" ref="R31:S31">LINEST(F22:F31,D22:D31)</f>
        <v>-75.927272727273262</v>
      </c>
      <c r="S31" s="56">
        <v>62.827303030303469</v>
      </c>
      <c r="T31" s="56" cm="1">
        <f t="array" ref="T31:U31">LINEST(F17:F31,D17:D31)</f>
        <v>-22.294285714286083</v>
      </c>
      <c r="U31" s="56">
        <v>18.640047916666969</v>
      </c>
      <c r="V31" s="56" cm="1">
        <f t="array" ref="V31:W31">LINEST(F12:F31,D12:D31)</f>
        <v>-25.535639097744429</v>
      </c>
      <c r="W31" s="56">
        <v>21.269936779448681</v>
      </c>
      <c r="X31" s="56" cm="1">
        <f t="array" ref="X31:Y31">LINEST(F7:F31,D7:D31)</f>
        <v>-31.907076923076971</v>
      </c>
      <c r="Y31" s="56">
        <v>26.484836089743631</v>
      </c>
      <c r="Z31" s="56"/>
      <c r="AA31" s="56"/>
      <c r="AB31" s="37" cm="1">
        <f t="array" ref="AB31:AC31">LINEST(G22:G31,D22:D31)</f>
        <v>-15.0981818181818</v>
      </c>
      <c r="AC31" s="37">
        <v>12.988079797979783</v>
      </c>
      <c r="AD31" s="37" cm="1">
        <f t="array" ref="AD31:AE31">LINEST(G17:G31,D17:D31)</f>
        <v>-9.1285714285714565</v>
      </c>
      <c r="AE31" s="37">
        <v>8.06844791666669</v>
      </c>
      <c r="AF31" s="37" cm="1">
        <f t="array" ref="AF31:AG31">LINEST(G12:G31,D12:D31)</f>
        <v>-13.620451127819566</v>
      </c>
      <c r="AG31" s="37">
        <v>11.759076942355904</v>
      </c>
      <c r="AH31" s="37" cm="1">
        <f t="array" ref="AH31:AI31">LINEST(G7:G31,D7:D31)</f>
        <v>-9.9692307692307498</v>
      </c>
      <c r="AI31" s="37">
        <v>8.7693307692307538</v>
      </c>
      <c r="AJ31" s="37"/>
      <c r="AK31" s="37"/>
    </row>
    <row r="32" spans="1:37" hidden="1" x14ac:dyDescent="0.25">
      <c r="A32" s="61">
        <v>502</v>
      </c>
      <c r="B32" s="14">
        <f t="shared" si="0"/>
        <v>26</v>
      </c>
      <c r="C32" s="15">
        <v>43980</v>
      </c>
      <c r="D32" s="16">
        <v>0.83012731481481483</v>
      </c>
      <c r="E32" s="36">
        <v>21.91</v>
      </c>
      <c r="F32" s="36">
        <v>-0.09</v>
      </c>
      <c r="G32" s="36">
        <v>0.4</v>
      </c>
      <c r="H32" s="56" cm="1">
        <f t="array" ref="H32:I32">LINEST(E23:E32,D23:D32)</f>
        <v>-31.549090909090758</v>
      </c>
      <c r="I32" s="56">
        <v>48.277580303030177</v>
      </c>
      <c r="J32" s="56" cm="1">
        <f t="array" ref="J32:K32">LINEST(E18:E32,D18:D32)</f>
        <v>-8.5114285714285138</v>
      </c>
      <c r="K32" s="56">
        <v>29.266819345238048</v>
      </c>
      <c r="L32" s="56" cm="1">
        <f t="array" ref="L32:M32">LINEST(E13:E32,D13:D32)</f>
        <v>-9.2246616541352822</v>
      </c>
      <c r="M32" s="56">
        <v>29.845929323308223</v>
      </c>
      <c r="N32" s="56" cm="1">
        <f t="array" ref="N32:O32">LINEST(E8:E32,D8:D32)</f>
        <v>51.192000000000156</v>
      </c>
      <c r="O32" s="56">
        <v>-19.735077500000124</v>
      </c>
      <c r="P32" s="56"/>
      <c r="Q32" s="56"/>
      <c r="R32" s="56" cm="1">
        <f t="array" ref="R32:S32">LINEST(F23:F32,D23:D32)</f>
        <v>-42.850909090909639</v>
      </c>
      <c r="S32" s="56">
        <v>35.527891919192371</v>
      </c>
      <c r="T32" s="56" cm="1">
        <f t="array" ref="T32:U32">LINEST(F18:F32,D18:D32)</f>
        <v>-31.808571428571714</v>
      </c>
      <c r="U32" s="56">
        <v>26.448580654762139</v>
      </c>
      <c r="V32" s="56" cm="1">
        <f t="array" ref="V32:W32">LINEST(F13:F32,D13:D32)</f>
        <v>-22.785563909774506</v>
      </c>
      <c r="W32" s="56">
        <v>18.995776127819603</v>
      </c>
      <c r="X32" s="56" cm="1">
        <f t="array" ref="X32:Y32">LINEST(F8:F32,D8:D32)</f>
        <v>-28.42892307692313</v>
      </c>
      <c r="Y32" s="56">
        <v>23.629410192307734</v>
      </c>
      <c r="Z32" s="56"/>
      <c r="AA32" s="56"/>
      <c r="AB32" s="37" cm="1">
        <f t="array" ref="AB32:AC32">LINEST(G23:G32,D23:D32)</f>
        <v>-16.974545454545456</v>
      </c>
      <c r="AC32" s="37">
        <v>14.52794292929293</v>
      </c>
      <c r="AD32" s="37" cm="1">
        <f t="array" ref="AD32:AE32">LINEST(G18:G32,D18:D32)</f>
        <v>-10.774285714285726</v>
      </c>
      <c r="AE32" s="37">
        <v>9.4126122023809629</v>
      </c>
      <c r="AF32" s="37" cm="1">
        <f t="array" ref="AF32:AG32">LINEST(G13:G32,D13:D32)</f>
        <v>-14.280902255639122</v>
      </c>
      <c r="AG32" s="37">
        <v>12.296538471177964</v>
      </c>
      <c r="AH32" s="37" cm="1">
        <f t="array" ref="AH32:AI32">LINEST(G8:G32,D8:D32)</f>
        <v>-11.381538461538449</v>
      </c>
      <c r="AI32" s="37">
        <v>9.9188336538461428</v>
      </c>
      <c r="AJ32" s="37"/>
      <c r="AK32" s="37"/>
    </row>
    <row r="33" spans="1:39" hidden="1" x14ac:dyDescent="0.25">
      <c r="A33" s="61">
        <v>502</v>
      </c>
      <c r="B33" s="14">
        <f t="shared" si="0"/>
        <v>27</v>
      </c>
      <c r="C33" s="15">
        <v>43980</v>
      </c>
      <c r="D33" s="16">
        <v>0.83151620370370372</v>
      </c>
      <c r="E33" s="36">
        <v>21.92</v>
      </c>
      <c r="F33" s="36">
        <v>-0.09</v>
      </c>
      <c r="G33" s="36">
        <v>0.36</v>
      </c>
      <c r="H33" s="56" cm="1">
        <f t="array" ref="H33:I33">LINEST(E24:E33,D24:D33)</f>
        <v>-44.203636363635987</v>
      </c>
      <c r="I33" s="56">
        <v>58.724767171716863</v>
      </c>
      <c r="J33" s="56" cm="1">
        <f t="array" ref="J33:K33">LINEST(E19:E33,D19:D33)</f>
        <v>-15.968571428571403</v>
      </c>
      <c r="K33" s="56">
        <v>35.385542559523799</v>
      </c>
      <c r="L33" s="56" cm="1">
        <f t="array" ref="L33:M33">LINEST(E14:E33,D14:D33)</f>
        <v>-7.7792481203007027</v>
      </c>
      <c r="M33" s="56">
        <v>28.632428007518758</v>
      </c>
      <c r="N33" s="56" cm="1">
        <f t="array" ref="N33:O33">LINEST(E9:E33,D9:D33)</f>
        <v>39.051692307692498</v>
      </c>
      <c r="O33" s="56">
        <v>-9.8452533974360534</v>
      </c>
      <c r="P33" s="56"/>
      <c r="Q33" s="56"/>
      <c r="R33" s="56" cm="1">
        <f t="array" ref="R33:S33">LINEST(F24:F33,D24:D33)</f>
        <v>-91.854545454545317</v>
      </c>
      <c r="S33" s="56">
        <v>76.073452020201913</v>
      </c>
      <c r="T33" s="56" cm="1">
        <f t="array" ref="T33:U33">LINEST(F19:F33,D19:D33)</f>
        <v>-41.888571428571765</v>
      </c>
      <c r="U33" s="56">
        <v>34.753775892857419</v>
      </c>
      <c r="V33" s="56" cm="1">
        <f t="array" ref="V33:W33">LINEST(F14:F33,D14:D33)</f>
        <v>-18.671278195488796</v>
      </c>
      <c r="W33" s="56">
        <v>15.597613220551441</v>
      </c>
      <c r="X33" s="56" cm="1">
        <f t="array" ref="X33:Y33">LINEST(F9:F33,D9:D33)</f>
        <v>-34.128000000000036</v>
      </c>
      <c r="Y33" s="56">
        <v>28.298785000000027</v>
      </c>
      <c r="Z33" s="56"/>
      <c r="AA33" s="56"/>
      <c r="AB33" s="37" cm="1">
        <f t="array" ref="AB33:AC33">LINEST(G24:G33,D24:D33)</f>
        <v>-22.865454545454462</v>
      </c>
      <c r="AC33" s="37">
        <v>19.3920868686868</v>
      </c>
      <c r="AD33" s="37" cm="1">
        <f t="array" ref="AD33:AE33">LINEST(G19:G33,D19:D33)</f>
        <v>-13.242857142857163</v>
      </c>
      <c r="AE33" s="37">
        <v>11.437566964285731</v>
      </c>
      <c r="AF33" s="37" cm="1">
        <f t="array" ref="AF33:AG33">LINEST(G14:G33,D14:D33)</f>
        <v>-14.556992481203016</v>
      </c>
      <c r="AG33" s="37">
        <v>12.517803696741861</v>
      </c>
      <c r="AH33" s="37" cm="1">
        <f t="array" ref="AH33:AI33">LINEST(G9:G33,D9:D33)</f>
        <v>-13.16492307692306</v>
      </c>
      <c r="AI33" s="37">
        <v>11.37463147435896</v>
      </c>
      <c r="AJ33" s="37"/>
      <c r="AK33" s="37"/>
    </row>
    <row r="34" spans="1:39" hidden="1" x14ac:dyDescent="0.25">
      <c r="A34" s="61">
        <v>502</v>
      </c>
      <c r="B34" s="14">
        <f t="shared" si="0"/>
        <v>28</v>
      </c>
      <c r="C34" s="15">
        <v>43980</v>
      </c>
      <c r="D34" s="16">
        <v>0.8329050925925926</v>
      </c>
      <c r="E34" s="36">
        <v>21.95</v>
      </c>
      <c r="F34" s="36">
        <v>0.68</v>
      </c>
      <c r="G34" s="36">
        <v>0.39</v>
      </c>
      <c r="H34" s="56" cm="1">
        <f t="array" ref="H34:I34">LINEST(E25:E34,D25:D34)</f>
        <v>-50.26909090909087</v>
      </c>
      <c r="I34" s="56">
        <v>63.759199999999964</v>
      </c>
      <c r="J34" s="56" cm="1">
        <f t="array" ref="J34:K34">LINEST(E20:E34,D20:D34)</f>
        <v>-21.65142857142849</v>
      </c>
      <c r="K34" s="56">
        <v>40.065085119047552</v>
      </c>
      <c r="L34" s="56" cm="1">
        <f t="array" ref="L34:M34">LINEST(E15:E34,D15:D34)</f>
        <v>-9.4033082706766589</v>
      </c>
      <c r="M34" s="56">
        <v>29.951491917293207</v>
      </c>
      <c r="N34" s="56" cm="1">
        <f t="array" ref="N34:O34">LINEST(E10:E34,D10:D34)</f>
        <v>26.667692307692487</v>
      </c>
      <c r="O34" s="56">
        <v>0.27560480769216866</v>
      </c>
      <c r="P34" s="56"/>
      <c r="Q34" s="56"/>
      <c r="R34" s="56" cm="1">
        <f t="array" ref="R34:S34">LINEST(F25:F34,D25:D34)</f>
        <v>-28.62545454545457</v>
      </c>
      <c r="S34" s="56">
        <v>23.8753777777778</v>
      </c>
      <c r="T34" s="56" cm="1">
        <f t="array" ref="T34:U34">LINEST(F20:F34,D20:D34)</f>
        <v>-32.50285714285743</v>
      </c>
      <c r="U34" s="56">
        <v>27.09912857142881</v>
      </c>
      <c r="V34" s="56" cm="1">
        <f t="array" ref="V34:W34">LINEST(F15:F34,D15:D34)</f>
        <v>-5.2727819548872956</v>
      </c>
      <c r="W34" s="56">
        <v>4.6161555137845252</v>
      </c>
      <c r="X34" s="56" cm="1">
        <f t="array" ref="X34:Y34">LINEST(F10:F34,D10:D34)</f>
        <v>-20.763692307692317</v>
      </c>
      <c r="Y34" s="56">
        <v>17.37812352564103</v>
      </c>
      <c r="Z34" s="56"/>
      <c r="AA34" s="56"/>
      <c r="AB34" s="37" cm="1">
        <f t="array" ref="AB34:AC34">LINEST(G25:G34,D25:D34)</f>
        <v>-22.865454545454561</v>
      </c>
      <c r="AC34" s="37">
        <v>19.399844444444458</v>
      </c>
      <c r="AD34" s="37" cm="1">
        <f t="array" ref="AD34:AE34">LINEST(G20:G34,D20:D34)</f>
        <v>-14.657142857142857</v>
      </c>
      <c r="AE34" s="37">
        <v>12.604175595238095</v>
      </c>
      <c r="AF34" s="37" cm="1">
        <f t="array" ref="AF34:AG34">LINEST(G15:G34,D15:D34)</f>
        <v>-13.766616541353402</v>
      </c>
      <c r="AG34" s="37">
        <v>11.866142167919815</v>
      </c>
      <c r="AH34" s="37" cm="1">
        <f t="array" ref="AH34:AI34">LINEST(G10:G34,D10:D34)</f>
        <v>-13.702153846153841</v>
      </c>
      <c r="AI34" s="37">
        <v>11.814624487179481</v>
      </c>
      <c r="AJ34" s="37"/>
      <c r="AK34" s="37"/>
    </row>
    <row r="35" spans="1:39" hidden="1" x14ac:dyDescent="0.25">
      <c r="A35" s="61">
        <v>502</v>
      </c>
      <c r="B35" s="14">
        <f t="shared" si="0"/>
        <v>29</v>
      </c>
      <c r="C35" s="15">
        <v>43980</v>
      </c>
      <c r="D35" s="16">
        <v>0.83429398148148148</v>
      </c>
      <c r="E35" s="36">
        <v>21.66</v>
      </c>
      <c r="F35" s="36">
        <v>-1.5</v>
      </c>
      <c r="G35" s="36">
        <v>0.24</v>
      </c>
      <c r="H35" s="56" cm="1">
        <f t="array" ref="H35:I35">LINEST(E26:E35,D26:D35)</f>
        <v>-62.705454545454423</v>
      </c>
      <c r="I35" s="56">
        <v>74.053874242424129</v>
      </c>
      <c r="J35" s="56" cm="1">
        <f t="array" ref="J35:K35">LINEST(E21:E35,D21:D35)</f>
        <v>-31.345714285714234</v>
      </c>
      <c r="K35" s="56">
        <v>48.047457440476151</v>
      </c>
      <c r="L35" s="56" cm="1">
        <f t="array" ref="L35:M35">LINEST(E16:E35,D16:D35)</f>
        <v>-14.876390977443576</v>
      </c>
      <c r="M35" s="56">
        <v>34.426997744360882</v>
      </c>
      <c r="N35" s="56" cm="1">
        <f t="array" ref="N35:O35">LINEST(E11:E35,D11:D35)</f>
        <v>11.647384615384787</v>
      </c>
      <c r="O35" s="56">
        <v>12.573580192307551</v>
      </c>
      <c r="P35" s="56"/>
      <c r="Q35" s="56"/>
      <c r="R35" s="56" cm="1">
        <f t="array" ref="R35:S35">LINEST(F26:F35,D26:D35)</f>
        <v>-67.156363636363579</v>
      </c>
      <c r="S35" s="56">
        <v>55.589422727272677</v>
      </c>
      <c r="T35" s="56" cm="1">
        <f t="array" ref="T35:U35">LINEST(F21:F35,D21:D35)</f>
        <v>-60.402857142857435</v>
      </c>
      <c r="U35" s="56">
        <v>50.009823511905005</v>
      </c>
      <c r="V35" s="56" cm="1">
        <f t="array" ref="V35:W35">LINEST(F16:F35,D16:D35)</f>
        <v>-13.766616541353471</v>
      </c>
      <c r="W35" s="56">
        <v>11.464262468671752</v>
      </c>
      <c r="X35" s="56" cm="1">
        <f t="array" ref="X35:Y35">LINEST(F11:F35,D11:D35)</f>
        <v>-31.14276923076924</v>
      </c>
      <c r="Y35" s="56">
        <v>25.802378782051289</v>
      </c>
      <c r="Z35" s="56"/>
      <c r="AA35" s="56"/>
      <c r="AB35" s="37" cm="1">
        <f t="array" ref="AB35:AC35">LINEST(G26:G35,D26:D35)</f>
        <v>-26.181818181818162</v>
      </c>
      <c r="AC35" s="37">
        <v>22.13769696969695</v>
      </c>
      <c r="AD35" s="37" cm="1">
        <f t="array" ref="AD35:AE35">LINEST(G21:G35,D21:D35)</f>
        <v>-18.154285714285727</v>
      </c>
      <c r="AE35" s="37">
        <v>15.482177976190487</v>
      </c>
      <c r="AF35" s="37" cm="1">
        <f t="array" ref="AF35:AG35">LINEST(G16:G35,D16:D35)</f>
        <v>-13.772030075187979</v>
      </c>
      <c r="AG35" s="37">
        <v>11.857207518796999</v>
      </c>
      <c r="AH35" s="37" cm="1">
        <f t="array" ref="AH35:AI35">LINEST(G11:G35,D11:D35)</f>
        <v>-15.075692307692304</v>
      </c>
      <c r="AI35" s="37">
        <v>12.934297820512818</v>
      </c>
      <c r="AJ35" s="37"/>
      <c r="AK35" s="37"/>
    </row>
    <row r="36" spans="1:39" x14ac:dyDescent="0.25">
      <c r="A36" s="61">
        <v>502</v>
      </c>
      <c r="B36" s="14">
        <f t="shared" si="0"/>
        <v>30</v>
      </c>
      <c r="C36" s="15">
        <v>43980</v>
      </c>
      <c r="D36" s="16">
        <v>0.83568287037037037</v>
      </c>
      <c r="E36" s="36">
        <v>21.48</v>
      </c>
      <c r="F36" s="36">
        <v>-1.5</v>
      </c>
      <c r="G36" s="36">
        <v>0.1</v>
      </c>
      <c r="H36" s="56" cm="1">
        <f t="array" ref="H36:I36">LINEST(E27:E36,D27:D36)</f>
        <v>-75.360000000000355</v>
      </c>
      <c r="I36" s="56">
        <v>84.545061111111409</v>
      </c>
      <c r="J36" s="56" cm="1">
        <f t="array" ref="J36:K36">LINEST(E22:E36,D22:D36)</f>
        <v>-42.479999999999905</v>
      </c>
      <c r="K36" s="56">
        <v>57.233474999999927</v>
      </c>
      <c r="L36" s="56" cm="1">
        <f t="array" ref="L36:M36">LINEST(E17:E36,D17:D36)</f>
        <v>-22.314586466165416</v>
      </c>
      <c r="M36" s="56">
        <v>40.528489097744369</v>
      </c>
      <c r="N36" s="56" cm="1">
        <f t="array" ref="N36:O36">LINEST(E12:E36,D12:D36)</f>
        <v>-5.1729230769229995</v>
      </c>
      <c r="O36" s="56">
        <v>26.379507820512757</v>
      </c>
      <c r="P36" s="56" cm="1">
        <f t="array" ref="P36:Q36">LINEST(E7:E36,D7:D36)</f>
        <v>34.700956618465092</v>
      </c>
      <c r="Q36" s="56">
        <v>-6.470156321839184</v>
      </c>
      <c r="R36" s="56" cm="1">
        <f t="array" ref="R36:S36">LINEST(F27:F36,D27:D36)</f>
        <v>-106.16727272727303</v>
      </c>
      <c r="S36" s="56">
        <v>87.851625757576016</v>
      </c>
      <c r="T36" s="56" cm="1">
        <f t="array" ref="T36:U36">LINEST(F22:F36,D22:D36)</f>
        <v>-89.691428571428702</v>
      </c>
      <c r="U36" s="56">
        <v>74.166923809523922</v>
      </c>
      <c r="V36" s="56" cm="1">
        <f t="array" ref="V36:W36">LINEST(F17:F36,D17:D36)</f>
        <v>-49.723308270676874</v>
      </c>
      <c r="W36" s="56">
        <v>41.057345551378603</v>
      </c>
      <c r="X36" s="56" cm="1">
        <f t="array" ref="X36:Y36">LINEST(F12:F36,D12:D36)</f>
        <v>-41.560615384615446</v>
      </c>
      <c r="Y36" s="56">
        <v>34.294417435897486</v>
      </c>
      <c r="Z36" s="56" cm="1">
        <f t="array" ref="Z36:AA36">LINEST(F7:F36,D7:D36)</f>
        <v>-41.314705228031158</v>
      </c>
      <c r="AA36" s="56">
        <v>34.088959195402303</v>
      </c>
      <c r="AB36" s="37" cm="1">
        <f t="array" ref="AB36:AC36">LINEST(G27:G36,D27:D36)</f>
        <v>-32.465454545454662</v>
      </c>
      <c r="AC36" s="37">
        <v>27.333915151515249</v>
      </c>
      <c r="AD36" s="37" cm="1">
        <f t="array" ref="AD36:AE36">LINEST(G22:G36,D22:D36)</f>
        <v>-23.785714285714267</v>
      </c>
      <c r="AE36" s="37">
        <v>20.125397321428558</v>
      </c>
      <c r="AF36" s="37" cm="1">
        <f t="array" ref="AF36:AG36">LINEST(G17:G36,D17:D36)</f>
        <v>-16.560000000000027</v>
      </c>
      <c r="AG36" s="37">
        <v>14.138908333333358</v>
      </c>
      <c r="AH36" s="37" cm="1">
        <f t="array" ref="AH36:AI36">LINEST(G12:G36,D12:D36)</f>
        <v>-17.141538461538477</v>
      </c>
      <c r="AI36" s="37">
        <v>14.619597756410268</v>
      </c>
      <c r="AJ36" s="37" cm="1">
        <f t="array" ref="AJ36:AK36">LINEST(G7:G36,D7:D36)</f>
        <v>-13.51741935483869</v>
      </c>
      <c r="AK36" s="37">
        <v>11.635049999999982</v>
      </c>
    </row>
    <row r="37" spans="1:39" x14ac:dyDescent="0.25">
      <c r="A37" s="61">
        <v>502</v>
      </c>
      <c r="B37" s="14">
        <f t="shared" si="0"/>
        <v>31</v>
      </c>
      <c r="C37" s="15">
        <v>43980</v>
      </c>
      <c r="D37" s="16">
        <v>0.83707175925925925</v>
      </c>
      <c r="E37" s="36">
        <v>21.59</v>
      </c>
      <c r="F37" s="36">
        <v>3</v>
      </c>
      <c r="G37" s="36">
        <v>0.33</v>
      </c>
      <c r="H37" s="56" cm="1">
        <f t="array" ref="H37:I37">LINEST(E28:E37,D28:D37)</f>
        <v>-76.145454545454953</v>
      </c>
      <c r="I37" s="56">
        <v>85.222300505050839</v>
      </c>
      <c r="J37" s="56" cm="1">
        <f t="array" ref="J37:K37">LINEST(E23:E37,D23:D37)</f>
        <v>-48.522857142857141</v>
      </c>
      <c r="K37" s="56">
        <v>62.242030059523813</v>
      </c>
      <c r="L37" s="56" cm="1">
        <f t="array" ref="L37:M37">LINEST(E18:E37,D18:D37)</f>
        <v>-27.706466165413509</v>
      </c>
      <c r="M37" s="56">
        <v>44.969728947368409</v>
      </c>
      <c r="N37" s="56" cm="1">
        <f t="array" ref="N37:O37">LINEST(E13:E37,D13:D37)</f>
        <v>-21.683076923076914</v>
      </c>
      <c r="O37" s="56">
        <v>39.980906730769227</v>
      </c>
      <c r="P37" s="56" cm="1">
        <f t="array" ref="P37:Q37">LINEST(E8:E37,D8:D37)</f>
        <v>25.492324805339397</v>
      </c>
      <c r="Q37" s="56">
        <v>1.0508152576936283</v>
      </c>
      <c r="R37" s="56" cm="1">
        <f t="array" ref="R37:S37">LINEST(F28:F37,D28:D37)</f>
        <v>12.436363636363668</v>
      </c>
      <c r="S37" s="56">
        <v>-10.203401515151542</v>
      </c>
      <c r="T37" s="56" cm="1">
        <f t="array" ref="T37:U37">LINEST(F23:F37,D23:D37)</f>
        <v>-9.1542857142859617</v>
      </c>
      <c r="U37" s="56">
        <v>7.7624607142859192</v>
      </c>
      <c r="V37" s="56" cm="1">
        <f t="array" ref="V37:W37">LINEST(F18:F37,D18:D37)</f>
        <v>-18.590075187970083</v>
      </c>
      <c r="W37" s="56">
        <v>15.609941228070307</v>
      </c>
      <c r="X37" s="56" cm="1">
        <f t="array" ref="X37:Y37">LINEST(F13:F37,D13:D37)</f>
        <v>-16.737230769230816</v>
      </c>
      <c r="Y37" s="56">
        <v>14.060109358974396</v>
      </c>
      <c r="Z37" s="56" cm="1">
        <f t="array" ref="Z37:AA37">LINEST(F8:F37,D8:D37)</f>
        <v>-22.883025583982256</v>
      </c>
      <c r="AA37" s="56">
        <v>19.133229106414579</v>
      </c>
      <c r="AB37" s="37" cm="1">
        <f t="array" ref="AB37:AC37">LINEST(G28:G37,D28:D37)</f>
        <v>-29.018181818181912</v>
      </c>
      <c r="AC37" s="37">
        <v>24.493936868686948</v>
      </c>
      <c r="AD37" s="37" cm="1">
        <f t="array" ref="AD37:AE37">LINEST(G23:G37,D23:D37)</f>
        <v>-22.551428571428588</v>
      </c>
      <c r="AE37" s="37">
        <v>19.114580654761919</v>
      </c>
      <c r="AF37" s="37" cm="1">
        <f t="array" ref="AF37:AG37">LINEST(G18:G37,D18:D37)</f>
        <v>-16.662857142857149</v>
      </c>
      <c r="AG37" s="37">
        <v>14.229150000000006</v>
      </c>
      <c r="AH37" s="37" cm="1">
        <f t="array" ref="AH37:AI37">LINEST(G13:G37,D13:D37)</f>
        <v>-17.08061538461541</v>
      </c>
      <c r="AI37" s="37">
        <v>14.573823846153866</v>
      </c>
      <c r="AJ37" s="37" cm="1">
        <f t="array" ref="AJ37:AK37">LINEST(G8:G37,D8:D37)</f>
        <v>-14.231813125695211</v>
      </c>
      <c r="AK37" s="37">
        <v>12.224102614015568</v>
      </c>
    </row>
    <row r="38" spans="1:39" x14ac:dyDescent="0.25">
      <c r="A38" s="61">
        <v>502</v>
      </c>
      <c r="B38" s="14">
        <f t="shared" si="0"/>
        <v>32</v>
      </c>
      <c r="C38" s="15">
        <v>43980</v>
      </c>
      <c r="D38" s="16">
        <v>0.83846064814814814</v>
      </c>
      <c r="E38" s="36">
        <v>21.51</v>
      </c>
      <c r="F38" s="36">
        <v>-1.5</v>
      </c>
      <c r="G38" s="36">
        <v>0.19</v>
      </c>
      <c r="H38" s="56" cm="1">
        <f t="array" ref="H38:I38">LINEST(E29:E38,D29:D38)</f>
        <v>-71.650909090909423</v>
      </c>
      <c r="I38" s="56">
        <v>81.496649494949764</v>
      </c>
      <c r="J38" s="56" cm="1">
        <f t="array" ref="J38:K38">LINEST(E24:E38,D24:D38)</f>
        <v>-54.488571428571362</v>
      </c>
      <c r="K38" s="56">
        <v>67.199439583333273</v>
      </c>
      <c r="L38" s="56" cm="1">
        <f t="array" ref="L38:M38">LINEST(E19:E38,D19:D38)</f>
        <v>-33.114586466165427</v>
      </c>
      <c r="M38" s="56">
        <v>49.434849060150391</v>
      </c>
      <c r="N38" s="56" cm="1">
        <f t="array" ref="N38:O38">LINEST(E14:E38,D14:D38)</f>
        <v>-21.910153846153829</v>
      </c>
      <c r="O38" s="56">
        <v>40.146432564102554</v>
      </c>
      <c r="P38" s="56" cm="1">
        <f t="array" ref="P38:Q38">LINEST(E9:E38,D9:D38)</f>
        <v>15.516440489432854</v>
      </c>
      <c r="Q38" s="56">
        <v>9.2222257879123735</v>
      </c>
      <c r="R38" s="56" cm="1">
        <f t="array" ref="R38:S38">LINEST(F29:F38,D29:D38)</f>
        <v>-6.8509090909090977</v>
      </c>
      <c r="S38" s="56">
        <v>5.5743994949495006</v>
      </c>
      <c r="T38" s="56" cm="1">
        <f t="array" ref="T38:U38">LINEST(F24:F38,D24:D38)</f>
        <v>-54.540000000000099</v>
      </c>
      <c r="U38" s="56">
        <v>45.324060416666754</v>
      </c>
      <c r="V38" s="56" cm="1">
        <f t="array" ref="V38:W38">LINEST(F19:F38,D19:D38)</f>
        <v>-37.542857142857343</v>
      </c>
      <c r="W38" s="56">
        <v>31.189351190476355</v>
      </c>
      <c r="X38" s="56" cm="1">
        <f t="array" ref="X38:Y38">LINEST(F14:F38,D14:D38)</f>
        <v>-22.835076923076969</v>
      </c>
      <c r="Y38" s="56">
        <v>18.98772878205132</v>
      </c>
      <c r="Z38" s="56" cm="1">
        <f t="array" ref="Z38:AA38">LINEST(F9:F38,D9:D38)</f>
        <v>-32.782024471635182</v>
      </c>
      <c r="AA38" s="56">
        <v>27.206910604375256</v>
      </c>
      <c r="AB38" s="37" cm="1">
        <f t="array" ref="AB38:AC38">LINEST(G29:G38,D29:D38)</f>
        <v>-27.316363636363736</v>
      </c>
      <c r="AC38" s="37">
        <v>23.07896868686877</v>
      </c>
      <c r="AD38" s="37" cm="1">
        <f t="array" ref="AD38:AE38">LINEST(G24:G38,D24:D38)</f>
        <v>-25.019999999999996</v>
      </c>
      <c r="AE38" s="37">
        <v>21.16636875</v>
      </c>
      <c r="AF38" s="37" cm="1">
        <f t="array" ref="AF38:AG38">LINEST(G19:G38,D19:D38)</f>
        <v>-18.281503759398518</v>
      </c>
      <c r="AG38" s="37">
        <v>15.565607205513803</v>
      </c>
      <c r="AH38" s="37" cm="1">
        <f t="array" ref="AH38:AI38">LINEST(G14:G38,D14:D38)</f>
        <v>-17.462769230769243</v>
      </c>
      <c r="AI38" s="37">
        <v>14.885198653846166</v>
      </c>
      <c r="AJ38" s="37" cm="1">
        <f t="array" ref="AJ38:AK38">LINEST(G9:G38,D9:D38)</f>
        <v>-15.667007786429359</v>
      </c>
      <c r="AK38" s="37">
        <v>13.401653374119384</v>
      </c>
    </row>
    <row r="39" spans="1:39" x14ac:dyDescent="0.25">
      <c r="A39" s="61">
        <v>502</v>
      </c>
      <c r="B39" s="14">
        <f t="shared" si="0"/>
        <v>33</v>
      </c>
      <c r="C39" s="15">
        <v>43980</v>
      </c>
      <c r="D39" s="16">
        <v>0.83984953703703702</v>
      </c>
      <c r="E39" s="36">
        <v>21.47</v>
      </c>
      <c r="F39" s="36">
        <v>-1.35</v>
      </c>
      <c r="G39" s="36">
        <v>7.0000000000000007E-2</v>
      </c>
      <c r="H39" s="56" cm="1">
        <f t="array" ref="H39:I39">LINEST(E30:E39,D30:D39)</f>
        <v>-60.785454545454847</v>
      </c>
      <c r="I39" s="56">
        <v>72.443726767677006</v>
      </c>
      <c r="J39" s="56" cm="1">
        <f t="array" ref="J39:K39">LINEST(E25:E39,D25:D39)</f>
        <v>-58.268571428571548</v>
      </c>
      <c r="K39" s="56">
        <v>70.353666071428663</v>
      </c>
      <c r="L39" s="56" cm="1">
        <f t="array" ref="L39:M39">LINEST(E20:E39,D20:D39)</f>
        <v>-37.916390977443598</v>
      </c>
      <c r="M39" s="56">
        <v>53.410777694235577</v>
      </c>
      <c r="N39" s="56" cm="1">
        <f t="array" ref="N39:O39">LINEST(E15:E39,D15:D39)</f>
        <v>-24.430153846153861</v>
      </c>
      <c r="O39" s="56">
        <v>42.213684166666681</v>
      </c>
      <c r="P39" s="56" cm="1">
        <f t="array" ref="P39:Q39">LINEST(E10:E39,D10:D39)</f>
        <v>5.2858731924361688</v>
      </c>
      <c r="Q39" s="56">
        <v>17.626446792732565</v>
      </c>
      <c r="R39" s="56" cm="1">
        <f t="array" ref="R39:S39">LINEST(F30:F39,D30:D39)</f>
        <v>-53.105454545454727</v>
      </c>
      <c r="S39" s="56">
        <v>44.015682323232468</v>
      </c>
      <c r="T39" s="56" cm="1">
        <f t="array" ref="T39:U39">LINEST(F25:F39,D25:D39)</f>
        <v>-57.934285714285807</v>
      </c>
      <c r="U39" s="56">
        <v>48.044166369047694</v>
      </c>
      <c r="V39" s="56" cm="1">
        <f t="array" ref="V39:W39">LINEST(F20:F39,D20:D39)</f>
        <v>-50.443308270676837</v>
      </c>
      <c r="W39" s="56">
        <v>41.814217669173054</v>
      </c>
      <c r="X39" s="56" cm="1">
        <f t="array" ref="X39:Y39">LINEST(F15:F39,D15:D39)</f>
        <v>-26.457230769230815</v>
      </c>
      <c r="Y39" s="56">
        <v>21.900339166666708</v>
      </c>
      <c r="Z39" s="56" cm="1">
        <f t="array" ref="Z39:AA39">LINEST(F10:F39,D10:D39)</f>
        <v>-31.936284760845414</v>
      </c>
      <c r="AA39" s="56">
        <v>26.441846014089748</v>
      </c>
      <c r="AB39" s="37" cm="1">
        <f t="array" ref="AB39:AC39">LINEST(G30:G39,D30:D39)</f>
        <v>-29.323636363636464</v>
      </c>
      <c r="AC39" s="37">
        <v>24.744169696969777</v>
      </c>
      <c r="AD39" s="37" cm="1">
        <f t="array" ref="AD39:AE39">LINEST(G25:G39,D25:D39)</f>
        <v>-27.437142857142909</v>
      </c>
      <c r="AE39" s="37">
        <v>23.170321726190519</v>
      </c>
      <c r="AF39" s="37" cm="1">
        <f t="array" ref="AF39:AG39">LINEST(G20:G39,D20:D39)</f>
        <v>-20.76090225563911</v>
      </c>
      <c r="AG39" s="37">
        <v>17.612605576441116</v>
      </c>
      <c r="AH39" s="37" cm="1">
        <f t="array" ref="AH39:AI39">LINEST(G15:G39,D15:D39)</f>
        <v>-18.132923076923095</v>
      </c>
      <c r="AI39" s="37">
        <v>15.429111666666682</v>
      </c>
      <c r="AJ39" s="37" cm="1">
        <f t="array" ref="AJ39:AK39">LINEST(G10:G39,D10:D39)</f>
        <v>-16.903581757508352</v>
      </c>
      <c r="AK39" s="37">
        <v>14.412379291805715</v>
      </c>
    </row>
    <row r="40" spans="1:39" x14ac:dyDescent="0.25">
      <c r="A40" s="61">
        <v>502</v>
      </c>
      <c r="B40" s="14">
        <f t="shared" si="0"/>
        <v>34</v>
      </c>
      <c r="C40" s="15">
        <v>43980</v>
      </c>
      <c r="D40" s="16">
        <v>0.8412384259259259</v>
      </c>
      <c r="E40" s="36">
        <v>21.47</v>
      </c>
      <c r="F40" s="36">
        <v>0.03</v>
      </c>
      <c r="G40" s="36">
        <v>0.06</v>
      </c>
      <c r="H40" s="56" cm="1">
        <f t="array" ref="H40:I40">LINEST(E31:E40,D31:D40)</f>
        <v>-41.62909090909114</v>
      </c>
      <c r="I40" s="56">
        <v>56.437809090909283</v>
      </c>
      <c r="J40" s="56" cm="1">
        <f t="array" ref="J40:K40">LINEST(E26:E40,D26:D40)</f>
        <v>-59.142857142857274</v>
      </c>
      <c r="K40" s="56">
        <v>71.100244047619142</v>
      </c>
      <c r="L40" s="56" cm="1">
        <f t="array" ref="L40:M40">LINEST(E21:E40,D21:D40)</f>
        <v>-41.635488721804556</v>
      </c>
      <c r="M40" s="56">
        <v>56.502515852130365</v>
      </c>
      <c r="N40" s="56" cm="1">
        <f t="array" ref="N40:O40">LINEST(E16:E40,D16:D40)</f>
        <v>-27.293538461538471</v>
      </c>
      <c r="O40" s="56">
        <v>44.575881025641038</v>
      </c>
      <c r="P40" s="56" cm="1">
        <f t="array" ref="P40:Q40">LINEST(E11:E40,D11:D40)</f>
        <v>-5.1769521690766371</v>
      </c>
      <c r="Q40" s="56">
        <v>26.248793029291711</v>
      </c>
      <c r="R40" s="56" cm="1">
        <f t="array" ref="R40:S40">LINEST(F31:F40,D31:D40)</f>
        <v>-34.167272727272838</v>
      </c>
      <c r="S40" s="56">
        <v>28.288277272727367</v>
      </c>
      <c r="T40" s="56" cm="1">
        <f t="array" ref="T40:U40">LINEST(F26:F40,D26:D40)</f>
        <v>-38.854285714285787</v>
      </c>
      <c r="U40" s="56">
        <v>32.20730148809529</v>
      </c>
      <c r="V40" s="56" cm="1">
        <f t="array" ref="V40:W40">LINEST(F21:F40,D21:D40)</f>
        <v>-45.803909774436299</v>
      </c>
      <c r="W40" s="56">
        <v>38.014151817042773</v>
      </c>
      <c r="X40" s="56" cm="1">
        <f t="array" ref="X40:Y40">LINEST(F16:F40,D16:D40)</f>
        <v>-19.512000000000064</v>
      </c>
      <c r="Y40" s="56">
        <v>16.164644166666719</v>
      </c>
      <c r="Z40" s="56" cm="1">
        <f t="array" ref="Z40:AA40">LINEST(F11:F40,D11:D40)</f>
        <v>-30.504293659621833</v>
      </c>
      <c r="AA40" s="56">
        <v>25.285728068223982</v>
      </c>
      <c r="AB40" s="37" cm="1">
        <f t="array" ref="AB40:AC40">LINEST(G31:G40,D31:D40)</f>
        <v>-30.109090909091009</v>
      </c>
      <c r="AC40" s="37">
        <v>25.398742424242506</v>
      </c>
      <c r="AD40" s="37" cm="1">
        <f t="array" ref="AD40:AE40">LINEST(G26:G40,D26:D40)</f>
        <v>-28.388571428571474</v>
      </c>
      <c r="AE40" s="37">
        <v>23.960890476190514</v>
      </c>
      <c r="AF40" s="37" cm="1">
        <f t="array" ref="AF40:AG40">LINEST(G21:G40,D21:D40)</f>
        <v>-22.736842105263186</v>
      </c>
      <c r="AG40" s="37">
        <v>19.249105263157915</v>
      </c>
      <c r="AH40" s="37" cm="1">
        <f t="array" ref="AH40:AI40">LINEST(G16:G40,D16:D40)</f>
        <v>-18.282461538461561</v>
      </c>
      <c r="AI40" s="37">
        <v>15.544401474358992</v>
      </c>
      <c r="AJ40" s="37" cm="1">
        <f t="array" ref="AJ40:AK40">LINEST(G11:G40,D11:D40)</f>
        <v>-17.999199110122369</v>
      </c>
      <c r="AK40" s="37">
        <v>15.310800723025594</v>
      </c>
    </row>
    <row r="41" spans="1:39" x14ac:dyDescent="0.25">
      <c r="A41" s="61">
        <v>502</v>
      </c>
      <c r="B41" s="14">
        <f t="shared" si="0"/>
        <v>35</v>
      </c>
      <c r="C41" s="15">
        <v>43980</v>
      </c>
      <c r="D41" s="16">
        <v>0.84262731481481479</v>
      </c>
      <c r="E41" s="36">
        <v>21.47</v>
      </c>
      <c r="F41" s="36">
        <v>-0.03</v>
      </c>
      <c r="G41" s="36">
        <v>0.06</v>
      </c>
      <c r="H41" s="56" cm="1">
        <f t="array" ref="H41:I41">LINEST(E32:E41,D32:D41)</f>
        <v>-42.981818181818461</v>
      </c>
      <c r="I41" s="56">
        <v>57.59201767676791</v>
      </c>
      <c r="J41" s="56" cm="1">
        <f t="array" ref="J41:K41">LINEST(E27:E41,D27:D41)</f>
        <v>-57.445714285714608</v>
      </c>
      <c r="K41" s="56">
        <v>69.706827976190752</v>
      </c>
      <c r="L41" s="56" cm="1">
        <f t="array" ref="L41:M41">LINEST(E22:E41,D22:D41)</f>
        <v>-44.363909774436117</v>
      </c>
      <c r="M41" s="56">
        <v>58.78238502506268</v>
      </c>
      <c r="N41" s="56" cm="1">
        <f t="array" ref="N41:O41">LINEST(E17:E41,D17:D41)</f>
        <v>-30.206769230769282</v>
      </c>
      <c r="O41" s="56">
        <v>46.990002692307748</v>
      </c>
      <c r="P41" s="56" cm="1">
        <f t="array" ref="P41:Q41">LINEST(E12:E41,D12:D41)</f>
        <v>-15.912080088987755</v>
      </c>
      <c r="Q41" s="56">
        <v>35.123501705598812</v>
      </c>
      <c r="R41" s="56" cm="1">
        <f t="array" ref="R41:S41">LINEST(F32:F41,D32:D41)</f>
        <v>-18.632727272727337</v>
      </c>
      <c r="S41" s="56">
        <v>15.348990404040459</v>
      </c>
      <c r="T41" s="56" cm="1">
        <f t="array" ref="T41:U41">LINEST(F27:F41,D27:D41)</f>
        <v>-27.694285714285797</v>
      </c>
      <c r="U41" s="56">
        <v>22.938711607142928</v>
      </c>
      <c r="V41" s="56" cm="1">
        <f t="array" ref="V41:W41">LINEST(F22:F41,D22:D41)</f>
        <v>-44.916090225564069</v>
      </c>
      <c r="W41" s="56">
        <v>37.326381641604144</v>
      </c>
      <c r="X41" s="56" cm="1">
        <f t="array" ref="X41:Y41">LINEST(F17:F41,D17:D41)</f>
        <v>-31.558153846153967</v>
      </c>
      <c r="Y41" s="56">
        <v>26.200193205128311</v>
      </c>
      <c r="Z41" s="56" cm="1">
        <f t="array" ref="Z41:AA41">LINEST(F12:F41,D12:D41)</f>
        <v>-30.007741935483928</v>
      </c>
      <c r="AA41" s="56">
        <v>24.899020430107576</v>
      </c>
      <c r="AB41" s="37" cm="1">
        <f t="array" ref="AB41:AC41">LINEST(G32:G41,D32:D41)</f>
        <v>-29.149090909091008</v>
      </c>
      <c r="AC41" s="37">
        <v>24.599638383838464</v>
      </c>
      <c r="AD41" s="37" cm="1">
        <f t="array" ref="AD41:AE41">LINEST(G27:G41,D27:D41)</f>
        <v>-28.260000000000097</v>
      </c>
      <c r="AE41" s="37">
        <v>23.855897916666748</v>
      </c>
      <c r="AF41" s="37" cm="1">
        <f t="array" ref="AF41:AG41">LINEST(G22:G41,D22:D41)</f>
        <v>-24.436691729323329</v>
      </c>
      <c r="AG41" s="37">
        <v>20.66359536340854</v>
      </c>
      <c r="AH41" s="37" cm="1">
        <f t="array" ref="AH41:AI41">LINEST(G17:G41,D17:D41)</f>
        <v>-19.268307692307719</v>
      </c>
      <c r="AI41" s="37">
        <v>16.358063910256437</v>
      </c>
      <c r="AJ41" s="37" cm="1">
        <f t="array" ref="AJ41:AK41">LINEST(G12:G41,D12:D41)</f>
        <v>-18.907408231368219</v>
      </c>
      <c r="AK41" s="37">
        <v>16.058457767890275</v>
      </c>
    </row>
    <row r="42" spans="1:39" x14ac:dyDescent="0.25">
      <c r="A42" s="61">
        <v>502</v>
      </c>
      <c r="B42" s="14">
        <f t="shared" si="0"/>
        <v>36</v>
      </c>
      <c r="C42" s="15">
        <v>43980</v>
      </c>
      <c r="D42" s="16">
        <v>0.84401620370370367</v>
      </c>
      <c r="E42" s="36">
        <v>21.44</v>
      </c>
      <c r="F42" s="36">
        <v>-0.88</v>
      </c>
      <c r="G42" s="36">
        <v>-0.02</v>
      </c>
      <c r="H42" s="56" cm="1">
        <f t="array" ref="H42:I42">LINEST(E33:E42,D33:D42)</f>
        <v>-38.138181818182012</v>
      </c>
      <c r="I42" s="56">
        <v>53.546879797979962</v>
      </c>
      <c r="J42" s="56" cm="1">
        <f t="array" ref="J42:K42">LINEST(E28:E42,D28:D42)</f>
        <v>-54.102857142857431</v>
      </c>
      <c r="K42" s="56">
        <v>66.934354761905013</v>
      </c>
      <c r="L42" s="56" cm="1">
        <f t="array" ref="L42:M42">LINEST(E23:E42,D23:D42)</f>
        <v>-45.944661654135437</v>
      </c>
      <c r="M42" s="56">
        <v>60.112324624060236</v>
      </c>
      <c r="N42" s="56" cm="1">
        <f t="array" ref="N42:O42">LINEST(E18:E42,D18:D42)</f>
        <v>-32.832000000000015</v>
      </c>
      <c r="O42" s="56">
        <v>49.17234000000002</v>
      </c>
      <c r="P42" s="56" cm="1">
        <f t="array" ref="P42:Q42">LINEST(E13:E42,D13:D42)</f>
        <v>-27.002803114571776</v>
      </c>
      <c r="Q42" s="56">
        <v>44.318996922506521</v>
      </c>
      <c r="R42" s="56" cm="1">
        <f t="array" ref="R42:S42">LINEST(F33:F42,D33:D42)</f>
        <v>-37.003636363636517</v>
      </c>
      <c r="S42" s="56">
        <v>30.686395959596087</v>
      </c>
      <c r="T42" s="56" cm="1">
        <f t="array" ref="T42:U42">LINEST(F28:F42,D28:D42)</f>
        <v>-46.002857142857295</v>
      </c>
      <c r="U42" s="56">
        <v>38.217240178571558</v>
      </c>
      <c r="V42" s="56" cm="1">
        <f t="array" ref="V42:W42">LINEST(F23:F42,D23:D42)</f>
        <v>-39.031578947368573</v>
      </c>
      <c r="W42" s="56">
        <v>32.383285087719422</v>
      </c>
      <c r="X42" s="56" cm="1">
        <f t="array" ref="X42:Y42">LINEST(F18:F42,D18:D42)</f>
        <v>-36.891692307692409</v>
      </c>
      <c r="Y42" s="56">
        <v>30.608324551282134</v>
      </c>
      <c r="Z42" s="56" cm="1">
        <f t="array" ref="Z42:AA42">LINEST(F13:F42,D13:D42)</f>
        <v>-30.380956618465031</v>
      </c>
      <c r="AA42" s="56">
        <v>25.179847626993016</v>
      </c>
      <c r="AB42" s="37" cm="1">
        <f t="array" ref="AB42:AC42">LINEST(G33:G42,D33:D42)</f>
        <v>-29.934545454545553</v>
      </c>
      <c r="AC42" s="37">
        <v>25.256150505050588</v>
      </c>
      <c r="AD42" s="37" cm="1">
        <f t="array" ref="AD42:AE42">LINEST(G28:G42,D28:D42)</f>
        <v>-29.777142857142959</v>
      </c>
      <c r="AE42" s="37">
        <v>25.123557738095322</v>
      </c>
      <c r="AF42" s="37" cm="1">
        <f t="array" ref="AF42:AG42">LINEST(G23:G42,D23:D42)</f>
        <v>-25.578947368421108</v>
      </c>
      <c r="AG42" s="37">
        <v>21.612046052631626</v>
      </c>
      <c r="AH42" s="37" cm="1">
        <f t="array" ref="AH42:AI42">LINEST(G18:G42,D18:D42)</f>
        <v>-20.641846153846171</v>
      </c>
      <c r="AI42" s="37">
        <v>17.493221858974373</v>
      </c>
      <c r="AJ42" s="37" cm="1">
        <f t="array" ref="AJ42:AK42">LINEST(G13:G42,D13:D42)</f>
        <v>-19.804404894327064</v>
      </c>
      <c r="AK42" s="37">
        <v>16.795733259176892</v>
      </c>
    </row>
    <row r="43" spans="1:39" x14ac:dyDescent="0.25">
      <c r="A43" s="61">
        <v>502</v>
      </c>
      <c r="B43" s="14">
        <f t="shared" si="0"/>
        <v>37</v>
      </c>
      <c r="C43" s="15">
        <v>43980</v>
      </c>
      <c r="D43" s="16">
        <v>0.84540509259259267</v>
      </c>
      <c r="E43" s="36">
        <v>21.47</v>
      </c>
      <c r="F43" s="36">
        <v>0.9</v>
      </c>
      <c r="G43" s="36">
        <v>0.05</v>
      </c>
      <c r="H43" s="56" cm="1">
        <f t="array" ref="H43:I43">LINEST(E34:E43,D34:D43)</f>
        <v>-27.534545454545405</v>
      </c>
      <c r="I43" s="56">
        <v>44.656754040404003</v>
      </c>
      <c r="J43" s="56" cm="1">
        <f t="array" ref="J43:K43">LINEST(E29:E43,D29:D43)</f>
        <v>-47.160000000000124</v>
      </c>
      <c r="K43" s="56">
        <v>61.144137500000106</v>
      </c>
      <c r="L43" s="56" cm="1">
        <f t="array" ref="L43:M43">LINEST(E24:E43,D24:D43)</f>
        <v>-46.469774436090248</v>
      </c>
      <c r="M43" s="56">
        <v>60.570641102756916</v>
      </c>
      <c r="N43" s="56" cm="1">
        <f t="array" ref="N43:O43">LINEST(E19:E43,D19:D43)</f>
        <v>-34.748307692307748</v>
      </c>
      <c r="O43" s="56">
        <v>50.775257820512877</v>
      </c>
      <c r="P43" s="56" cm="1">
        <f t="array" ref="P43:Q43">LINEST(E14:E43,D14:D43)</f>
        <v>-26.233948832035608</v>
      </c>
      <c r="Q43" s="56">
        <v>43.677991360771244</v>
      </c>
      <c r="R43" s="56" cm="1">
        <f t="array" ref="R43:S43">LINEST(F34:F43,D34:D43)</f>
        <v>21.425454545455207</v>
      </c>
      <c r="S43" s="56">
        <v>-18.194279292929849</v>
      </c>
      <c r="T43" s="56" cm="1">
        <f t="array" ref="T43:U43">LINEST(F29:F43,D29:D43)</f>
        <v>-1.7228571428569193</v>
      </c>
      <c r="U43" s="56">
        <v>1.2664288690474321</v>
      </c>
      <c r="V43" s="56" cm="1">
        <f t="array" ref="V43:W43">LINEST(F24:F43,D24:D43)</f>
        <v>-34.938947368421012</v>
      </c>
      <c r="W43" s="56">
        <v>29.103564035087686</v>
      </c>
      <c r="X43" s="56" cm="1">
        <f t="array" ref="X43:Y43">LINEST(F19:F43,D19:D43)</f>
        <v>-30.300923076923119</v>
      </c>
      <c r="Y43" s="56">
        <v>25.223539294871831</v>
      </c>
      <c r="Z43" s="56" cm="1">
        <f t="array" ref="Z43:AA43">LINEST(F14:F43,D14:D43)</f>
        <v>-21.829054505005573</v>
      </c>
      <c r="AA43" s="56">
        <v>18.155447608453848</v>
      </c>
      <c r="AB43" s="37" cm="1">
        <f t="array" ref="AB43:AC43">LINEST(G34:G43,D34:D43)</f>
        <v>-26.225454545454472</v>
      </c>
      <c r="AC43" s="37">
        <v>22.154223737373677</v>
      </c>
      <c r="AD43" s="37" cm="1">
        <f t="array" ref="AD43:AE43">LINEST(G29:G43,D29:D43)</f>
        <v>-27.771428571428597</v>
      </c>
      <c r="AE43" s="37">
        <v>23.453440476190497</v>
      </c>
      <c r="AF43" s="37" cm="1">
        <f t="array" ref="AF43:AG43">LINEST(G24:G43,D24:D43)</f>
        <v>-26.390977443609032</v>
      </c>
      <c r="AG43" s="37">
        <v>22.297352443609029</v>
      </c>
      <c r="AH43" s="37" cm="1">
        <f t="array" ref="AH43:AI43">LINEST(G19:G43,D19:D43)</f>
        <v>-21.450461538461564</v>
      </c>
      <c r="AI43" s="37">
        <v>18.168421730769253</v>
      </c>
      <c r="AJ43" s="37" cm="1">
        <f t="array" ref="AJ43:AK43">LINEST(G14:G43,D14:D43)</f>
        <v>-19.958175750834275</v>
      </c>
      <c r="AK43" s="37">
        <v>16.923474601408984</v>
      </c>
    </row>
    <row r="44" spans="1:39" x14ac:dyDescent="0.25">
      <c r="A44" s="61">
        <v>502</v>
      </c>
      <c r="B44" s="14">
        <f t="shared" si="0"/>
        <v>38</v>
      </c>
      <c r="C44" s="15">
        <v>43980</v>
      </c>
      <c r="D44" s="16">
        <v>0.84679398148148144</v>
      </c>
      <c r="E44" s="36">
        <v>21.46</v>
      </c>
      <c r="F44" s="36">
        <v>-0.28000000000000003</v>
      </c>
      <c r="G44" s="36">
        <v>0.03</v>
      </c>
      <c r="H44" s="56" cm="1">
        <f t="array" ref="H44:I44">LINEST(E35:E44,D35:D44)</f>
        <v>-11.956363636363644</v>
      </c>
      <c r="I44" s="56">
        <v>31.551849494949504</v>
      </c>
      <c r="J44" s="56" cm="1">
        <f t="array" ref="J44:K44">LINEST(E30:E44,D30:D44)</f>
        <v>-37.954285714285817</v>
      </c>
      <c r="K44" s="56">
        <v>53.439794047619131</v>
      </c>
      <c r="L44" s="56" cm="1">
        <f t="array" ref="L44:M44">LINEST(E25:E44,D25:D44)</f>
        <v>-45.722706766917391</v>
      </c>
      <c r="M44" s="56">
        <v>59.967427192982534</v>
      </c>
      <c r="N44" s="56" cm="1">
        <f t="array" ref="N44:O44">LINEST(E20:E44,D20:D44)</f>
        <v>-36.160615384615404</v>
      </c>
      <c r="O44" s="56">
        <v>51.963914551282073</v>
      </c>
      <c r="P44" s="56" cm="1">
        <f t="array" ref="P44:Q44">LINEST(E15:E44,D15:D44)</f>
        <v>-26.975572858731951</v>
      </c>
      <c r="Q44" s="56">
        <v>44.295828012606634</v>
      </c>
      <c r="R44" s="56" cm="1">
        <f t="array" ref="R44:S44">LINEST(F35:F44,D35:D44)</f>
        <v>61.832727272727936</v>
      </c>
      <c r="S44" s="56">
        <v>-52.284126767677321</v>
      </c>
      <c r="T44" s="56" cm="1">
        <f t="array" ref="T44:U44">LINEST(F30:F44,D30:D44)</f>
        <v>-1.928571428571209</v>
      </c>
      <c r="U44" s="56">
        <v>1.4283526785712448</v>
      </c>
      <c r="V44" s="56" cm="1">
        <f t="array" ref="V44:W44">LINEST(F25:F44,D25:D44)</f>
        <v>-24.193082706766862</v>
      </c>
      <c r="W44" s="56">
        <v>20.117842543859609</v>
      </c>
      <c r="X44" s="56" cm="1">
        <f t="array" ref="X44:Y44">LINEST(F20:F44,D20:D44)</f>
        <v>-30.256615384615422</v>
      </c>
      <c r="Y44" s="56">
        <v>25.198442884615421</v>
      </c>
      <c r="Z44" s="56" cm="1">
        <f t="array" ref="Z44:AA44">LINEST(F15:F44,D15:D44)</f>
        <v>-18.6719466073415</v>
      </c>
      <c r="AA44" s="56">
        <v>15.527593084909165</v>
      </c>
      <c r="AB44" s="37" cm="1">
        <f t="array" ref="AB44:AC44">LINEST(G35:G44,D35:D44)</f>
        <v>-19.156363636363611</v>
      </c>
      <c r="AC44" s="37">
        <v>16.212766161616141</v>
      </c>
      <c r="AD44" s="37" cm="1">
        <f t="array" ref="AD44:AE44">LINEST(G30:G44,D30:D44)</f>
        <v>-25.791428571428622</v>
      </c>
      <c r="AE44" s="37">
        <v>21.801276488095279</v>
      </c>
      <c r="AF44" s="37" cm="1">
        <f t="array" ref="AF44:AG44">LINEST(G25:G44,D25:D44)</f>
        <v>-26.163609022556422</v>
      </c>
      <c r="AG44" s="37">
        <v>22.114472368421083</v>
      </c>
      <c r="AH44" s="37" cm="1">
        <f t="array" ref="AH44:AI44">LINEST(G20:G44,D20:D44)</f>
        <v>-22.137230769230783</v>
      </c>
      <c r="AI44" s="37">
        <v>18.744319935897451</v>
      </c>
      <c r="AJ44" s="37" cm="1">
        <f t="array" ref="AJ44:AK44">LINEST(G15:G44,D15:D44)</f>
        <v>-19.849254727475003</v>
      </c>
      <c r="AK44" s="37">
        <v>16.833154171301473</v>
      </c>
    </row>
    <row r="45" spans="1:39" x14ac:dyDescent="0.25">
      <c r="A45" s="61">
        <v>502</v>
      </c>
      <c r="B45" s="14">
        <f t="shared" si="0"/>
        <v>39</v>
      </c>
      <c r="C45" s="15">
        <v>43980</v>
      </c>
      <c r="D45" s="16">
        <v>0.84818287037037043</v>
      </c>
      <c r="E45" s="36">
        <v>21.49</v>
      </c>
      <c r="F45" s="36">
        <v>0.92</v>
      </c>
      <c r="G45" s="36">
        <v>0.1</v>
      </c>
      <c r="H45" s="56" cm="1">
        <f t="array" ref="H45:I45">LINEST(E36:E45,D36:D45)</f>
        <v>-4.8436363636363948</v>
      </c>
      <c r="I45" s="56">
        <v>25.563016666666694</v>
      </c>
      <c r="J45" s="56" cm="1">
        <f t="array" ref="J45:K45">LINEST(E31:E45,D31:D45)</f>
        <v>-25.740000000000016</v>
      </c>
      <c r="K45" s="56">
        <v>43.189310416666672</v>
      </c>
      <c r="L45" s="56" cm="1">
        <f t="array" ref="L45:M45">LINEST(E26:E45,D26:D45)</f>
        <v>-43.351578947368473</v>
      </c>
      <c r="M45" s="56">
        <v>58.006066666666712</v>
      </c>
      <c r="N45" s="56" cm="1">
        <f t="array" ref="N45:O45">LINEST(E21:E45,D21:D45)</f>
        <v>-36.786461538461559</v>
      </c>
      <c r="O45" s="56">
        <v>52.502938846153867</v>
      </c>
      <c r="P45" s="56" cm="1">
        <f t="array" ref="P45:Q45">LINEST(E16:E45,D16:D45)</f>
        <v>-27.869365962180222</v>
      </c>
      <c r="Q45" s="56">
        <v>45.046727419354866</v>
      </c>
      <c r="R45" s="56" cm="1">
        <f t="array" ref="R45:S45">LINEST(F36:F45,D36:D45)</f>
        <v>53.105454545455409</v>
      </c>
      <c r="S45" s="56">
        <v>-44.780227777778506</v>
      </c>
      <c r="T45" s="56" cm="1">
        <f t="array" ref="T45:U45">LINEST(F31:F45,D31:D45)</f>
        <v>19.954285714286069</v>
      </c>
      <c r="U45" s="56">
        <v>-16.849550000000296</v>
      </c>
      <c r="V45" s="56" cm="1">
        <f t="array" ref="V45:W45">LINEST(F26:F45,D26:D45)</f>
        <v>-4.4499248120299422</v>
      </c>
      <c r="W45" s="56">
        <v>3.6716357142856033</v>
      </c>
      <c r="X45" s="56" cm="1">
        <f t="array" ref="X45:Y45">LINEST(F21:F45,D21:D45)</f>
        <v>-20.951999999999984</v>
      </c>
      <c r="Y45" s="56">
        <v>17.516327499999989</v>
      </c>
      <c r="Z45" s="56" cm="1">
        <f t="array" ref="Z45:AA45">LINEST(F16:F45,D16:D45)</f>
        <v>-9.4761290322580525</v>
      </c>
      <c r="AA45" s="56">
        <v>7.9306516129032154</v>
      </c>
      <c r="AB45" s="37" cm="1">
        <f t="array" ref="AB45:AC45">LINEST(G36:G45,D36:D45)</f>
        <v>-13.39636363636353</v>
      </c>
      <c r="AC45" s="37">
        <v>11.375838888888799</v>
      </c>
      <c r="AD45" s="37" cm="1">
        <f t="array" ref="AD45:AE45">LINEST(G31:G45,D31:D45)</f>
        <v>-22.294285714285682</v>
      </c>
      <c r="AE45" s="37">
        <v>18.879547916666638</v>
      </c>
      <c r="AF45" s="37" cm="1">
        <f t="array" ref="AF45:AG45">LINEST(G26:G45,D26:D45)</f>
        <v>-24.452932330827068</v>
      </c>
      <c r="AG45" s="37">
        <v>20.695415476190476</v>
      </c>
      <c r="AH45" s="37" cm="1">
        <f t="array" ref="AH45:AI45">LINEST(G21:G45,D21:D45)</f>
        <v>-22.026461538461543</v>
      </c>
      <c r="AI45" s="37">
        <v>18.661759679487183</v>
      </c>
      <c r="AJ45" s="37" cm="1">
        <f t="array" ref="AJ45:AK45">LINEST(G16:G45,D16:D45)</f>
        <v>-19.046763070077873</v>
      </c>
      <c r="AK45" s="37">
        <v>16.169890860215059</v>
      </c>
    </row>
    <row r="46" spans="1:39" x14ac:dyDescent="0.25">
      <c r="A46" s="61">
        <v>502</v>
      </c>
      <c r="B46" s="14">
        <f t="shared" si="0"/>
        <v>40</v>
      </c>
      <c r="C46" s="15">
        <v>43980</v>
      </c>
      <c r="D46" s="16">
        <v>0.84957175925925921</v>
      </c>
      <c r="E46" s="36">
        <v>20.21</v>
      </c>
      <c r="F46" s="36">
        <v>0.92</v>
      </c>
      <c r="G46" s="36">
        <v>0.16</v>
      </c>
      <c r="H46" s="56" cm="1">
        <f t="array" ref="H46:I46">LINEST(E37:E46,D37:D46)</f>
        <v>-55.156363636363132</v>
      </c>
      <c r="I46" s="56">
        <v>67.872561616161192</v>
      </c>
      <c r="J46" s="56" cm="1">
        <f t="array" ref="J46:K46">LINEST(E32:E46,D32:D46)</f>
        <v>-46.517142857142794</v>
      </c>
      <c r="K46" s="56">
        <v>60.56740089285708</v>
      </c>
      <c r="L46" s="56" cm="1">
        <f t="array" ref="L46:M46">LINEST(E27:E46,D27:D46)</f>
        <v>-53.058045112782047</v>
      </c>
      <c r="M46" s="56">
        <v>66.075045300751952</v>
      </c>
      <c r="N46" s="56" cm="1">
        <f t="array" ref="N46:O46">LINEST(E22:E46,D22:D46)</f>
        <v>-45.409846153846154</v>
      </c>
      <c r="O46" s="56">
        <v>59.653292115384616</v>
      </c>
      <c r="P46" s="56" cm="1">
        <f t="array" ref="P46:Q46">LINEST(E17:E46,D17:D46)</f>
        <v>-34.800266963292586</v>
      </c>
      <c r="Q46" s="56">
        <v>50.767151983685622</v>
      </c>
      <c r="R46" s="56" cm="1">
        <f t="array" ref="R46:S46">LINEST(F37:F46,D37:D46)</f>
        <v>23.258181818182678</v>
      </c>
      <c r="S46" s="56">
        <v>-19.441130808081535</v>
      </c>
      <c r="T46" s="56" cm="1">
        <f t="array" ref="T46:U46">LINEST(F32:F46,D32:D46)</f>
        <v>39.240000000000315</v>
      </c>
      <c r="U46" s="56">
        <v>-33.007029166666932</v>
      </c>
      <c r="V46" s="56" cm="1">
        <f t="array" ref="V46:W46">LINEST(F27:F46,D27:D46)</f>
        <v>10.285714285714445</v>
      </c>
      <c r="W46" s="56">
        <v>-8.6197380952382279</v>
      </c>
      <c r="X46" s="56" cm="1">
        <f t="array" ref="X46:Y46">LINEST(F22:F46,D22:D46)</f>
        <v>-14.200615384615402</v>
      </c>
      <c r="Y46" s="56">
        <v>11.948164871794885</v>
      </c>
      <c r="Z46" s="56" cm="1">
        <f t="array" ref="Z46:AA46">LINEST(F17:F46,D17:D46)</f>
        <v>-13.458153503893238</v>
      </c>
      <c r="AA46" s="56">
        <v>11.327301557285894</v>
      </c>
      <c r="AB46" s="37" cm="1">
        <f t="array" ref="AB46:AC46">LINEST(G37:G46,D37:D46)</f>
        <v>-10.778181818181791</v>
      </c>
      <c r="AC46" s="37">
        <v>9.1924752525252291</v>
      </c>
      <c r="AD46" s="37" cm="1">
        <f t="array" ref="AD46:AE46">LINEST(G32:G46,D32:D46)</f>
        <v>-17.562857142857144</v>
      </c>
      <c r="AE46" s="37">
        <v>14.91815744047619</v>
      </c>
      <c r="AF46" s="37" cm="1">
        <f t="array" ref="AF46:AG46">LINEST(G27:G46,D27:D46)</f>
        <v>-21.767819548872204</v>
      </c>
      <c r="AG46" s="37">
        <v>18.460610463659169</v>
      </c>
      <c r="AH46" s="37" cm="1">
        <f t="array" ref="AH46:AI46">LINEST(G22:G46,D22:D46)</f>
        <v>-21.439384615384629</v>
      </c>
      <c r="AI46" s="37">
        <v>18.18577262820514</v>
      </c>
      <c r="AJ46" s="37" cm="1">
        <f t="array" ref="AJ46:AK46">LINEST(G17:G46,D17:D46)</f>
        <v>-18.60627363737488</v>
      </c>
      <c r="AK46" s="37">
        <v>15.812654949944401</v>
      </c>
    </row>
    <row r="47" spans="1:39" x14ac:dyDescent="0.25">
      <c r="A47" s="61">
        <v>502</v>
      </c>
      <c r="B47" s="14">
        <f t="shared" si="0"/>
        <v>41</v>
      </c>
      <c r="C47" s="15">
        <v>43980</v>
      </c>
      <c r="D47" s="16">
        <v>0.8509606481481482</v>
      </c>
      <c r="E47" s="36">
        <v>20.3</v>
      </c>
      <c r="F47" s="36">
        <v>0.92</v>
      </c>
      <c r="G47" s="36">
        <v>0.22</v>
      </c>
      <c r="H47" s="56" cm="1">
        <f t="array" ref="H47:I47">LINEST(E38:E47,D38:D47)</f>
        <v>-85.570909090908415</v>
      </c>
      <c r="I47" s="56">
        <v>93.511658080807493</v>
      </c>
      <c r="J47" s="56" cm="1">
        <f t="array" ref="J47:K47">LINEST(E33:E47,D33:D47)</f>
        <v>-59.68285714285706</v>
      </c>
      <c r="K47" s="56">
        <v>71.600179464285645</v>
      </c>
      <c r="L47" s="56" cm="1">
        <f t="array" ref="L47:M47">LINEST(E28:E47,D28:D47)</f>
        <v>-59.58135338345874</v>
      </c>
      <c r="M47" s="56">
        <v>71.509244235589051</v>
      </c>
      <c r="N47" s="56" cm="1">
        <f t="array" ref="N47:O47">LINEST(E23:E47,D23:D47)</f>
        <v>-51.923076923076955</v>
      </c>
      <c r="O47" s="56">
        <v>65.068710576923095</v>
      </c>
      <c r="P47" s="56" cm="1">
        <f t="array" ref="P47:Q47">LINEST(E18:E47,D18:D47)</f>
        <v>-40.619532814238042</v>
      </c>
      <c r="Q47" s="56">
        <v>55.585925046347811</v>
      </c>
      <c r="R47" s="56" cm="1">
        <f t="array" ref="R47:S47">LINEST(F38:F47,D38:D47)</f>
        <v>188.290909090909</v>
      </c>
      <c r="S47" s="56">
        <v>-159.08633585858576</v>
      </c>
      <c r="T47" s="56" cm="1">
        <f t="array" ref="T47:U47">LINEST(F33:F47,D33:D47)</f>
        <v>55.928571428571708</v>
      </c>
      <c r="U47" s="56">
        <v>-47.033263392857386</v>
      </c>
      <c r="V47" s="56" cm="1">
        <f t="array" ref="V47:W47">LINEST(F28:F47,D28:D47)</f>
        <v>16.024060150376133</v>
      </c>
      <c r="W47" s="56">
        <v>-13.377416040100412</v>
      </c>
      <c r="X47" s="56" cm="1">
        <f t="array" ref="X47:Y47">LINEST(F23:F47,D23:D47)</f>
        <v>0.68676923076926866</v>
      </c>
      <c r="Y47" s="56">
        <v>-0.47376743589746739</v>
      </c>
      <c r="Z47" s="56" cm="1">
        <f t="array" ref="Z47:AA47">LINEST(F18:F47,D18:D47)</f>
        <v>-9.1285428253615013</v>
      </c>
      <c r="AA47" s="56">
        <v>7.7685253429736658</v>
      </c>
      <c r="AB47" s="37" cm="1">
        <f t="array" ref="AB47:AC47">LINEST(G38:G47,D38:D47)</f>
        <v>4.7127272727272853</v>
      </c>
      <c r="AC47" s="37">
        <v>-3.8888909090909189</v>
      </c>
      <c r="AD47" s="37" cm="1">
        <f t="array" ref="AD47:AE47">LINEST(G33:G47,D33:D47)</f>
        <v>-11.854285714285673</v>
      </c>
      <c r="AE47" s="37">
        <v>10.128280654761872</v>
      </c>
      <c r="AF47" s="37" cm="1">
        <f t="array" ref="AF47:AG47">LINEST(G28:G47,D28:D47)</f>
        <v>-18.876992481203001</v>
      </c>
      <c r="AG47" s="37">
        <v>16.053006328320794</v>
      </c>
      <c r="AH47" s="37" cm="1">
        <f t="array" ref="AH47:AI47">LINEST(G23:G47,D23:D47)</f>
        <v>-19.705846153846156</v>
      </c>
      <c r="AI47" s="37">
        <v>16.751268846153849</v>
      </c>
      <c r="AJ47" s="37" cm="1">
        <f t="array" ref="AJ47:AK47">LINEST(G18:G47,D18:D47)</f>
        <v>-17.859844271412687</v>
      </c>
      <c r="AK47" s="37">
        <v>15.20301390433816</v>
      </c>
      <c r="AM47" s="18"/>
    </row>
    <row r="48" spans="1:39" x14ac:dyDescent="0.25">
      <c r="A48" s="61">
        <v>502</v>
      </c>
      <c r="B48" s="14">
        <f t="shared" si="0"/>
        <v>42</v>
      </c>
      <c r="C48" s="15">
        <v>43980</v>
      </c>
      <c r="D48" s="16">
        <v>0.85234953703703698</v>
      </c>
      <c r="E48" s="36">
        <v>20.29</v>
      </c>
      <c r="F48" s="36">
        <v>0.92</v>
      </c>
      <c r="G48" s="36">
        <v>0.28000000000000003</v>
      </c>
      <c r="H48" s="56" cm="1">
        <f t="array" ref="H48:I48">LINEST(E39:E48,D39:D48)</f>
        <v>-108.95999999999941</v>
      </c>
      <c r="I48" s="56">
        <v>113.29800555555505</v>
      </c>
      <c r="J48" s="56" cm="1">
        <f t="array" ref="J48:K48">LINEST(E34:E48,D34:D48)</f>
        <v>-68.682857142857031</v>
      </c>
      <c r="K48" s="56">
        <v>79.158051488095154</v>
      </c>
      <c r="L48" s="56" cm="1">
        <f t="array" ref="L48:M48">LINEST(E29:E48,D29:D48)</f>
        <v>-63.603609022556469</v>
      </c>
      <c r="M48" s="56">
        <v>74.860792418546424</v>
      </c>
      <c r="N48" s="56" cm="1">
        <f t="array" ref="N48:O48">LINEST(E24:E48,D24:D48)</f>
        <v>-57.516923076923106</v>
      </c>
      <c r="O48" s="56">
        <v>69.734307371794898</v>
      </c>
      <c r="P48" s="56" cm="1">
        <f t="array" ref="P48:Q48">LINEST(E19:E48,D19:D48)</f>
        <v>-45.817308120133532</v>
      </c>
      <c r="Q48" s="56">
        <v>59.902985020393089</v>
      </c>
      <c r="R48" s="56" cm="1">
        <f t="array" ref="R48:S48">LINEST(F39:F48,D39:D48)</f>
        <v>155.47636363636431</v>
      </c>
      <c r="S48" s="56">
        <v>-131.34147929292988</v>
      </c>
      <c r="T48" s="56" cm="1">
        <f t="array" ref="T48:U48">LINEST(F34:F48,D34:D48)</f>
        <v>70.020000000000252</v>
      </c>
      <c r="U48" s="56">
        <v>-58.917431250000213</v>
      </c>
      <c r="V48" s="56" cm="1">
        <f t="array" ref="V48:W48">LINEST(F29:F48,D29:D48)</f>
        <v>36.519699248120489</v>
      </c>
      <c r="W48" s="56">
        <v>-30.605691604010179</v>
      </c>
      <c r="X48" s="56" cm="1">
        <f t="array" ref="X48:Y48">LINEST(F24:F48,D24:D48)</f>
        <v>1.539692307692347</v>
      </c>
      <c r="Y48" s="56">
        <v>-1.1290944871795201</v>
      </c>
      <c r="Z48" s="56" cm="1">
        <f t="array" ref="Z48:AA48">LINEST(F19:F48,D19:D48)</f>
        <v>-5.3851835372636296</v>
      </c>
      <c r="AA48" s="56">
        <v>4.6882737486095696</v>
      </c>
      <c r="AB48" s="37" cm="1">
        <f t="array" ref="AB48:AC48">LINEST(G39:G48,D39:D48)</f>
        <v>16.799999999999962</v>
      </c>
      <c r="AC48" s="37">
        <v>-14.113472222222189</v>
      </c>
      <c r="AD48" s="37" cm="1">
        <f t="array" ref="AD48:AE48">LINEST(G34:G48,D34:D48)</f>
        <v>-5.4257142857142826</v>
      </c>
      <c r="AE48" s="37">
        <v>4.7225217261904744</v>
      </c>
      <c r="AF48" s="37" cm="1">
        <f t="array" ref="AF48:AG48">LINEST(G29:G48,D29:D48)</f>
        <v>-14.56781954887219</v>
      </c>
      <c r="AG48" s="37">
        <v>12.448159962406022</v>
      </c>
      <c r="AH48" s="37" cm="1">
        <f t="array" ref="AH48:AI48">LINEST(G24:G48,D24:D48)</f>
        <v>-18.044307692307704</v>
      </c>
      <c r="AI48" s="37">
        <v>15.378518846153858</v>
      </c>
      <c r="AJ48" s="37" cm="1">
        <f t="array" ref="AJ48:AK48">LINEST(G19:G48,D19:D48)</f>
        <v>-16.885962180200242</v>
      </c>
      <c r="AK48" s="37">
        <v>14.405344197256227</v>
      </c>
      <c r="AM48" s="19"/>
    </row>
    <row r="49" spans="1:41" x14ac:dyDescent="0.25">
      <c r="A49" s="61">
        <v>502</v>
      </c>
      <c r="B49" s="14">
        <f t="shared" si="0"/>
        <v>43</v>
      </c>
      <c r="C49" s="15">
        <v>43980</v>
      </c>
      <c r="D49" s="16">
        <v>0.85373842592592597</v>
      </c>
      <c r="E49" s="36">
        <v>20.3</v>
      </c>
      <c r="F49" s="36">
        <v>0.14000000000000001</v>
      </c>
      <c r="G49" s="36">
        <v>0.27</v>
      </c>
      <c r="H49" s="56" cm="1">
        <f t="array" ref="H49:I49">LINEST(E40:E49,D40:D49)</f>
        <v>-123.22909090909015</v>
      </c>
      <c r="I49" s="56">
        <v>125.42522828282765</v>
      </c>
      <c r="J49" s="56" cm="1">
        <f t="array" ref="J49:K49">LINEST(E35:E49,D35:D49)</f>
        <v>-72.694285714285542</v>
      </c>
      <c r="K49" s="56">
        <v>82.529155059523674</v>
      </c>
      <c r="L49" s="56" cm="1">
        <f t="array" ref="L49:M49">LINEST(E30:E49,D30:D49)</f>
        <v>-65.216842105263183</v>
      </c>
      <c r="M49" s="56">
        <v>76.199124122807035</v>
      </c>
      <c r="N49" s="56" cm="1">
        <f t="array" ref="N49:O49">LINEST(E25:E49,D25:D49)</f>
        <v>-61.632000000000048</v>
      </c>
      <c r="O49" s="56">
        <v>73.176406666666708</v>
      </c>
      <c r="P49" s="56" cm="1">
        <f t="array" ref="P49:Q49">LINEST(E20:E49,D20:D49)</f>
        <v>-50.2446273637375</v>
      </c>
      <c r="Q49" s="56">
        <v>63.591898109010032</v>
      </c>
      <c r="R49" s="56" cm="1">
        <f t="array" ref="R49:S49">LINEST(F40:F49,D40:D49)</f>
        <v>78.109090909091307</v>
      </c>
      <c r="S49" s="56">
        <v>-65.840550505050857</v>
      </c>
      <c r="T49" s="56" cm="1">
        <f t="array" ref="T49:U49">LINEST(F35:F49,D35:D49)</f>
        <v>83.314285714285802</v>
      </c>
      <c r="U49" s="56">
        <v>-70.27127380952389</v>
      </c>
      <c r="V49" s="56" cm="1">
        <f t="array" ref="V49:W49">LINEST(F30:F49,D30:D49)</f>
        <v>36.070375939849761</v>
      </c>
      <c r="W49" s="56">
        <v>-30.267237406015155</v>
      </c>
      <c r="X49" s="56" cm="1">
        <f t="array" ref="X49:Y49">LINEST(F25:F49,D25:D49)</f>
        <v>9.2880000000000766</v>
      </c>
      <c r="Y49" s="56">
        <v>-7.6615225000000642</v>
      </c>
      <c r="Z49" s="56" cm="1">
        <f t="array" ref="Z49:AA49">LINEST(F20:F49,D20:D49)</f>
        <v>-4.3376195773081214</v>
      </c>
      <c r="AA49" s="56">
        <v>3.8111710048201712</v>
      </c>
      <c r="AB49" s="37" cm="1">
        <f t="array" ref="AB49:AC49">LINEST(G40:G49,D40:D49)</f>
        <v>21.949090909090849</v>
      </c>
      <c r="AC49" s="37">
        <v>-18.480600505050461</v>
      </c>
      <c r="AD49" s="37" cm="1">
        <f t="array" ref="AD49:AE49">LINEST(G35:G49,D35:D49)</f>
        <v>1.6457142857142912</v>
      </c>
      <c r="AE49" s="37">
        <v>-1.2463428571428619</v>
      </c>
      <c r="AF49" s="37" cm="1">
        <f t="array" ref="AF49:AG49">LINEST(G30:G49,D30:D49)</f>
        <v>-10.605112781954869</v>
      </c>
      <c r="AG49" s="37">
        <v>9.1245637218044973</v>
      </c>
      <c r="AH49" s="37" cm="1">
        <f t="array" ref="AH49:AI49">LINEST(G25:G49,D25:D49)</f>
        <v>-15.856615384615381</v>
      </c>
      <c r="AI49" s="37">
        <v>13.557924935897434</v>
      </c>
      <c r="AJ49" s="37" cm="1">
        <f t="array" ref="AJ49:AK49">LINEST(G20:G49,D20:D49)</f>
        <v>-15.892858731924361</v>
      </c>
      <c r="AK49" s="37">
        <v>13.588946347793847</v>
      </c>
      <c r="AM49" s="20"/>
      <c r="AO49" s="4"/>
    </row>
    <row r="50" spans="1:41" x14ac:dyDescent="0.25">
      <c r="A50" s="61">
        <v>502</v>
      </c>
      <c r="B50" s="14">
        <f t="shared" si="0"/>
        <v>44</v>
      </c>
      <c r="C50" s="15">
        <v>43980</v>
      </c>
      <c r="D50" s="16">
        <v>0.85512731481481474</v>
      </c>
      <c r="E50" s="36">
        <v>20.34</v>
      </c>
      <c r="F50" s="36">
        <v>1.19</v>
      </c>
      <c r="G50" s="36">
        <v>0.34</v>
      </c>
      <c r="H50" s="56" cm="1">
        <f t="array" ref="H50:I50">LINEST(E41:E50,D41:D50)</f>
        <v>-125.71636363636354</v>
      </c>
      <c r="I50" s="56">
        <v>127.59476919191914</v>
      </c>
      <c r="J50" s="56" cm="1">
        <f t="array" ref="J50:K50">LINEST(E36:E50,D36:D50)</f>
        <v>-77.708571428571332</v>
      </c>
      <c r="K50" s="56">
        <v>86.781222023809434</v>
      </c>
      <c r="L50" s="56" cm="1">
        <f t="array" ref="L50:M50">LINEST(E31:E50,D31:D50)</f>
        <v>-64.123308270676716</v>
      </c>
      <c r="M50" s="56">
        <v>75.265020989974943</v>
      </c>
      <c r="N50" s="56" cm="1">
        <f t="array" ref="N50:O50">LINEST(E26:E50,D26:D50)</f>
        <v>-64.124307692307738</v>
      </c>
      <c r="O50" s="56">
        <v>75.26970858974363</v>
      </c>
      <c r="P50" s="56" cm="1">
        <f t="array" ref="P50:Q50">LINEST(E21:E50,D21:D50)</f>
        <v>-53.758932146829856</v>
      </c>
      <c r="Q50" s="56">
        <v>66.531419466073459</v>
      </c>
      <c r="R50" s="56" cm="1">
        <f t="array" ref="R50:S50">LINEST(F41:F50,D41:D50)</f>
        <v>95.214545454546183</v>
      </c>
      <c r="S50" s="56">
        <v>-80.353467676768318</v>
      </c>
      <c r="T50" s="56" cm="1">
        <f t="array" ref="T50:U50">LINEST(F36:F50,D36:D50)</f>
        <v>72.05142857142873</v>
      </c>
      <c r="U50" s="56">
        <v>-60.685977976190607</v>
      </c>
      <c r="V50" s="56" cm="1">
        <f t="array" ref="V50:W50">LINEST(F31:F50,D31:D50)</f>
        <v>46.172030075188097</v>
      </c>
      <c r="W50" s="56">
        <v>-38.758249812030186</v>
      </c>
      <c r="X50" s="56" cm="1">
        <f t="array" ref="X50:Y50">LINEST(F26:F50,D26:D50)</f>
        <v>21.461538461538513</v>
      </c>
      <c r="Y50" s="56">
        <v>-17.866255448717993</v>
      </c>
      <c r="Z50" s="56" cm="1">
        <f t="array" ref="Z50:AA50">LINEST(F21:F50,D21:D50)</f>
        <v>2.2921468298108802</v>
      </c>
      <c r="AA50" s="56">
        <v>-1.698916073414888</v>
      </c>
      <c r="AB50" s="37" cm="1">
        <f t="array" ref="AB50:AC50">LINEST(G41:G50,D41:D50)</f>
        <v>27.621818181818202</v>
      </c>
      <c r="AC50" s="37">
        <v>-23.29853484848487</v>
      </c>
      <c r="AD50" s="37" cm="1">
        <f t="array" ref="AD50:AE50">LINEST(G36:G50,D36:D50)</f>
        <v>7.199999999999986</v>
      </c>
      <c r="AE50" s="37">
        <v>-5.937583333333321</v>
      </c>
      <c r="AF50" s="37" cm="1">
        <f t="array" ref="AF50:AG50">LINEST(G31:G50,D31:D50)</f>
        <v>-6.2093233082706814</v>
      </c>
      <c r="AG50" s="37">
        <v>5.431333395989979</v>
      </c>
      <c r="AH50" s="37" cm="1">
        <f t="array" ref="AH50:AI50">LINEST(G26:G50,D26:D50)</f>
        <v>-12.932307692307699</v>
      </c>
      <c r="AI50" s="37">
        <v>11.116031089743595</v>
      </c>
      <c r="AJ50" s="37" cm="1">
        <f t="array" ref="AJ50:AK50">LINEST(G21:G50,D21:D50)</f>
        <v>-14.45926585094551</v>
      </c>
      <c r="AK50" s="37">
        <v>12.404319632925485</v>
      </c>
      <c r="AM50" s="21"/>
    </row>
    <row r="51" spans="1:41" x14ac:dyDescent="0.25">
      <c r="A51" s="61">
        <v>502</v>
      </c>
      <c r="B51" s="14">
        <f t="shared" si="0"/>
        <v>45</v>
      </c>
      <c r="C51" s="15">
        <v>43980</v>
      </c>
      <c r="D51" s="16">
        <v>0.85651620370370374</v>
      </c>
      <c r="E51" s="36">
        <v>20.34</v>
      </c>
      <c r="F51" s="36">
        <v>-0.1</v>
      </c>
      <c r="G51" s="36">
        <v>0.3</v>
      </c>
      <c r="H51" s="56" cm="1">
        <f t="array" ref="H51:I51">LINEST(E42:E51,D42:D51)</f>
        <v>-118.34181818181798</v>
      </c>
      <c r="I51" s="56">
        <v>121.38604848484832</v>
      </c>
      <c r="J51" s="56" cm="1">
        <f t="array" ref="J51:K51">LINEST(E37:E51,D37:D51)</f>
        <v>-83.031428571428378</v>
      </c>
      <c r="K51" s="56">
        <v>91.320513988095058</v>
      </c>
      <c r="L51" s="56" cm="1">
        <f t="array" ref="L51:M51">LINEST(E32:E51,D32:D51)</f>
        <v>-67.598796992481212</v>
      </c>
      <c r="M51" s="56">
        <v>78.211036403508771</v>
      </c>
      <c r="N51" s="56" cm="1">
        <f t="array" ref="N51:O51">LINEST(E27:E51,D27:D51)</f>
        <v>-65.409230769230874</v>
      </c>
      <c r="O51" s="56">
        <v>76.355512179487263</v>
      </c>
      <c r="P51" s="56" cm="1">
        <f t="array" ref="P51:Q51">LINEST(E22:E51,D22:D51)</f>
        <v>-56.602091212458298</v>
      </c>
      <c r="Q51" s="56">
        <v>68.919038394512427</v>
      </c>
      <c r="R51" s="56" cm="1">
        <f t="array" ref="R51:S51">LINEST(F42:F51,D42:D51)</f>
        <v>48.654545454545726</v>
      </c>
      <c r="S51" s="56">
        <v>-40.904315656565885</v>
      </c>
      <c r="T51" s="56" cm="1">
        <f t="array" ref="T51:U51">LINEST(F37:F51,D37:D51)</f>
        <v>30.651428571428671</v>
      </c>
      <c r="U51" s="56">
        <v>-25.635445238095322</v>
      </c>
      <c r="V51" s="56" cm="1">
        <f t="array" ref="V51:W51">LINEST(F32:F51,D32:D51)</f>
        <v>41.619248120300831</v>
      </c>
      <c r="W51" s="56">
        <v>-34.983417543859709</v>
      </c>
      <c r="X51" s="56" cm="1">
        <f t="array" ref="X51:Y51">LINEST(F27:F51,D27:D51)</f>
        <v>21.755076923076984</v>
      </c>
      <c r="Y51" s="56">
        <v>-18.161791282051329</v>
      </c>
      <c r="Z51" s="56" cm="1">
        <f t="array" ref="Z51:AA51">LINEST(F22:F51,D22:D51)</f>
        <v>1.1020244716351391</v>
      </c>
      <c r="AA51" s="56">
        <v>-0.71904160177974585</v>
      </c>
      <c r="AB51" s="37" cm="1">
        <f t="array" ref="AB51:AC51">LINEST(G42:G51,D42:D51)</f>
        <v>29.280000000000012</v>
      </c>
      <c r="AC51" s="37">
        <v>-24.722794444444457</v>
      </c>
      <c r="AD51" s="37" cm="1">
        <f t="array" ref="AD51:AE51">LINEST(G37:G51,D37:D51)</f>
        <v>8.8971428571428426</v>
      </c>
      <c r="AE51" s="37">
        <v>-7.3713803571428445</v>
      </c>
      <c r="AF51" s="37" cm="1">
        <f t="array" ref="AF51:AG51">LINEST(G32:G51,D32:D51)</f>
        <v>-2.528120300751874</v>
      </c>
      <c r="AG51" s="37">
        <v>2.3285188596491175</v>
      </c>
      <c r="AH51" s="37" cm="1">
        <f t="array" ref="AH51:AI51">LINEST(G27:G51,D27:D51)</f>
        <v>-10.251692307692307</v>
      </c>
      <c r="AI51" s="37">
        <v>8.8698790384615371</v>
      </c>
      <c r="AJ51" s="37" cm="1">
        <f t="array" ref="AJ51:AK51">LINEST(G22:G51,D22:D51)</f>
        <v>-13.267541713014465</v>
      </c>
      <c r="AK51" s="37">
        <v>11.417670912124587</v>
      </c>
      <c r="AM51" s="21"/>
    </row>
    <row r="52" spans="1:41" x14ac:dyDescent="0.25">
      <c r="A52" s="61">
        <v>502</v>
      </c>
      <c r="B52" s="14">
        <f t="shared" si="0"/>
        <v>46</v>
      </c>
      <c r="C52" s="15">
        <v>43980</v>
      </c>
      <c r="D52" s="16">
        <v>0.85790509259259251</v>
      </c>
      <c r="E52" s="36">
        <v>20.329999999999998</v>
      </c>
      <c r="F52" s="36">
        <v>-0.28000000000000003</v>
      </c>
      <c r="G52" s="36">
        <v>0.26</v>
      </c>
      <c r="H52" s="56" cm="1">
        <f t="array" ref="H52:I52">LINEST(E43:E52,D43:D52)</f>
        <v>-102.93818181818227</v>
      </c>
      <c r="I52" s="56">
        <v>108.32082676767716</v>
      </c>
      <c r="J52" s="56" cm="1">
        <f t="array" ref="J52:K52">LINEST(E38:E52,D38:D52)</f>
        <v>-83.339999999999975</v>
      </c>
      <c r="K52" s="56">
        <v>91.613560416666644</v>
      </c>
      <c r="L52" s="56" cm="1">
        <f t="array" ref="L52:M52">LINEST(E33:E52,D33:D52)</f>
        <v>-68.551578947368469</v>
      </c>
      <c r="M52" s="56">
        <v>79.030748684210579</v>
      </c>
      <c r="N52" s="56" cm="1">
        <f t="array" ref="N52:O52">LINEST(E28:E52,D28:D52)</f>
        <v>-65.691692307692449</v>
      </c>
      <c r="O52" s="56">
        <v>76.601575833333456</v>
      </c>
      <c r="P52" s="56" cm="1">
        <f t="array" ref="P52:Q52">LINEST(E23:E52,D23:D52)</f>
        <v>-58.618731924360482</v>
      </c>
      <c r="Q52" s="56">
        <v>70.620125843529905</v>
      </c>
      <c r="R52" s="56" cm="1">
        <f t="array" ref="R52:S52">LINEST(F43:F52,D43:D52)</f>
        <v>-45.163636363636627</v>
      </c>
      <c r="S52" s="56">
        <v>38.988840909091131</v>
      </c>
      <c r="T52" s="56" cm="1">
        <f t="array" ref="T52:U52">LINEST(F38:F52,D38:D52)</f>
        <v>74.982857142857441</v>
      </c>
      <c r="U52" s="56">
        <v>-63.497841666666915</v>
      </c>
      <c r="V52" s="56" cm="1">
        <f t="array" ref="V52:W52">LINEST(F33:F52,D33:D52)</f>
        <v>35.225864661654271</v>
      </c>
      <c r="W52" s="56">
        <v>-29.650162969924931</v>
      </c>
      <c r="X52" s="56" cm="1">
        <f t="array" ref="X52:Y52">LINEST(F28:F52,D28:D52)</f>
        <v>15.790153846153936</v>
      </c>
      <c r="Y52" s="56">
        <v>-13.170884166666744</v>
      </c>
      <c r="Z52" s="56" cm="1">
        <f t="array" ref="Z52:AA52">LINEST(F23:F52,D23:D52)</f>
        <v>5.0536151279199215</v>
      </c>
      <c r="AA52" s="56">
        <v>-4.0887479606970789</v>
      </c>
      <c r="AB52" s="37" cm="1">
        <f t="array" ref="AB52:AC52">LINEST(G43:G52,D43:D52)</f>
        <v>23.432727272727426</v>
      </c>
      <c r="AC52" s="37">
        <v>-19.755601515151646</v>
      </c>
      <c r="AD52" s="37" cm="1">
        <f t="array" ref="AD52:AE52">LINEST(G38:G52,D38:D52)</f>
        <v>14.091428571428574</v>
      </c>
      <c r="AE52" s="37">
        <v>-11.794108333333336</v>
      </c>
      <c r="AF52" s="37" cm="1">
        <f t="array" ref="AF52:AG52">LINEST(G33:G52,D33:D52)</f>
        <v>0.4384962406015025</v>
      </c>
      <c r="AG52" s="37">
        <v>-0.18090244360902147</v>
      </c>
      <c r="AH52" s="37" cm="1">
        <f t="array" ref="AH52:AI52">LINEST(G28:G52,D28:D52)</f>
        <v>-8.2356923076923163</v>
      </c>
      <c r="AI52" s="37">
        <v>7.1769808333333405</v>
      </c>
      <c r="AJ52" s="37" cm="1">
        <f t="array" ref="AJ52:AK52">LINEST(G23:G52,D23:D52)</f>
        <v>-11.817931034482775</v>
      </c>
      <c r="AK52" s="37">
        <v>10.207996551724152</v>
      </c>
    </row>
    <row r="53" spans="1:41" x14ac:dyDescent="0.25">
      <c r="A53" s="61">
        <v>502</v>
      </c>
      <c r="B53" s="14">
        <f t="shared" si="0"/>
        <v>47</v>
      </c>
      <c r="C53" s="15">
        <v>43980</v>
      </c>
      <c r="D53" s="16">
        <v>0.85929398148148151</v>
      </c>
      <c r="E53" s="36">
        <v>20.329999999999998</v>
      </c>
      <c r="F53" s="36">
        <v>0.14000000000000001</v>
      </c>
      <c r="G53" s="36">
        <v>0.25</v>
      </c>
      <c r="H53" s="56" cm="1">
        <f t="array" ref="H53:I53">LINEST(E44:E53,D44:D53)</f>
        <v>-76.407272727272755</v>
      </c>
      <c r="I53" s="56">
        <v>85.717764141414179</v>
      </c>
      <c r="J53" s="56" cm="1">
        <f t="array" ref="J53:K53">LINEST(E39:E53,D39:D53)</f>
        <v>-82.054285714285641</v>
      </c>
      <c r="K53" s="56">
        <v>90.558337202380898</v>
      </c>
      <c r="L53" s="56" cm="1">
        <f t="array" ref="L53:M53">LINEST(E34:E53,D34:D53)</f>
        <v>-67.680000000000007</v>
      </c>
      <c r="M53" s="56">
        <v>78.309016666666679</v>
      </c>
      <c r="N53" s="56" cm="1">
        <f t="array" ref="N53:O53">LINEST(E29:E53,D29:D53)</f>
        <v>-64.617230769230872</v>
      </c>
      <c r="O53" s="56">
        <v>75.703843653846235</v>
      </c>
      <c r="P53" s="56" cm="1">
        <f t="array" ref="P53:Q53">LINEST(E24:E53,D24:D53)</f>
        <v>-60.090767519466134</v>
      </c>
      <c r="Q53" s="56">
        <v>71.870473581757565</v>
      </c>
      <c r="R53" s="56" cm="1">
        <f t="array" ref="R53:S53">LINEST(F44:F53,D44:D53)</f>
        <v>-42.283636363636461</v>
      </c>
      <c r="S53" s="56">
        <v>36.518801515151601</v>
      </c>
      <c r="T53" s="56" cm="1">
        <f t="array" ref="T53:U53">LINEST(F39:F53,D39:D53)</f>
        <v>42.737142857143049</v>
      </c>
      <c r="U53" s="56">
        <v>-36.097602976190636</v>
      </c>
      <c r="V53" s="56" cm="1">
        <f t="array" ref="V53:W53">LINEST(F34:F53,D34:D53)</f>
        <v>33.358195488721897</v>
      </c>
      <c r="W53" s="56">
        <v>-28.107353759398578</v>
      </c>
      <c r="X53" s="56" cm="1">
        <f t="array" ref="X53:Y53">LINEST(F29:F53,D29:D53)</f>
        <v>22.796307692307764</v>
      </c>
      <c r="Y53" s="56">
        <v>-19.133191538461595</v>
      </c>
      <c r="Z53" s="56" cm="1">
        <f t="array" ref="Z53:AA53">LINEST(F24:F53,D24:D53)</f>
        <v>1.6290100111234826</v>
      </c>
      <c r="AA53" s="56">
        <v>-1.1993253800519199</v>
      </c>
      <c r="AB53" s="37" cm="1">
        <f t="array" ref="AB53:AC53">LINEST(G44:G53,D44:D53)</f>
        <v>18.109090909090909</v>
      </c>
      <c r="AC53" s="37">
        <v>-15.226851010101013</v>
      </c>
      <c r="AD53" s="37" cm="1">
        <f t="array" ref="AD53:AE53">LINEST(G39:G53,D39:D53)</f>
        <v>16.405714285714279</v>
      </c>
      <c r="AE53" s="37">
        <v>-13.77583154761904</v>
      </c>
      <c r="AF53" s="37" cm="1">
        <f t="array" ref="AF53:AG53">LINEST(G34:G53,D34:D53)</f>
        <v>2.9990977443609013</v>
      </c>
      <c r="AG53" s="37">
        <v>-2.3535352130325808</v>
      </c>
      <c r="AH53" s="37" cm="1">
        <f t="array" ref="AH53:AI53">LINEST(G29:G53,D29:D53)</f>
        <v>-5.8430769230769224</v>
      </c>
      <c r="AI53" s="37">
        <v>5.1591362179487161</v>
      </c>
      <c r="AJ53" s="37" cm="1">
        <f t="array" ref="AJ53:AK53">LINEST(G24:G53,D24:D53)</f>
        <v>-10.779977753058954</v>
      </c>
      <c r="AK53" s="37">
        <v>9.3427398961809427</v>
      </c>
    </row>
    <row r="54" spans="1:41" x14ac:dyDescent="0.25">
      <c r="A54" s="61">
        <v>502</v>
      </c>
      <c r="B54" s="14">
        <f t="shared" si="0"/>
        <v>48</v>
      </c>
      <c r="C54" s="15">
        <v>43980</v>
      </c>
      <c r="D54" s="16">
        <v>0.86068287037037028</v>
      </c>
      <c r="E54" s="36">
        <v>20.3</v>
      </c>
      <c r="F54" s="36">
        <v>-0.89</v>
      </c>
      <c r="G54" s="36">
        <v>0.16</v>
      </c>
      <c r="H54" s="56" cm="1">
        <f t="array" ref="H54:I54">LINEST(E45:E54,D45:D54)</f>
        <v>-41.585454545454482</v>
      </c>
      <c r="I54" s="56">
        <v>55.954979292929231</v>
      </c>
      <c r="J54" s="56" cm="1">
        <f t="array" ref="J54:K54">LINEST(E40:E54,D40:D54)</f>
        <v>-79.097142857142941</v>
      </c>
      <c r="K54" s="56">
        <v>88.077889285714377</v>
      </c>
      <c r="L54" s="56" cm="1">
        <f t="array" ref="L54:M54">LINEST(E35:E54,D35:D54)</f>
        <v>-65.054436090225636</v>
      </c>
      <c r="M54" s="56">
        <v>76.095381641604078</v>
      </c>
      <c r="N54" s="56" cm="1">
        <f t="array" ref="N54:O54">LINEST(E30:E54,D30:D54)</f>
        <v>-62.584615384615475</v>
      </c>
      <c r="O54" s="56">
        <v>73.993229487179576</v>
      </c>
      <c r="P54" s="56" cm="1">
        <f t="array" ref="P54:Q54">LINEST(E25:E54,D25:D54)</f>
        <v>-60.866028921023464</v>
      </c>
      <c r="Q54" s="56">
        <v>72.536907619577406</v>
      </c>
      <c r="R54" s="56" cm="1">
        <f t="array" ref="R54:S54">LINEST(F45:F54,D45:D54)</f>
        <v>-129.86181818181922</v>
      </c>
      <c r="S54" s="56">
        <v>111.34620606060695</v>
      </c>
      <c r="T54" s="56" cm="1">
        <f t="array" ref="T54:U54">LINEST(F40:F54,D40:D54)</f>
        <v>-9.1799999999996995</v>
      </c>
      <c r="U54" s="56">
        <v>8.0531520833330781</v>
      </c>
      <c r="V54" s="56" cm="1">
        <f t="array" ref="V54:W54">LINEST(F35:F54,D35:D54)</f>
        <v>29.400902255639302</v>
      </c>
      <c r="W54" s="56">
        <v>-24.878424373433763</v>
      </c>
      <c r="X54" s="56" cm="1">
        <f t="array" ref="X54:Y54">LINEST(F30:F54,D30:D54)</f>
        <v>15.186461538461641</v>
      </c>
      <c r="Y54" s="56">
        <v>-12.774019615384708</v>
      </c>
      <c r="Z54" s="56" cm="1">
        <f t="array" ref="Z54:AA54">LINEST(F25:F54,D25:D54)</f>
        <v>2.0903225806452155</v>
      </c>
      <c r="AA54" s="56">
        <v>-1.6606747311828414</v>
      </c>
      <c r="AB54" s="37" cm="1">
        <f t="array" ref="AB54:AC54">LINEST(G45:G54,D45:D54)</f>
        <v>6.5454545454545814</v>
      </c>
      <c r="AC54" s="37">
        <v>-5.3586515151515455</v>
      </c>
      <c r="AD54" s="37" cm="1">
        <f t="array" ref="AD54:AE54">LINEST(G40:G54,D40:D54)</f>
        <v>14.477142857142898</v>
      </c>
      <c r="AE54" s="37">
        <v>-12.151478869047656</v>
      </c>
      <c r="AF54" s="37" cm="1">
        <f t="array" ref="AF54:AG54">LINEST(G35:G54,D35:D54)</f>
        <v>5.0941353383458727</v>
      </c>
      <c r="AG54" s="37">
        <v>-4.1447207393483785</v>
      </c>
      <c r="AH54" s="37" cm="1">
        <f t="array" ref="AH54:AI54">LINEST(G30:G54,D30:D54)</f>
        <v>-4.225846153846156</v>
      </c>
      <c r="AI54" s="37">
        <v>3.7874826282051313</v>
      </c>
      <c r="AJ54" s="37" cm="1">
        <f t="array" ref="AJ54:AK54">LINEST(G25:G54,D25:D54)</f>
        <v>-9.7596440489432794</v>
      </c>
      <c r="AK54" s="37">
        <v>8.484410066740832</v>
      </c>
    </row>
    <row r="55" spans="1:41" x14ac:dyDescent="0.25">
      <c r="A55" s="61">
        <v>502</v>
      </c>
      <c r="B55" s="14">
        <f t="shared" si="0"/>
        <v>49</v>
      </c>
      <c r="C55" s="15">
        <v>43980</v>
      </c>
      <c r="D55" s="16">
        <v>0.86207175925925927</v>
      </c>
      <c r="E55" s="36">
        <v>20.32</v>
      </c>
      <c r="F55" s="36">
        <v>0.67</v>
      </c>
      <c r="G55" s="36">
        <v>0.2</v>
      </c>
      <c r="H55" s="56" cm="1">
        <f t="array" ref="H55:I55">LINEST(E46:E55,D46:D55)</f>
        <v>5.5854545454545077</v>
      </c>
      <c r="I55" s="56">
        <v>15.525846464646499</v>
      </c>
      <c r="J55" s="56" cm="1">
        <f t="array" ref="J55:K55">LINEST(E41:E55,D41:D55)</f>
        <v>-72.771428571428629</v>
      </c>
      <c r="K55" s="56">
        <v>82.719360119047678</v>
      </c>
      <c r="L55" s="56" cm="1">
        <f t="array" ref="L55:M55">LINEST(E36:E55,D36:D55)</f>
        <v>-63.733533834586481</v>
      </c>
      <c r="M55" s="56">
        <v>74.99745106516292</v>
      </c>
      <c r="N55" s="56" cm="1">
        <f t="array" ref="N55:O55">LINEST(E31:E55,D31:D55)</f>
        <v>-59.244923076923136</v>
      </c>
      <c r="O55" s="56">
        <v>71.172759679487228</v>
      </c>
      <c r="P55" s="56" cm="1">
        <f t="array" ref="P55:Q55">LINEST(E26:E55,D26:D55)</f>
        <v>-60.739488320356024</v>
      </c>
      <c r="Q55" s="56">
        <v>72.445905079718273</v>
      </c>
      <c r="R55" s="56" cm="1">
        <f t="array" ref="R55:S55">LINEST(F46:F55,D46:D55)</f>
        <v>-93.250909090908991</v>
      </c>
      <c r="S55" s="56">
        <v>80.169157070706973</v>
      </c>
      <c r="T55" s="56" cm="1">
        <f t="array" ref="T55:U55">LINEST(F41:F55,D41:D55)</f>
        <v>-5.811428571428225</v>
      </c>
      <c r="U55" s="56">
        <v>5.2373684523806574</v>
      </c>
      <c r="V55" s="56" cm="1">
        <f t="array" ref="V55:W55">LINEST(F36:F55,D36:D55)</f>
        <v>18.40601503759417</v>
      </c>
      <c r="W55" s="56">
        <v>-15.477448621554041</v>
      </c>
      <c r="X55" s="56" cm="1">
        <f t="array" ref="X55:Y55">LINEST(F31:F55,D31:D55)</f>
        <v>18.387692307692415</v>
      </c>
      <c r="Y55" s="56">
        <v>-15.471048717948808</v>
      </c>
      <c r="Z55" s="56" cm="1">
        <f t="array" ref="Z55:AA55">LINEST(F26:F55,D26:D55)</f>
        <v>8.2988209121246328</v>
      </c>
      <c r="AA55" s="56">
        <v>-6.8953834445680808</v>
      </c>
      <c r="AB55" s="37" cm="1">
        <f t="array" ref="AB55:AC55">LINEST(G46:G55,D46:D55)</f>
        <v>-1.2218181818181664</v>
      </c>
      <c r="AC55" s="37">
        <v>1.2896585858585725</v>
      </c>
      <c r="AD55" s="37" cm="1">
        <f t="array" ref="AD55:AE55">LINEST(G41:G55,D41:D55)</f>
        <v>12.831428571428598</v>
      </c>
      <c r="AE55" s="37">
        <v>-10.759528869047644</v>
      </c>
      <c r="AF55" s="37" cm="1">
        <f t="array" ref="AF55:AG55">LINEST(G36:G55,D36:D55)</f>
        <v>6.1443609022556389</v>
      </c>
      <c r="AG55" s="37">
        <v>-5.0453085839598995</v>
      </c>
      <c r="AH55" s="37" cm="1">
        <f t="array" ref="AH55:AI55">LINEST(G31:G55,D31:D55)</f>
        <v>-2.4978461538461572</v>
      </c>
      <c r="AI55" s="37">
        <v>2.3212918589743619</v>
      </c>
      <c r="AJ55" s="37" cm="1">
        <f t="array" ref="AJ55:AK55">LINEST(G26:G55,D26:D55)</f>
        <v>-8.3532814238042352</v>
      </c>
      <c r="AK55" s="37">
        <v>7.2992355394883282</v>
      </c>
    </row>
    <row r="56" spans="1:41" x14ac:dyDescent="0.25">
      <c r="A56" s="61">
        <v>502</v>
      </c>
      <c r="B56" s="14">
        <f t="shared" si="0"/>
        <v>50</v>
      </c>
      <c r="C56" s="15">
        <v>43980</v>
      </c>
      <c r="D56" s="16">
        <v>0.86346064814814805</v>
      </c>
      <c r="E56" s="36">
        <v>20.329999999999998</v>
      </c>
      <c r="F56" s="36">
        <v>0.24</v>
      </c>
      <c r="G56" s="36">
        <v>0.2</v>
      </c>
      <c r="H56" s="56" cm="1">
        <f t="array" ref="H56:I56">LINEST(E47:E56,D47:D56)</f>
        <v>1.9199999999999289</v>
      </c>
      <c r="I56" s="56">
        <v>18.672155555555619</v>
      </c>
      <c r="J56" s="56" cm="1">
        <f t="array" ref="J56:K56">LINEST(E42:E56,D42:D56)</f>
        <v>-63.308571428571661</v>
      </c>
      <c r="K56" s="56">
        <v>74.665626785714494</v>
      </c>
      <c r="L56" s="56" cm="1">
        <f t="array" ref="L56:M56">LINEST(E37:E56,D37:D56)</f>
        <v>-62.905263157894844</v>
      </c>
      <c r="M56" s="56">
        <v>74.324219298245708</v>
      </c>
      <c r="N56" s="56" cm="1">
        <f t="array" ref="N56:O56">LINEST(E32:E56,D32:D56)</f>
        <v>-58.995692307692394</v>
      </c>
      <c r="O56" s="56">
        <v>70.984397179487246</v>
      </c>
      <c r="P56" s="56" cm="1">
        <f t="array" ref="P56:Q56">LINEST(E27:E56,D27:D56)</f>
        <v>-59.853704115684245</v>
      </c>
      <c r="Q56" s="56">
        <v>71.714264386355339</v>
      </c>
      <c r="R56" s="56" cm="1">
        <f t="array" ref="R56:S56">LINEST(F47:F56,D47:D56)</f>
        <v>-71.345454545454913</v>
      </c>
      <c r="S56" s="56">
        <v>61.453083333333645</v>
      </c>
      <c r="T56" s="56" cm="1">
        <f t="array" ref="T56:U56">LINEST(F42:F56,D42:D56)</f>
        <v>-13.062857142856892</v>
      </c>
      <c r="U56" s="56">
        <v>11.454263095237881</v>
      </c>
      <c r="V56" s="56" cm="1">
        <f t="array" ref="V56:W56">LINEST(F37:F56,D37:D56)</f>
        <v>0.63879699248137423</v>
      </c>
      <c r="W56" s="56">
        <v>-0.30914749373448142</v>
      </c>
      <c r="X56" s="56" cm="1">
        <f t="array" ref="X56:Y56">LINEST(F32:F56,D32:D56)</f>
        <v>18.310153846153973</v>
      </c>
      <c r="Y56" s="56">
        <v>-15.417728076923183</v>
      </c>
      <c r="Z56" s="56" cm="1">
        <f t="array" ref="Z56:AA56">LINEST(F27:F56,D27:D56)</f>
        <v>10.419577308120205</v>
      </c>
      <c r="AA56" s="56">
        <v>-8.7000562662217877</v>
      </c>
      <c r="AB56" s="37" cm="1">
        <f t="array" ref="AB56:AC56">LINEST(G47:G56,D47:D56)</f>
        <v>-6.9818181818182401</v>
      </c>
      <c r="AC56" s="37">
        <v>6.2328888888889384</v>
      </c>
      <c r="AD56" s="37" cm="1">
        <f t="array" ref="AD56:AE56">LINEST(G42:G56,D42:D56)</f>
        <v>10.825714285714341</v>
      </c>
      <c r="AE56" s="37">
        <v>-9.0556616071429037</v>
      </c>
      <c r="AF56" s="37" cm="1">
        <f t="array" ref="AF56:AG56">LINEST(G37:G56,D37:D56)</f>
        <v>5.6463157894736948</v>
      </c>
      <c r="AG56" s="37">
        <v>-4.625371491228079</v>
      </c>
      <c r="AH56" s="37" cm="1">
        <f t="array" ref="AH56:AI56">LINEST(G32:G56,D32:D56)</f>
        <v>-0.90276923076923021</v>
      </c>
      <c r="AI56" s="37">
        <v>0.96445955128205074</v>
      </c>
      <c r="AJ56" s="37" cm="1">
        <f t="array" ref="AJ56:AK56">LINEST(G27:G56,D27:D56)</f>
        <v>-6.9052725250278213</v>
      </c>
      <c r="AK56" s="37">
        <v>6.0756999073044229</v>
      </c>
    </row>
    <row r="57" spans="1:41" x14ac:dyDescent="0.25">
      <c r="A57" s="61">
        <v>502</v>
      </c>
      <c r="B57" s="14">
        <f t="shared" si="0"/>
        <v>51</v>
      </c>
      <c r="C57" s="15">
        <v>43980</v>
      </c>
      <c r="D57" s="16">
        <v>0.86484953703703704</v>
      </c>
      <c r="E57" s="36">
        <v>20.329999999999998</v>
      </c>
      <c r="F57" s="36">
        <v>-0.03</v>
      </c>
      <c r="G57" s="36">
        <v>0.18</v>
      </c>
      <c r="H57" s="56" cm="1">
        <f t="array" ref="H57:I57">LINEST(E48:E57,D48:D57)</f>
        <v>1.5272727272726492</v>
      </c>
      <c r="I57" s="56">
        <v>19.009684343434408</v>
      </c>
      <c r="J57" s="56" cm="1">
        <f t="array" ref="J57:K57">LINEST(E43:E57,D43:D57)</f>
        <v>-51.531428571428698</v>
      </c>
      <c r="K57" s="56">
        <v>64.608598809523926</v>
      </c>
      <c r="L57" s="56" cm="1">
        <f t="array" ref="L57:M57">LINEST(E38:E57,D38:D57)</f>
        <v>-59.581353383458726</v>
      </c>
      <c r="M57" s="56">
        <v>71.517763032581513</v>
      </c>
      <c r="N57" s="56" cm="1">
        <f t="array" ref="N57:O57">LINEST(E33:E57,D33:D57)</f>
        <v>-57.27323076923085</v>
      </c>
      <c r="O57" s="56">
        <v>69.542173269230844</v>
      </c>
      <c r="P57" s="56" cm="1">
        <f t="array" ref="P57:Q57">LINEST(E28:E57,D28:D57)</f>
        <v>-58.354438264738732</v>
      </c>
      <c r="Q57" s="56">
        <v>70.462282035595223</v>
      </c>
      <c r="R57" s="56" cm="1">
        <f t="array" ref="R57:S57">LINEST(F48:F57,D48:D57)</f>
        <v>-54.109090909090966</v>
      </c>
      <c r="S57" s="56">
        <v>46.658040404040463</v>
      </c>
      <c r="T57" s="56" cm="1">
        <f t="array" ref="T57:U57">LINEST(F43:F57,D43:D57)</f>
        <v>-43.354285714285716</v>
      </c>
      <c r="U57" s="56">
        <v>37.432100595238104</v>
      </c>
      <c r="V57" s="56" cm="1">
        <f t="array" ref="V57:W57">LINEST(F38:F57,D38:D57)</f>
        <v>29.368421052631799</v>
      </c>
      <c r="W57" s="56">
        <v>-24.929265350877383</v>
      </c>
      <c r="X57" s="56" cm="1">
        <f t="array" ref="X57:Y57">LINEST(F33:F57,D33:D57)</f>
        <v>16.255384615384713</v>
      </c>
      <c r="Y57" s="56">
        <v>-13.697938782051367</v>
      </c>
      <c r="Z57" s="56" cm="1">
        <f t="array" ref="Z57:AA57">LINEST(F28:F57,D28:D57)</f>
        <v>7.6565072302559045</v>
      </c>
      <c r="AA57" s="56">
        <v>-6.3695331850204484</v>
      </c>
      <c r="AB57" s="37" cm="1">
        <f t="array" ref="AB57:AC57">LINEST(G48:G57,D48:D57)</f>
        <v>-10.996363636363636</v>
      </c>
      <c r="AC57" s="37">
        <v>9.6854727272727281</v>
      </c>
      <c r="AD57" s="37" cm="1">
        <f t="array" ref="AD57:AE57">LINEST(G43:G57,D43:D57)</f>
        <v>6.4542857142857262</v>
      </c>
      <c r="AE57" s="37">
        <v>-5.3192360119047732</v>
      </c>
      <c r="AF57" s="37" cm="1">
        <f t="array" ref="AF57:AG57">LINEST(G38:G57,D38:D57)</f>
        <v>7.4490225563909886</v>
      </c>
      <c r="AG57" s="37">
        <v>-6.1759979949874788</v>
      </c>
      <c r="AH57" s="37" cm="1">
        <f t="array" ref="AH57:AI57">LINEST(G33:G57,D33:D57)</f>
        <v>0.40430769230769187</v>
      </c>
      <c r="AI57" s="37">
        <v>-0.15172685897435861</v>
      </c>
      <c r="AJ57" s="37" cm="1">
        <f t="array" ref="AJ57:AK57">LINEST(G28:G57,D28:D57)</f>
        <v>-5.812858731924365</v>
      </c>
      <c r="AK57" s="37">
        <v>5.1505170003707867</v>
      </c>
    </row>
    <row r="58" spans="1:41" x14ac:dyDescent="0.25">
      <c r="A58" s="61">
        <v>502</v>
      </c>
      <c r="B58" s="14">
        <f t="shared" si="0"/>
        <v>52</v>
      </c>
      <c r="C58" s="15">
        <v>43980</v>
      </c>
      <c r="D58" s="16">
        <v>0.86623842592592604</v>
      </c>
      <c r="E58" s="36">
        <v>20.3</v>
      </c>
      <c r="F58" s="36">
        <v>-0.81</v>
      </c>
      <c r="G58" s="36">
        <v>0.11</v>
      </c>
      <c r="H58" s="56" cm="1">
        <f t="array" ref="H58:I58">LINEST(E49:E58,D49:D58)</f>
        <v>-0.78545454545460669</v>
      </c>
      <c r="I58" s="56">
        <v>20.997481818181868</v>
      </c>
      <c r="J58" s="56" cm="1">
        <f t="array" ref="J58:K58">LINEST(E44:E58,D44:D58)</f>
        <v>-36.822857142857039</v>
      </c>
      <c r="K58" s="56">
        <v>52.004040476190397</v>
      </c>
      <c r="L58" s="56" cm="1">
        <f t="array" ref="L58:M58">LINEST(E39:E58,D39:D58)</f>
        <v>-56.111278195488673</v>
      </c>
      <c r="M58" s="56">
        <v>68.579888157894686</v>
      </c>
      <c r="N58" s="56" cm="1">
        <f t="array" ref="N58:O58">LINEST(E34:E58,D34:D58)</f>
        <v>-54.803076923076922</v>
      </c>
      <c r="O58" s="56">
        <v>67.458346474358976</v>
      </c>
      <c r="P58" s="56" cm="1">
        <f t="array" ref="P58:Q58">LINEST(E29:E58,D29:D58)</f>
        <v>-56.185628476084574</v>
      </c>
      <c r="Q58" s="56">
        <v>68.637634241750121</v>
      </c>
      <c r="R58" s="56" cm="1">
        <f t="array" ref="R58:S58">LINEST(F49:F58,D49:D58)</f>
        <v>-59.214545454545593</v>
      </c>
      <c r="S58" s="56">
        <v>50.950823737373867</v>
      </c>
      <c r="T58" s="56" cm="1">
        <f t="array" ref="T58:U58">LINEST(F44:F58,D44:D58)</f>
        <v>-53.254285714285707</v>
      </c>
      <c r="U58" s="56">
        <v>45.857825297619051</v>
      </c>
      <c r="V58" s="56" cm="1">
        <f t="array" ref="V58:W58">LINEST(F39:F58,D39:D58)</f>
        <v>2.1978947368421684</v>
      </c>
      <c r="W58" s="56">
        <v>-1.7579008771930362</v>
      </c>
      <c r="X58" s="56" cm="1">
        <f t="array" ref="X58:Y58">LINEST(F34:F58,D34:D58)</f>
        <v>8.9833846153846402</v>
      </c>
      <c r="Y58" s="56">
        <v>-7.5712298717948938</v>
      </c>
      <c r="Z58" s="56" cm="1">
        <f t="array" ref="Z58:AA58">LINEST(F29:F58,D29:D58)</f>
        <v>8.2155283648498543</v>
      </c>
      <c r="AA58" s="56">
        <v>-6.9154880793474405</v>
      </c>
      <c r="AB58" s="37" cm="1">
        <f t="array" ref="AB58:AC58">LINEST(G49:G58,D49:D58)</f>
        <v>-14.530909090909077</v>
      </c>
      <c r="AC58" s="37">
        <v>12.723413636363627</v>
      </c>
      <c r="AD58" s="37" cm="1">
        <f t="array" ref="AD58:AE58">LINEST(G44:G58,D44:D58)</f>
        <v>1.7485714285713994</v>
      </c>
      <c r="AE58" s="37">
        <v>-1.2936797619047371</v>
      </c>
      <c r="AF58" s="37" cm="1">
        <f t="array" ref="AF58:AG58">LINEST(G39:G58,D39:D58)</f>
        <v>7.1025563909774299</v>
      </c>
      <c r="AG58" s="37">
        <v>-5.8947929824561287</v>
      </c>
      <c r="AH58" s="37" cm="1">
        <f t="array" ref="AH58:AI58">LINEST(G34:G58,D34:D58)</f>
        <v>1.0799999999999956</v>
      </c>
      <c r="AI58" s="37">
        <v>-0.73633749999999643</v>
      </c>
      <c r="AJ58" s="37" cm="1">
        <f t="array" ref="AJ58:AK58">LINEST(G29:G58,D29:D58)</f>
        <v>-4.7316573971078988</v>
      </c>
      <c r="AK58" s="37">
        <v>4.2281197997775317</v>
      </c>
    </row>
    <row r="59" spans="1:41" x14ac:dyDescent="0.25">
      <c r="A59" s="61">
        <v>502</v>
      </c>
      <c r="B59" s="14">
        <f t="shared" si="0"/>
        <v>53</v>
      </c>
      <c r="C59" s="15">
        <v>43980</v>
      </c>
      <c r="D59" s="16">
        <v>0.86762731481481481</v>
      </c>
      <c r="E59" s="36">
        <v>20.260000000000002</v>
      </c>
      <c r="F59" s="36">
        <v>-1.1599999999999999</v>
      </c>
      <c r="G59" s="36">
        <v>0.01</v>
      </c>
      <c r="H59" s="56" cm="1">
        <f t="array" ref="H59:I59">LINEST(E50:E59,D50:D59)</f>
        <v>-4.2763636363635138</v>
      </c>
      <c r="I59" s="56">
        <v>24.001562626262523</v>
      </c>
      <c r="J59" s="56" cm="1">
        <f t="array" ref="J59:K59">LINEST(E45:E59,D45:D59)</f>
        <v>-20.031428571428389</v>
      </c>
      <c r="K59" s="56">
        <v>37.569731249999833</v>
      </c>
      <c r="L59" s="56" cm="1">
        <f t="array" ref="L59:M59">LINEST(E40:E59,D40:D59)</f>
        <v>-52.197293233082597</v>
      </c>
      <c r="M59" s="56">
        <v>65.253083082706681</v>
      </c>
      <c r="N59" s="56" cm="1">
        <f t="array" ref="N59:O59">LINEST(E35:E59,D35:D59)</f>
        <v>-51.485538461538439</v>
      </c>
      <c r="O59" s="56">
        <v>64.643767179487156</v>
      </c>
      <c r="P59" s="56" cm="1">
        <f t="array" ref="P59:Q59">LINEST(E30:E59,D30:D59)</f>
        <v>-53.523470522803137</v>
      </c>
      <c r="Q59" s="56">
        <v>66.387521783463129</v>
      </c>
      <c r="R59" s="56" cm="1">
        <f t="array" ref="R59:S59">LINEST(F50:F59,D50:D59)</f>
        <v>-100.40727272727223</v>
      </c>
      <c r="S59" s="56">
        <v>86.385546969696549</v>
      </c>
      <c r="T59" s="56" cm="1">
        <f t="array" ref="T59:U59">LINEST(F45:F59,D45:D59)</f>
        <v>-89.331428571428717</v>
      </c>
      <c r="U59" s="56">
        <v>76.82388750000014</v>
      </c>
      <c r="V59" s="56" cm="1">
        <f t="array" ref="V59:W59">LINEST(F40:F59,D40:D59)</f>
        <v>-27.614436090225514</v>
      </c>
      <c r="W59" s="56">
        <v>23.721181892230536</v>
      </c>
      <c r="X59" s="56" cm="1">
        <f t="array" ref="X59:Y59">LINEST(F35:F59,D35:D59)</f>
        <v>5.328000000000026</v>
      </c>
      <c r="Y59" s="56">
        <v>-4.5467183333333558</v>
      </c>
      <c r="Z59" s="56" cm="1">
        <f t="array" ref="Z59:AA59">LINEST(F30:F59,D30:D59)</f>
        <v>2.0374638487208157</v>
      </c>
      <c r="AA59" s="56">
        <v>-1.7267270300333832</v>
      </c>
      <c r="AB59" s="37" cm="1">
        <f t="array" ref="AB59:AC59">LINEST(G50:G59,D50:D59)</f>
        <v>-20.98909090909077</v>
      </c>
      <c r="AC59" s="37">
        <v>18.280526767676648</v>
      </c>
      <c r="AD59" s="37" cm="1">
        <f t="array" ref="AD59:AE59">LINEST(G45:G59,D45:D59)</f>
        <v>-5.3228571428571838</v>
      </c>
      <c r="AE59" s="37">
        <v>4.7691729166667018</v>
      </c>
      <c r="AF59" s="37" cm="1">
        <f t="array" ref="AF59:AG59">LINEST(G40:G59,D40:D59)</f>
        <v>4.4499248120300576</v>
      </c>
      <c r="AG59" s="37">
        <v>-3.6411620300751735</v>
      </c>
      <c r="AH59" s="37" cm="1">
        <f t="array" ref="AH59:AI59">LINEST(G35:G59,D35:D59)</f>
        <v>1.4455384615384557</v>
      </c>
      <c r="AI59" s="37">
        <v>-1.0640963461538413</v>
      </c>
      <c r="AJ59" s="37" cm="1">
        <f t="array" ref="AJ59:AK59">LINEST(G30:G59,D30:D59)</f>
        <v>-4.2126807563959954</v>
      </c>
      <c r="AK59" s="37">
        <v>3.7775315164998151</v>
      </c>
    </row>
    <row r="60" spans="1:41" x14ac:dyDescent="0.25">
      <c r="A60" s="61">
        <v>502</v>
      </c>
      <c r="B60" s="14">
        <f t="shared" si="0"/>
        <v>54</v>
      </c>
      <c r="C60" s="15">
        <v>43980</v>
      </c>
      <c r="D60" s="16">
        <v>0.8690162037037038</v>
      </c>
      <c r="E60" s="36">
        <v>20.27</v>
      </c>
      <c r="F60" s="36">
        <v>0.31</v>
      </c>
      <c r="G60" s="36">
        <v>0.03</v>
      </c>
      <c r="H60" s="56" cm="1">
        <f t="array" ref="H60:I60">LINEST(E51:E60,D51:D60)</f>
        <v>-5.1054545454544034</v>
      </c>
      <c r="I60" s="56">
        <v>24.715813636363514</v>
      </c>
      <c r="J60" s="56" cm="1">
        <f t="array" ref="J60:K60">LINEST(E46:E60,D46:D60)</f>
        <v>0.64285714285711393</v>
      </c>
      <c r="K60" s="56">
        <v>19.750930059523832</v>
      </c>
      <c r="L60" s="56" cm="1">
        <f t="array" ref="L60:M60">LINEST(E41:E60,D41:D60)</f>
        <v>-46.870375939849509</v>
      </c>
      <c r="M60" s="56">
        <v>60.706687593984867</v>
      </c>
      <c r="N60" s="56" cm="1">
        <f t="array" ref="N60:O60">LINEST(E36:E60,D36:D60)</f>
        <v>-49.253538461538376</v>
      </c>
      <c r="O60" s="56">
        <v>62.757230705128137</v>
      </c>
      <c r="P60" s="56" cm="1">
        <f t="array" ref="P60:Q60">LINEST(E31:E60,D31:D60)</f>
        <v>-50.122892102335882</v>
      </c>
      <c r="Q60" s="56">
        <v>63.503519391916896</v>
      </c>
      <c r="R60" s="56" cm="1">
        <f t="array" ref="R60:S60">LINEST(F51:F60,D51:D60)</f>
        <v>-22.123636363635779</v>
      </c>
      <c r="S60" s="56">
        <v>18.896525757575255</v>
      </c>
      <c r="T60" s="56" cm="1">
        <f t="array" ref="T60:U60">LINEST(F46:F60,D46:D60)</f>
        <v>-71.999999999999687</v>
      </c>
      <c r="U60" s="56">
        <v>62.014499999999728</v>
      </c>
      <c r="V60" s="56" cm="1">
        <f t="array" ref="V60:W60">LINEST(F41:F60,D41:D60)</f>
        <v>-26.824060150375832</v>
      </c>
      <c r="W60" s="56">
        <v>23.097114348370837</v>
      </c>
      <c r="X60" s="56" cm="1">
        <f t="array" ref="X60:Y60">LINEST(F36:F60,D36:D60)</f>
        <v>-3.2344615384614976</v>
      </c>
      <c r="Y60" s="56">
        <v>2.8164917948717605</v>
      </c>
      <c r="Z60" s="56" cm="1">
        <f t="array" ref="Z60:AA60">LINEST(F31:F60,D31:D60)</f>
        <v>3.0305672969966788</v>
      </c>
      <c r="AA60" s="56">
        <v>-2.5592464961067987</v>
      </c>
      <c r="AB60" s="37" cm="1">
        <f t="array" ref="AB60:AC60">LINEST(G51:G60,D51:D60)</f>
        <v>-21.032727272727087</v>
      </c>
      <c r="AC60" s="37">
        <v>18.316326262626102</v>
      </c>
      <c r="AD60" s="37" cm="1">
        <f t="array" ref="AD60:AE60">LINEST(G46:G60,D46:D60)</f>
        <v>-10.542857142857137</v>
      </c>
      <c r="AE60" s="37">
        <v>9.2574136904761861</v>
      </c>
      <c r="AF60" s="37" cm="1">
        <f t="array" ref="AF60:AG60">LINEST(G41:G60,D41:D60)</f>
        <v>1.9542857142856811</v>
      </c>
      <c r="AG60" s="37">
        <v>-1.51302023809521</v>
      </c>
      <c r="AH60" s="37" cm="1">
        <f t="array" ref="AH60:AI60">LINEST(G36:G60,D36:D60)</f>
        <v>1.0744615384615244</v>
      </c>
      <c r="AI60" s="37">
        <v>-0.75821679487178295</v>
      </c>
      <c r="AJ60" s="37" cm="1">
        <f t="array" ref="AJ60:AK60">LINEST(G31:G60,D31:D60)</f>
        <v>-3.6824916573971098</v>
      </c>
      <c r="AK60" s="37">
        <v>3.3183169632925487</v>
      </c>
    </row>
    <row r="61" spans="1:41" x14ac:dyDescent="0.25">
      <c r="A61" s="61">
        <v>502</v>
      </c>
      <c r="B61" s="14">
        <f t="shared" si="0"/>
        <v>55</v>
      </c>
      <c r="C61" s="15">
        <v>43980</v>
      </c>
      <c r="D61" s="16">
        <v>0.87040509259259258</v>
      </c>
      <c r="E61" s="36">
        <v>20.29</v>
      </c>
      <c r="F61" s="36">
        <v>0.56999999999999995</v>
      </c>
      <c r="G61" s="36">
        <v>7.0000000000000007E-2</v>
      </c>
      <c r="H61" s="56" cm="1">
        <f t="array" ref="H61:I61">LINEST(E52:E61,D52:D61)</f>
        <v>-4.5381818181816858</v>
      </c>
      <c r="I61" s="56">
        <v>24.227692929292814</v>
      </c>
      <c r="J61" s="56" cm="1">
        <f t="array" ref="J61:K61">LINEST(E47:E61,D47:D61)</f>
        <v>-1.5171428571428733</v>
      </c>
      <c r="K61" s="56">
        <v>21.614445535714299</v>
      </c>
      <c r="L61" s="56" cm="1">
        <f t="array" ref="L61:M61">LINEST(E42:E61,D42:D61)</f>
        <v>-40.038496240601397</v>
      </c>
      <c r="M61" s="56">
        <v>54.856425313283111</v>
      </c>
      <c r="N61" s="56" cm="1">
        <f t="array" ref="N61:O61">LINEST(E37:E61,D37:D61)</f>
        <v>-47.414769230769146</v>
      </c>
      <c r="O61" s="56">
        <v>61.208210448717878</v>
      </c>
      <c r="P61" s="56" cm="1">
        <f t="array" ref="P61:Q61">LINEST(E32:E61,D32:D61)</f>
        <v>-48.919955506117859</v>
      </c>
      <c r="Q61" s="56">
        <v>62.499318186874262</v>
      </c>
      <c r="R61" s="56" cm="1">
        <f t="array" ref="R61:S61">LINEST(F52:F61,D52:D61)</f>
        <v>12.130909090909041</v>
      </c>
      <c r="S61" s="56">
        <v>-10.606986868686828</v>
      </c>
      <c r="T61" s="56" cm="1">
        <f t="array" ref="T61:U61">LINEST(F47:F61,D47:D61)</f>
        <v>-48.419999999999888</v>
      </c>
      <c r="U61" s="56">
        <v>41.796264583333233</v>
      </c>
      <c r="V61" s="56" cm="1">
        <f t="array" ref="V61:W61">LINEST(F42:F61,D42:D61)</f>
        <v>-24.344661654135241</v>
      </c>
      <c r="W61" s="56">
        <v>21.03900319548864</v>
      </c>
      <c r="X61" s="56" cm="1">
        <f t="array" ref="X61:Y61">LINEST(F37:F61,D37:D61)</f>
        <v>-11.071384615384551</v>
      </c>
      <c r="Y61" s="56">
        <v>9.594466474358919</v>
      </c>
      <c r="Z61" s="56" cm="1">
        <f t="array" ref="Z61:AA61">LINEST(F32:F61,D32:D61)</f>
        <v>5.1032703003337252</v>
      </c>
      <c r="AA61" s="56">
        <v>-4.3038049314052831</v>
      </c>
      <c r="AB61" s="37" cm="1">
        <f t="array" ref="AB61:AC61">LINEST(G52:G61,D52:D61)</f>
        <v>-18.719999999999843</v>
      </c>
      <c r="AC61" s="37">
        <v>16.323983333333199</v>
      </c>
      <c r="AD61" s="37" cm="1">
        <f t="array" ref="AD61:AE61">LINEST(G47:G61,D47:D61)</f>
        <v>-13.628571428571428</v>
      </c>
      <c r="AE61" s="37">
        <v>11.921877976190475</v>
      </c>
      <c r="AF61" s="37" cm="1">
        <f t="array" ref="AF61:AG61">LINEST(G42:G61,D42:D61)</f>
        <v>-9.7443609022582006E-2</v>
      </c>
      <c r="AG61" s="37">
        <v>0.24352969924814227</v>
      </c>
      <c r="AH61" s="37" cm="1">
        <f t="array" ref="AH61:AI61">LINEST(G37:G61,D37:D61)</f>
        <v>7.7538461538450204E-2</v>
      </c>
      <c r="AI61" s="37">
        <v>9.0202435897445588E-2</v>
      </c>
      <c r="AJ61" s="37" cm="1">
        <f t="array" ref="AJ61:AK61">LINEST(G32:G61,D32:D61)</f>
        <v>-3.0209566184649645</v>
      </c>
      <c r="AK61" s="37">
        <v>2.7486173155357836</v>
      </c>
    </row>
    <row r="62" spans="1:41" x14ac:dyDescent="0.25">
      <c r="A62" s="61">
        <v>502</v>
      </c>
      <c r="B62" s="14">
        <f t="shared" si="0"/>
        <v>56</v>
      </c>
      <c r="C62" s="15">
        <v>43980</v>
      </c>
      <c r="D62" s="16">
        <v>0.87179398148148157</v>
      </c>
      <c r="E62" s="36">
        <v>19.920000000000002</v>
      </c>
      <c r="F62" s="36">
        <v>0.56999999999999995</v>
      </c>
      <c r="G62" s="36">
        <v>0.11</v>
      </c>
      <c r="H62" s="56" cm="1">
        <f t="array" ref="H62:I62">LINEST(E53:E62,D53:D62)</f>
        <v>-18.545454545454319</v>
      </c>
      <c r="I62" s="56">
        <v>36.316906565656367</v>
      </c>
      <c r="J62" s="56" cm="1">
        <f t="array" ref="J62:K62">LINEST(E48:E62,D48:D62)</f>
        <v>-8.6914285714285153</v>
      </c>
      <c r="K62" s="56">
        <v>27.775968452380909</v>
      </c>
      <c r="L62" s="56" cm="1">
        <f t="array" ref="L62:M62">LINEST(E43:E62,D43:D62)</f>
        <v>-36.075789473684054</v>
      </c>
      <c r="M62" s="56">
        <v>51.433656140350749</v>
      </c>
      <c r="N62" s="56" cm="1">
        <f t="array" ref="N62:O62">LINEST(E38:E62,D38:D62)</f>
        <v>-46.583999999999911</v>
      </c>
      <c r="O62" s="56">
        <v>60.496850833333262</v>
      </c>
      <c r="P62" s="56" cm="1">
        <f t="array" ref="P62:Q62">LINEST(E33:E62,D33:D62)</f>
        <v>-48.498687430478256</v>
      </c>
      <c r="Q62" s="56">
        <v>62.142154134223162</v>
      </c>
      <c r="R62" s="56" cm="1">
        <f t="array" ref="R62:S62">LINEST(F53:F62,D53:D62)</f>
        <v>31.898181818181662</v>
      </c>
      <c r="S62" s="56">
        <v>-27.648279292929157</v>
      </c>
      <c r="T62" s="56" cm="1">
        <f t="array" ref="T62:U62">LINEST(F48:F62,D48:D62)</f>
        <v>-23.939999999999866</v>
      </c>
      <c r="U62" s="56">
        <v>20.736664583333219</v>
      </c>
      <c r="V62" s="56" cm="1">
        <f t="array" ref="V62:W62">LINEST(F43:F62,D43:D62)</f>
        <v>-32.178045112781831</v>
      </c>
      <c r="W62" s="56">
        <v>27.871054636591374</v>
      </c>
      <c r="X62" s="56" cm="1">
        <f t="array" ref="X62:Y62">LINEST(F38:F62,D38:D62)</f>
        <v>12.345230769230801</v>
      </c>
      <c r="Y62" s="56">
        <v>-10.511544038461567</v>
      </c>
      <c r="Z62" s="56" cm="1">
        <f t="array" ref="Z62:AA62">LINEST(F33:F62,D33:D62)</f>
        <v>6.9645383759733219</v>
      </c>
      <c r="AA62" s="56">
        <v>-5.874051242120891</v>
      </c>
      <c r="AB62" s="37" cm="1">
        <f t="array" ref="AB62:AC62">LINEST(G53:G62,D53:D62)</f>
        <v>-14.749090909090771</v>
      </c>
      <c r="AC62" s="37">
        <v>12.897986868686747</v>
      </c>
      <c r="AD62" s="37" cm="1">
        <f t="array" ref="AD62:AE62">LINEST(G48:G62,D48:D62)</f>
        <v>-14.528571428571361</v>
      </c>
      <c r="AE62" s="37">
        <v>12.709337797618991</v>
      </c>
      <c r="AF62" s="37" cm="1">
        <f t="array" ref="AF62:AG62">LINEST(G43:G62,D43:D62)</f>
        <v>-2.6580451127819842</v>
      </c>
      <c r="AG62" s="37">
        <v>2.448696303258171</v>
      </c>
      <c r="AH62" s="37" cm="1">
        <f t="array" ref="AH62:AI62">LINEST(G38:G62,D38:D62)</f>
        <v>1.0190769230769054</v>
      </c>
      <c r="AI62" s="37">
        <v>-0.72384051282049788</v>
      </c>
      <c r="AJ62" s="37" cm="1">
        <f t="array" ref="AJ62:AK62">LINEST(G33:G62,D33:D62)</f>
        <v>-2.2537041156840965</v>
      </c>
      <c r="AK62" s="37">
        <v>2.0897119206525798</v>
      </c>
    </row>
    <row r="63" spans="1:41" x14ac:dyDescent="0.25">
      <c r="A63" s="61">
        <v>502</v>
      </c>
      <c r="B63" s="14">
        <f t="shared" si="0"/>
        <v>57</v>
      </c>
      <c r="C63" s="15">
        <v>43980</v>
      </c>
      <c r="D63" s="16">
        <v>0.87318287037037035</v>
      </c>
      <c r="E63" s="36">
        <v>19.98</v>
      </c>
      <c r="F63" s="36">
        <v>0.56999999999999995</v>
      </c>
      <c r="G63" s="36">
        <v>0.15</v>
      </c>
      <c r="H63" s="56" cm="1">
        <f t="array" ref="H63:I63">LINEST(E54:E63,D54:D63)</f>
        <v>-26.618181818181505</v>
      </c>
      <c r="I63" s="56">
        <v>43.30617676767649</v>
      </c>
      <c r="J63" s="56" cm="1">
        <f t="array" ref="J63:K63">LINEST(E49:E63,D49:D63)</f>
        <v>-14.014285714285636</v>
      </c>
      <c r="K63" s="56">
        <v>32.363450892857074</v>
      </c>
      <c r="L63" s="56" cm="1">
        <f t="array" ref="L63:M63">LINEST(E44:E63,D44:D63)</f>
        <v>-29.509172932330717</v>
      </c>
      <c r="M63" s="56">
        <v>45.762047180451034</v>
      </c>
      <c r="N63" s="56" cm="1">
        <f t="array" ref="N63:O63">LINEST(E39:E63,D39:D63)</f>
        <v>-45.00553846153835</v>
      </c>
      <c r="O63" s="56">
        <v>59.148372948717849</v>
      </c>
      <c r="P63" s="56" cm="1">
        <f t="array" ref="P63:Q63">LINEST(E34:E63,D34:D63)</f>
        <v>-47.11154616240259</v>
      </c>
      <c r="Q63" s="56">
        <v>60.961554245457847</v>
      </c>
      <c r="R63" s="56" cm="1">
        <f t="array" ref="R63:S63">LINEST(F54:F63,D54:D63)</f>
        <v>64.40727272727203</v>
      </c>
      <c r="S63" s="56">
        <v>-55.832781818181203</v>
      </c>
      <c r="T63" s="56" cm="1">
        <f t="array" ref="T63:U63">LINEST(F49:F63,D49:D63)</f>
        <v>1.4399999999999562</v>
      </c>
      <c r="U63" s="56">
        <v>-1.1680499999999623</v>
      </c>
      <c r="V63" s="56" cm="1">
        <f t="array" ref="V63:W63">LINEST(F44:F63,D44:D63)</f>
        <v>-21.345563909774359</v>
      </c>
      <c r="W63" s="56">
        <v>18.58343790726811</v>
      </c>
      <c r="X63" s="56" cm="1">
        <f t="array" ref="X63:Y63">LINEST(F39:F63,D39:D63)</f>
        <v>4.7076923076923496</v>
      </c>
      <c r="Y63" s="56">
        <v>-3.9042147435897787</v>
      </c>
      <c r="Z63" s="56" cm="1">
        <f t="array" ref="Z63:AA63">LINEST(F34:F63,D34:D63)</f>
        <v>8.6143715239154854</v>
      </c>
      <c r="AA63" s="56">
        <v>-7.2691044493882311</v>
      </c>
      <c r="AB63" s="37" cm="1">
        <f t="array" ref="AB63:AC63">LINEST(G54:G63,D54:D63)</f>
        <v>-8.3781818181818259</v>
      </c>
      <c r="AC63" s="37">
        <v>7.3853212121212168</v>
      </c>
      <c r="AD63" s="37" cm="1">
        <f t="array" ref="AD63:AE63">LINEST(G49:G63,D49:D63)</f>
        <v>-13.191428571428553</v>
      </c>
      <c r="AE63" s="37">
        <v>11.566279464285698</v>
      </c>
      <c r="AF63" s="37" cm="1">
        <f t="array" ref="AF63:AG63">LINEST(G44:G63,D44:D63)</f>
        <v>-4.1521804511278342</v>
      </c>
      <c r="AG63" s="37">
        <v>3.7423271303258279</v>
      </c>
      <c r="AH63" s="37" cm="1">
        <f t="array" ref="AH63:AI63">LINEST(G39:G63,D39:D63)</f>
        <v>1.3403076923076751</v>
      </c>
      <c r="AI63" s="37">
        <v>-1.0019952564102417</v>
      </c>
      <c r="AJ63" s="37" cm="1">
        <f t="array" ref="AJ63:AK63">LINEST(G34:G63,D34:D63)</f>
        <v>-1.4063626251390491</v>
      </c>
      <c r="AK63" s="37">
        <v>1.3630225064886963</v>
      </c>
    </row>
    <row r="64" spans="1:41" x14ac:dyDescent="0.25">
      <c r="A64" s="61">
        <v>502</v>
      </c>
      <c r="B64" s="14">
        <f t="shared" si="0"/>
        <v>58</v>
      </c>
      <c r="C64" s="15">
        <v>43980</v>
      </c>
      <c r="D64" s="16">
        <v>0.87457175925925934</v>
      </c>
      <c r="E64" s="36">
        <v>20.010000000000002</v>
      </c>
      <c r="F64" s="36">
        <v>0.56999999999999995</v>
      </c>
      <c r="G64" s="36">
        <v>0.18</v>
      </c>
      <c r="H64" s="56" cm="1">
        <f t="array" ref="H64:I64">LINEST(E55:E64,D55:D64)</f>
        <v>-31.898181818181481</v>
      </c>
      <c r="I64" s="56">
        <v>47.89888535353505</v>
      </c>
      <c r="J64" s="56" cm="1">
        <f t="array" ref="J64:K64">LINEST(E50:E64,D50:D64)</f>
        <v>-17.794285714285525</v>
      </c>
      <c r="K64" s="56">
        <v>35.632713095237932</v>
      </c>
      <c r="L64" s="56" cm="1">
        <f t="array" ref="L64:M64">LINEST(E45:E64,D45:D64)</f>
        <v>-21.134436090225417</v>
      </c>
      <c r="M64" s="56">
        <v>38.516723809523683</v>
      </c>
      <c r="N64" s="56" cm="1">
        <f t="array" ref="N64:O64">LINEST(E40:E64,D40:D64)</f>
        <v>-42.668307692307536</v>
      </c>
      <c r="O64" s="56">
        <v>57.147358461538332</v>
      </c>
      <c r="P64" s="56" cm="1">
        <f t="array" ref="P64:Q64">LINEST(E35:E64,D35:D64)</f>
        <v>-44.814593993325822</v>
      </c>
      <c r="Q64" s="56">
        <v>58.999728846866802</v>
      </c>
      <c r="R64" s="56" cm="1">
        <f t="array" ref="R64:S64">LINEST(F55:F64,D55:D64)</f>
        <v>43.723636363635663</v>
      </c>
      <c r="S64" s="56">
        <v>-37.816184848484234</v>
      </c>
      <c r="T64" s="56" cm="1">
        <f t="array" ref="T64:U64">LINEST(F50:F64,D50:D64)</f>
        <v>11.674285714285624</v>
      </c>
      <c r="U64" s="56">
        <v>-9.9925005952380186</v>
      </c>
      <c r="V64" s="56" cm="1">
        <f t="array" ref="V64:W64">LINEST(F45:F64,D45:D64)</f>
        <v>-23.570526315789369</v>
      </c>
      <c r="W64" s="56">
        <v>20.572116666666574</v>
      </c>
      <c r="X64" s="56" cm="1">
        <f t="array" ref="X64:Y64">LINEST(F40:F64,D40:D64)</f>
        <v>-2.9963076923076346</v>
      </c>
      <c r="Y64" s="56">
        <v>2.7753476282050791</v>
      </c>
      <c r="Z64" s="56" cm="1">
        <f t="array" ref="Z64:AA64">LINEST(F35:F64,D35:D64)</f>
        <v>13.876218020022248</v>
      </c>
      <c r="AA64" s="56">
        <v>-11.780630126066001</v>
      </c>
      <c r="AB64" s="37" cm="1">
        <f t="array" ref="AB64:AC64">LINEST(G55:G64,D55:D64)</f>
        <v>-4.2763636363636728</v>
      </c>
      <c r="AC64" s="37">
        <v>3.8372595959596274</v>
      </c>
      <c r="AD64" s="37" cm="1">
        <f t="array" ref="AD64:AE64">LINEST(G50:G64,D50:D64)</f>
        <v>-11.18571428571423</v>
      </c>
      <c r="AE64" s="37">
        <v>9.8439598214285233</v>
      </c>
      <c r="AF64" s="37" cm="1">
        <f t="array" ref="AF64:AG64">LINEST(G45:G64,D45:D64)</f>
        <v>-5.6733834586466259</v>
      </c>
      <c r="AG64" s="37">
        <v>5.0659238095238175</v>
      </c>
      <c r="AH64" s="37" cm="1">
        <f t="array" ref="AH64:AI64">LINEST(G40:G64,D40:D64)</f>
        <v>1.0190769230769059</v>
      </c>
      <c r="AI64" s="37">
        <v>-0.72387128205126738</v>
      </c>
      <c r="AJ64" s="37" cm="1">
        <f t="array" ref="AJ64:AK64">LINEST(G35:G64,D35:D64)</f>
        <v>-0.20342602892103101</v>
      </c>
      <c r="AK64" s="37">
        <v>0.33014721913237588</v>
      </c>
    </row>
    <row r="65" spans="1:37" x14ac:dyDescent="0.25">
      <c r="A65" s="61">
        <v>502</v>
      </c>
      <c r="B65" s="14">
        <f t="shared" si="0"/>
        <v>59</v>
      </c>
      <c r="C65" s="15">
        <v>43980</v>
      </c>
      <c r="D65" s="16">
        <v>0.87596064814814811</v>
      </c>
      <c r="E65" s="36">
        <v>20.07</v>
      </c>
      <c r="F65" s="36">
        <v>1.67</v>
      </c>
      <c r="G65" s="36">
        <v>0.3</v>
      </c>
      <c r="H65" s="56" cm="1">
        <f t="array" ref="H65:I65">LINEST(E56:E65,D56:D65)</f>
        <v>-31.330909090908882</v>
      </c>
      <c r="I65" s="56">
        <v>47.424825252525068</v>
      </c>
      <c r="J65" s="56" cm="1">
        <f t="array" ref="J65:K65">LINEST(E51:E65,D51:D65)</f>
        <v>-18.925714285714122</v>
      </c>
      <c r="K65" s="56">
        <v>36.619514285714146</v>
      </c>
      <c r="L65" s="56" cm="1">
        <f t="array" ref="L65:M65">LINEST(E46:E65,D46:D65)</f>
        <v>-10.231578947368378</v>
      </c>
      <c r="M65" s="56">
        <v>29.068460526315754</v>
      </c>
      <c r="N65" s="56" cm="1">
        <f t="array" ref="N65:O65">LINEST(E41:E65,D41:D65)</f>
        <v>-39.12369230769221</v>
      </c>
      <c r="O65" s="56">
        <v>54.10475333333325</v>
      </c>
      <c r="P65" s="56" cm="1">
        <f t="array" ref="P65:Q65">LINEST(E36:E65,D36:D65)</f>
        <v>-43.057441601779679</v>
      </c>
      <c r="Q65" s="56">
        <v>57.505162087504559</v>
      </c>
      <c r="R65" s="56" cm="1">
        <f t="array" ref="R65:S65">LINEST(F56:F65,D56:D65)</f>
        <v>128.37818181818042</v>
      </c>
      <c r="S65" s="56">
        <v>-111.40187171717052</v>
      </c>
      <c r="T65" s="56" cm="1">
        <f t="array" ref="T65:U65">LINEST(F51:F65,D51:D65)</f>
        <v>62.202857142856786</v>
      </c>
      <c r="U65" s="56">
        <v>-53.7465050595235</v>
      </c>
      <c r="V65" s="56" cm="1">
        <f t="array" ref="V65:W65">LINEST(F46:F65,D46:D65)</f>
        <v>-1.7593984962406541</v>
      </c>
      <c r="W65" s="56">
        <v>1.8244495614035541</v>
      </c>
      <c r="X65" s="56" cm="1">
        <f t="array" ref="X65:Y65">LINEST(F41:F65,D41:D65)</f>
        <v>5.4830769230769398</v>
      </c>
      <c r="Y65" s="56">
        <v>-4.4411750000000145</v>
      </c>
      <c r="Z65" s="56" cm="1">
        <f t="array" ref="Z65:AA65">LINEST(F36:F65,D36:D65)</f>
        <v>13.458153503893213</v>
      </c>
      <c r="AA65" s="56">
        <v>-11.33644727474972</v>
      </c>
      <c r="AB65" s="37" cm="1">
        <f t="array" ref="AB65:AC65">LINEST(G56:G65,D56:D65)</f>
        <v>6.2836363636361865</v>
      </c>
      <c r="AC65" s="37">
        <v>-5.3309454545453008</v>
      </c>
      <c r="AD65" s="37" cm="1">
        <f t="array" ref="AD65:AE65">LINEST(G51:G65,D51:D65)</f>
        <v>-5.3485714285714456</v>
      </c>
      <c r="AE65" s="37">
        <v>4.8004714285714432</v>
      </c>
      <c r="AF65" s="37" cm="1">
        <f t="array" ref="AF65:AG65">LINEST(G46:G65,D46:D65)</f>
        <v>-5.3269172932330919</v>
      </c>
      <c r="AG65" s="37">
        <v>4.7848842105263234</v>
      </c>
      <c r="AH65" s="37" cm="1">
        <f t="array" ref="AH65:AI65">LINEST(G41:G65,D41:D65)</f>
        <v>1.362461538461522</v>
      </c>
      <c r="AI65" s="37">
        <v>-1.0107549999999859</v>
      </c>
      <c r="AJ65" s="37" cm="1">
        <f t="array" ref="AJ65:AK65">LINEST(G36:G65,D36:D65)</f>
        <v>0.87937708565071204</v>
      </c>
      <c r="AK65" s="37">
        <v>-0.59425671116053935</v>
      </c>
    </row>
    <row r="66" spans="1:37" x14ac:dyDescent="0.25">
      <c r="A66" s="61">
        <v>502</v>
      </c>
      <c r="B66" s="14">
        <f t="shared" si="0"/>
        <v>60</v>
      </c>
      <c r="C66" s="15">
        <v>43980</v>
      </c>
      <c r="D66" s="16">
        <v>0.87734953703703711</v>
      </c>
      <c r="E66" s="36">
        <v>20.079999999999998</v>
      </c>
      <c r="F66" s="36">
        <v>0.49</v>
      </c>
      <c r="G66" s="36">
        <v>0.31</v>
      </c>
      <c r="H66" s="56" cm="1">
        <f t="array" ref="H66:I66">LINEST(E57:E66,D57:D66)</f>
        <v>-27.709090909090989</v>
      </c>
      <c r="I66" s="56">
        <v>44.288376262626336</v>
      </c>
      <c r="J66" s="56" cm="1">
        <f t="array" ref="J66:K66">LINEST(E52:E66,D52:D66)</f>
        <v>-19.182857142856971</v>
      </c>
      <c r="K66" s="56">
        <v>36.851570833333184</v>
      </c>
      <c r="L66" s="56" cm="1">
        <f t="array" ref="L66:M66">LINEST(E47:E66,D47:D66)</f>
        <v>-12.239999999999965</v>
      </c>
      <c r="M66" s="56">
        <v>30.811758333333305</v>
      </c>
      <c r="N66" s="56" cm="1">
        <f t="array" ref="N66:O66">LINEST(E42:E66,D42:D66)</f>
        <v>-34.737230769230685</v>
      </c>
      <c r="O66" s="56">
        <v>50.328139487179413</v>
      </c>
      <c r="P66" s="56" cm="1">
        <f t="array" ref="P66:Q66">LINEST(E37:E66,D37:D66)</f>
        <v>-41.638264738598352</v>
      </c>
      <c r="Q66" s="56">
        <v>56.301763904338074</v>
      </c>
      <c r="R66" s="56" cm="1">
        <f t="array" ref="R66:S66">LINEST(F57:F66,D57:D66)</f>
        <v>137.32363636363604</v>
      </c>
      <c r="S66" s="56">
        <v>-119.34755606060578</v>
      </c>
      <c r="T66" s="56" cm="1">
        <f t="array" ref="T66:U66">LINEST(F52:F66,D52:D66)</f>
        <v>63.719999999999473</v>
      </c>
      <c r="U66" s="56">
        <v>-55.109879166666218</v>
      </c>
      <c r="V66" s="56" cm="1">
        <f t="array" ref="V66:W66">LINEST(F47:F66,D47:D66)</f>
        <v>7.102556390977373</v>
      </c>
      <c r="W66" s="56">
        <v>-5.8527102756891631</v>
      </c>
      <c r="X66" s="56" cm="1">
        <f t="array" ref="X66:Y66">LINEST(F42:F66,D42:D66)</f>
        <v>4.7796923076923097</v>
      </c>
      <c r="Y66" s="56">
        <v>-3.8225992948717966</v>
      </c>
      <c r="Z66" s="56" cm="1">
        <f t="array" ref="Z66:AA66">LINEST(F37:F66,D37:D66)</f>
        <v>6.5432703003337132</v>
      </c>
      <c r="AA66" s="56">
        <v>-5.3612943084909244</v>
      </c>
      <c r="AB66" s="37" cm="1">
        <f t="array" ref="AB66:AC66">LINEST(G57:G66,D57:D66)</f>
        <v>16.363636363636356</v>
      </c>
      <c r="AC66" s="37">
        <v>-14.109356060606055</v>
      </c>
      <c r="AD66" s="37" cm="1">
        <f t="array" ref="AD66:AE66">LINEST(G52:G66,D52:D66)</f>
        <v>-5.1428571428614227E-2</v>
      </c>
      <c r="AE66" s="37">
        <v>0.21262083333337048</v>
      </c>
      <c r="AF66" s="37" cm="1">
        <f t="array" ref="AF66:AG66">LINEST(G47:G66,D47:D66)</f>
        <v>-4.41203007518798</v>
      </c>
      <c r="AG66" s="37">
        <v>4.009178258145373</v>
      </c>
      <c r="AH66" s="37" cm="1">
        <f t="array" ref="AH66:AI66">LINEST(G42:G66,D42:D66)</f>
        <v>1.6393846153845977</v>
      </c>
      <c r="AI66" s="37">
        <v>-1.2409902564102413</v>
      </c>
      <c r="AJ66" s="37" cm="1">
        <f t="array" ref="AJ66:AK66">LINEST(G37:G66,D37:D66)</f>
        <v>1.2942380422691779</v>
      </c>
      <c r="AK66" s="37">
        <v>-0.94410129773821905</v>
      </c>
    </row>
    <row r="67" spans="1:37" x14ac:dyDescent="0.25">
      <c r="A67" s="61">
        <v>502</v>
      </c>
      <c r="B67" s="14">
        <f t="shared" si="0"/>
        <v>61</v>
      </c>
      <c r="C67" s="15">
        <v>43980</v>
      </c>
      <c r="D67" s="16">
        <v>0.87873842592592588</v>
      </c>
      <c r="E67" s="36">
        <v>20.12</v>
      </c>
      <c r="F67" s="36">
        <v>1.2</v>
      </c>
      <c r="G67" s="36">
        <v>0.38</v>
      </c>
      <c r="H67" s="56" cm="1">
        <f t="array" ref="H67:I67">LINEST(E58:E67,D58:D67)</f>
        <v>-20.334545454545719</v>
      </c>
      <c r="I67" s="56">
        <v>37.87165555555579</v>
      </c>
      <c r="J67" s="56" cm="1">
        <f t="array" ref="J67:K67">LINEST(E53:E67,D53:D67)</f>
        <v>-18.257142857142785</v>
      </c>
      <c r="K67" s="56">
        <v>36.05975297619041</v>
      </c>
      <c r="L67" s="56" cm="1">
        <f t="array" ref="L67:M67">LINEST(E48:E67,D48:D67)</f>
        <v>-12.673082706766854</v>
      </c>
      <c r="M67" s="56">
        <v>31.194610463659096</v>
      </c>
      <c r="N67" s="56" cm="1">
        <f t="array" ref="N67:O67">LINEST(E43:E67,D43:D67)</f>
        <v>-29.531076923076839</v>
      </c>
      <c r="O67" s="56">
        <v>45.83550743589737</v>
      </c>
      <c r="P67" s="56" cm="1">
        <f t="array" ref="P67:Q67">LINEST(E38:E67,D38:D67)</f>
        <v>-39.038576195773025</v>
      </c>
      <c r="Q67" s="56">
        <v>54.078503448275811</v>
      </c>
      <c r="R67" s="56" cm="1">
        <f t="array" ref="R67:S67">LINEST(F58:F67,D58:D67)</f>
        <v>159.01090909090985</v>
      </c>
      <c r="S67" s="56">
        <v>-138.33717777777844</v>
      </c>
      <c r="T67" s="56" cm="1">
        <f t="array" ref="T67:U67">LINEST(F53:F67,D53:D67)</f>
        <v>72.797142857142504</v>
      </c>
      <c r="U67" s="56">
        <v>-62.987896726190158</v>
      </c>
      <c r="V67" s="56" cm="1">
        <f t="array" ref="V67:W67">LINEST(F48:F67,D48:D67)</f>
        <v>23.732932330826863</v>
      </c>
      <c r="W67" s="56">
        <v>-20.242896741854462</v>
      </c>
      <c r="X67" s="56" cm="1">
        <f t="array" ref="X67:Y67">LINEST(F43:F67,D43:D67)</f>
        <v>2.3870769230769171</v>
      </c>
      <c r="Y67" s="56">
        <v>-1.6834316025640976</v>
      </c>
      <c r="Z67" s="56" cm="1">
        <f t="array" ref="Z67:AA67">LINEST(F38:F67,D38:D67)</f>
        <v>24.633770856507208</v>
      </c>
      <c r="AA67" s="56">
        <v>-20.962877586206876</v>
      </c>
      <c r="AB67" s="37" cm="1">
        <f t="array" ref="AB67:AC67">LINEST(G58:G67,D58:D67)</f>
        <v>27.272727272727437</v>
      </c>
      <c r="AC67" s="37">
        <v>-23.630138888889032</v>
      </c>
      <c r="AD67" s="37" cm="1">
        <f t="array" ref="AD67:AE67">LINEST(G53:G67,D53:D67)</f>
        <v>5.6571428571427802</v>
      </c>
      <c r="AE67" s="37">
        <v>-4.7401488095237418</v>
      </c>
      <c r="AF67" s="37" cm="1">
        <f t="array" ref="AF67:AG67">LINEST(G48:G67,D48:D67)</f>
        <v>-2.2574436090225816</v>
      </c>
      <c r="AG67" s="37">
        <v>2.1584167293233305</v>
      </c>
      <c r="AH67" s="37" cm="1">
        <f t="array" ref="AH67:AI67">LINEST(G43:G67,D43:D67)</f>
        <v>1.6670769230769009</v>
      </c>
      <c r="AI67" s="37">
        <v>-1.2511399358974169</v>
      </c>
      <c r="AJ67" s="37" cm="1">
        <f t="array" ref="AJ67:AK67">LINEST(G38:G67,D38:D67)</f>
        <v>3.109054505005548</v>
      </c>
      <c r="AK67" s="37">
        <v>-2.5024327586206776</v>
      </c>
    </row>
    <row r="68" spans="1:37" x14ac:dyDescent="0.25">
      <c r="A68" s="61">
        <v>502</v>
      </c>
      <c r="B68" s="14">
        <f t="shared" si="0"/>
        <v>62</v>
      </c>
      <c r="C68" s="15">
        <v>43980</v>
      </c>
      <c r="D68" s="16">
        <v>0.88012731481481488</v>
      </c>
      <c r="E68" s="36">
        <v>20.14</v>
      </c>
      <c r="F68" s="36">
        <v>0.49</v>
      </c>
      <c r="G68" s="36">
        <v>0.39</v>
      </c>
      <c r="H68" s="56" cm="1">
        <f t="array" ref="H68:I68">LINEST(E59:E68,D59:D68)</f>
        <v>-11.781818181818302</v>
      </c>
      <c r="I68" s="56">
        <v>30.409863636363738</v>
      </c>
      <c r="J68" s="56" cm="1">
        <f t="array" ref="J68:K68">LINEST(E54:E68,D54:D68)</f>
        <v>-16.431428571428498</v>
      </c>
      <c r="K68" s="56">
        <v>34.483332440476119</v>
      </c>
      <c r="L68" s="56" cm="1">
        <f t="array" ref="L68:M68">LINEST(E49:E68,D49:D68)</f>
        <v>-12.819248120300697</v>
      </c>
      <c r="M68" s="56">
        <v>31.331427568922255</v>
      </c>
      <c r="N68" s="56" cm="1">
        <f t="array" ref="N68:O68">LINEST(E44:E68,D44:D68)</f>
        <v>-23.244923076922994</v>
      </c>
      <c r="O68" s="56">
        <v>40.395476346153771</v>
      </c>
      <c r="P68" s="56" cm="1">
        <f t="array" ref="P68:Q68">LINEST(E39:E68,D39:D68)</f>
        <v>-36.272302558398124</v>
      </c>
      <c r="Q68" s="56">
        <v>51.708093715239073</v>
      </c>
      <c r="R68" s="56" cm="1">
        <f t="array" ref="R68:S68">LINEST(F59:F68,D59:D68)</f>
        <v>104.63999999999974</v>
      </c>
      <c r="S68" s="56">
        <v>-90.91452222222199</v>
      </c>
      <c r="T68" s="56" cm="1">
        <f t="array" ref="T68:U68">LINEST(F54:F68,D54:D68)</f>
        <v>73.928571428570905</v>
      </c>
      <c r="U68" s="56">
        <v>-64.050471726190011</v>
      </c>
      <c r="V68" s="56" cm="1">
        <f t="array" ref="V68:W68">LINEST(F49:F68,D49:D68)</f>
        <v>32.757293233082514</v>
      </c>
      <c r="W68" s="56">
        <v>-28.120874248120135</v>
      </c>
      <c r="X68" s="56" cm="1">
        <f t="array" ref="X68:Y68">LINEST(F44:F68,D44:D68)</f>
        <v>6.9396923076922645</v>
      </c>
      <c r="Y68" s="56">
        <v>-5.6341512179486806</v>
      </c>
      <c r="Z68" s="56" cm="1">
        <f t="array" ref="Z68:AA68">LINEST(F39:F68,D39:D68)</f>
        <v>17.658020022246916</v>
      </c>
      <c r="AA68" s="56">
        <v>-14.931692843900606</v>
      </c>
      <c r="AB68" s="37" cm="1">
        <f t="array" ref="AB68:AC68">LINEST(G59:G68,D59:D68)</f>
        <v>33.469090909090909</v>
      </c>
      <c r="AC68" s="37">
        <v>-29.054879292929289</v>
      </c>
      <c r="AD68" s="37" cm="1">
        <f t="array" ref="AD68:AE68">LINEST(G54:G68,D54:D68)</f>
        <v>11.031428571428464</v>
      </c>
      <c r="AE68" s="37">
        <v>-9.4164782738094299</v>
      </c>
      <c r="AF68" s="37" cm="1">
        <f t="array" ref="AF68:AG68">LINEST(G49:G68,D49:D68)</f>
        <v>0.50887218045109917</v>
      </c>
      <c r="AG68" s="37">
        <v>-0.2311580200501005</v>
      </c>
      <c r="AH68" s="37" cm="1">
        <f t="array" ref="AH68:AI68">LINEST(G44:G68,D44:D68)</f>
        <v>2.043692307692289</v>
      </c>
      <c r="AI68" s="37">
        <v>-1.5650478846153684</v>
      </c>
      <c r="AJ68" s="37" cm="1">
        <f t="array" ref="AJ68:AK68">LINEST(G39:G68,D39:D68)</f>
        <v>4.2591323692992056</v>
      </c>
      <c r="AK68" s="37">
        <v>-3.4891378754171156</v>
      </c>
    </row>
    <row r="69" spans="1:37" x14ac:dyDescent="0.25">
      <c r="A69" s="61">
        <v>502</v>
      </c>
      <c r="B69" s="14">
        <f t="shared" si="0"/>
        <v>63</v>
      </c>
      <c r="C69" s="15">
        <v>43980</v>
      </c>
      <c r="D69" s="16">
        <v>0.88151620370370365</v>
      </c>
      <c r="E69" s="36">
        <v>20.190000000000001</v>
      </c>
      <c r="F69" s="36">
        <v>1.39</v>
      </c>
      <c r="G69" s="36">
        <v>0.47</v>
      </c>
      <c r="H69" s="56" cm="1">
        <f t="array" ref="H69:I69">LINEST(E60:E69,D60:D69)</f>
        <v>-1.7890909090909433</v>
      </c>
      <c r="I69" s="56">
        <v>21.672930808080839</v>
      </c>
      <c r="J69" s="56" cm="1">
        <f t="array" ref="J69:K69">LINEST(E55:E69,D55:D69)</f>
        <v>-13.834285714285702</v>
      </c>
      <c r="K69" s="56">
        <v>32.234647023809508</v>
      </c>
      <c r="L69" s="56" cm="1">
        <f t="array" ref="L69:M69">LINEST(E50:E69,D50:D69)</f>
        <v>-12.175037593984891</v>
      </c>
      <c r="M69" s="56">
        <v>30.784350062656578</v>
      </c>
      <c r="N69" s="56" cm="1">
        <f t="array" ref="N69:O69">LINEST(E45:E69,D45:D69)</f>
        <v>-15.961846153846084</v>
      </c>
      <c r="O69" s="56">
        <v>34.07819525641019</v>
      </c>
      <c r="P69" s="56" cm="1">
        <f t="array" ref="P69:Q69">LINEST(E40:E69,D40:D69)</f>
        <v>-33.033503893214615</v>
      </c>
      <c r="Q69" s="56">
        <v>48.925977549128611</v>
      </c>
      <c r="R69" s="56" cm="1">
        <f t="array" ref="R69:S69">LINEST(F60:F69,D60:D69)</f>
        <v>57.469090909090347</v>
      </c>
      <c r="S69" s="56">
        <v>-49.517753030302543</v>
      </c>
      <c r="T69" s="56" cm="1">
        <f t="array" ref="T69:U69">LINEST(F55:F69,D55:D69)</f>
        <v>69.171428571428152</v>
      </c>
      <c r="U69" s="56">
        <v>-59.853901785713909</v>
      </c>
      <c r="V69" s="56" cm="1">
        <f t="array" ref="V69:W69">LINEST(F50:F69,D50:D69)</f>
        <v>42.636992481202732</v>
      </c>
      <c r="W69" s="56">
        <v>-36.682628320801761</v>
      </c>
      <c r="X69" s="56" cm="1">
        <f t="array" ref="X69:Y69">LINEST(F45:F69,D45:D69)</f>
        <v>9.2049230769230022</v>
      </c>
      <c r="Y69" s="56">
        <v>-7.536073461538396</v>
      </c>
      <c r="Z69" s="56" cm="1">
        <f t="array" ref="Z69:AA69">LINEST(F40:F69,D40:D69)</f>
        <v>14.970233592880952</v>
      </c>
      <c r="AA69" s="56">
        <v>-12.549686281052999</v>
      </c>
      <c r="AB69" s="37" cm="1">
        <f t="array" ref="AB69:AC69">LINEST(G60:G69,D60:D69)</f>
        <v>35.563636363636533</v>
      </c>
      <c r="AC69" s="37">
        <v>-30.888648989899139</v>
      </c>
      <c r="AD69" s="37" cm="1">
        <f t="array" ref="AD69:AE69">LINEST(G55:G69,D55:D69)</f>
        <v>15.634285714285642</v>
      </c>
      <c r="AE69" s="37">
        <v>-13.423876190476125</v>
      </c>
      <c r="AF69" s="37" cm="1">
        <f t="array" ref="AF69:AG69">LINEST(G50:G69,D50:D69)</f>
        <v>3.8652631578946823</v>
      </c>
      <c r="AG69" s="37">
        <v>-3.1362921052631103</v>
      </c>
      <c r="AH69" s="37" cm="1">
        <f t="array" ref="AH69:AI69">LINEST(G45:G69,D45:D69)</f>
        <v>2.6196923076922816</v>
      </c>
      <c r="AI69" s="37">
        <v>-2.0484396794871564</v>
      </c>
      <c r="AJ69" s="37" cm="1">
        <f t="array" ref="AJ69:AK69">LINEST(G40:G69,D40:D69)</f>
        <v>5.1208898776418064</v>
      </c>
      <c r="AK69" s="37">
        <v>-4.2240183722654647</v>
      </c>
    </row>
    <row r="70" spans="1:37" x14ac:dyDescent="0.25">
      <c r="A70" s="61">
        <v>502</v>
      </c>
      <c r="B70" s="14">
        <f t="shared" si="0"/>
        <v>64</v>
      </c>
      <c r="C70" s="15">
        <v>43980</v>
      </c>
      <c r="D70" s="16">
        <v>0.88290509259259264</v>
      </c>
      <c r="E70" s="36">
        <v>20.21</v>
      </c>
      <c r="F70" s="36">
        <v>0.7</v>
      </c>
      <c r="G70" s="36">
        <v>0.49</v>
      </c>
      <c r="H70" s="56" cm="1">
        <f t="array" ref="H70:I70">LINEST(E61:E70,D61:D70)</f>
        <v>10.079999999999924</v>
      </c>
      <c r="I70" s="56">
        <v>11.264316666666735</v>
      </c>
      <c r="J70" s="56" cm="1">
        <f t="array" ref="J70:K70">LINEST(E56:E70,D56:D70)</f>
        <v>-10.182857142857104</v>
      </c>
      <c r="K70" s="56">
        <v>29.058163095238058</v>
      </c>
      <c r="L70" s="56" cm="1">
        <f t="array" ref="L70:M70">LINEST(E51:E70,D51:D70)</f>
        <v>-10.751278195488648</v>
      </c>
      <c r="M70" s="56">
        <v>29.55650112781948</v>
      </c>
      <c r="N70" s="56" cm="1">
        <f t="array" ref="N70:O70">LINEST(E46:E70,D46:D70)</f>
        <v>-7.6264615384615073</v>
      </c>
      <c r="O70" s="56">
        <v>26.828734038461509</v>
      </c>
      <c r="P70" s="56" cm="1">
        <f t="array" ref="P70:Q70">LINEST(E41:E70,D41:D70)</f>
        <v>-29.291746384872013</v>
      </c>
      <c r="Q70" s="56">
        <v>45.701595494994386</v>
      </c>
      <c r="R70" s="56" cm="1">
        <f t="array" ref="R70:S70">LINEST(F61:F70,D61:D70)</f>
        <v>31.505454545453599</v>
      </c>
      <c r="S70" s="56">
        <v>-26.797417171716344</v>
      </c>
      <c r="T70" s="56" cm="1">
        <f t="array" ref="T70:U70">LINEST(F56:F70,D56:D70)</f>
        <v>78.222857142856682</v>
      </c>
      <c r="U70" s="56">
        <v>-67.851525595237689</v>
      </c>
      <c r="V70" s="56" cm="1">
        <f t="array" ref="V70:W70">LINEST(F51:F70,D51:D70)</f>
        <v>56.00300751879675</v>
      </c>
      <c r="W70" s="56">
        <v>-48.39091196741834</v>
      </c>
      <c r="X70" s="56" cm="1">
        <f t="array" ref="X70:Y70">LINEST(F46:F70,D46:D70)</f>
        <v>14.599384615384508</v>
      </c>
      <c r="Y70" s="56">
        <v>-12.230547948717854</v>
      </c>
      <c r="Z70" s="56" cm="1">
        <f t="array" ref="Z70:AA70">LINEST(F41:F70,D41:D70)</f>
        <v>15.051924360400413</v>
      </c>
      <c r="AA70" s="56">
        <v>-12.618624972191299</v>
      </c>
      <c r="AB70" s="37" cm="1">
        <f t="array" ref="AB70:AC70">LINEST(G61:G70,D61:D70)</f>
        <v>35.38909090909091</v>
      </c>
      <c r="AC70" s="37">
        <v>-30.739026767676773</v>
      </c>
      <c r="AD70" s="37" cm="1">
        <f t="array" ref="AD70:AE70">LINEST(G56:G70,D56:D70)</f>
        <v>20.622857142857068</v>
      </c>
      <c r="AE70" s="37">
        <v>-17.782192261904697</v>
      </c>
      <c r="AF70" s="37" cm="1">
        <f t="array" ref="AF70:AG70">LINEST(G51:G70,D51:D70)</f>
        <v>8.0066165413533312</v>
      </c>
      <c r="AG70" s="37">
        <v>-6.7359396616540907</v>
      </c>
      <c r="AH70" s="37" cm="1">
        <f t="array" ref="AH70:AI70">LINEST(G46:G70,D46:D70)</f>
        <v>3.5889230769230513</v>
      </c>
      <c r="AI70" s="37">
        <v>-2.8760630769230544</v>
      </c>
      <c r="AJ70" s="37" cm="1">
        <f t="array" ref="AJ70:AK70">LINEST(G41:G70,D41:D70)</f>
        <v>5.8977530589543763</v>
      </c>
      <c r="AK70" s="37">
        <v>-4.8870486837226403</v>
      </c>
    </row>
    <row r="71" spans="1:37" x14ac:dyDescent="0.25">
      <c r="A71" s="61">
        <v>502</v>
      </c>
      <c r="B71" s="14">
        <f t="shared" si="0"/>
        <v>65</v>
      </c>
      <c r="C71" s="15">
        <v>43980</v>
      </c>
      <c r="D71" s="16">
        <v>0.88429398148148142</v>
      </c>
      <c r="E71" s="36">
        <v>20.23</v>
      </c>
      <c r="F71" s="36">
        <v>0.72</v>
      </c>
      <c r="G71" s="36">
        <v>0.5</v>
      </c>
      <c r="H71" s="56" cm="1">
        <f t="array" ref="H71:I71">LINEST(E62:E71,D62:D71)</f>
        <v>24.218181818181918</v>
      </c>
      <c r="I71" s="56">
        <v>-1.1696287878788745</v>
      </c>
      <c r="J71" s="56" cm="1">
        <f t="array" ref="J71:K71">LINEST(E57:E71,D57:D71)</f>
        <v>-5.6828571428571601</v>
      </c>
      <c r="K71" s="56">
        <v>25.130066369047633</v>
      </c>
      <c r="L71" s="56" cm="1">
        <f t="array" ref="L71:M71">LINEST(E52:E71,D52:D71)</f>
        <v>-8.9810526315788959</v>
      </c>
      <c r="M71" s="56">
        <v>28.02389078947364</v>
      </c>
      <c r="N71" s="56" cm="1">
        <f t="array" ref="N71:O71">LINEST(E47:E71,D47:D71)</f>
        <v>-7.6652307692307415</v>
      </c>
      <c r="O71" s="56">
        <v>26.873763589743564</v>
      </c>
      <c r="P71" s="56" cm="1">
        <f t="array" ref="P71:Q71">LINEST(E42:E71,D42:D71)</f>
        <v>-25.053437152391499</v>
      </c>
      <c r="Q71" s="56">
        <v>42.03838863552091</v>
      </c>
      <c r="R71" s="56" cm="1">
        <f t="array" ref="R71:S71">LINEST(F62:F71,D62:D71)</f>
        <v>15.403636363635535</v>
      </c>
      <c r="S71" s="56">
        <v>-12.688070202019475</v>
      </c>
      <c r="T71" s="56" cm="1">
        <f t="array" ref="T71:U71">LINEST(F57:F71,D57:D71)</f>
        <v>78.711428571428627</v>
      </c>
      <c r="U71" s="56">
        <v>-68.355459226190533</v>
      </c>
      <c r="V71" s="56" cm="1">
        <f t="array" ref="V71:W71">LINEST(F52:F71,D52:D71)</f>
        <v>55.439999999999813</v>
      </c>
      <c r="W71" s="56">
        <v>-47.937258333333176</v>
      </c>
      <c r="X71" s="56" cm="1">
        <f t="array" ref="X71:Y71">LINEST(F47:F71,D47:D71)</f>
        <v>20.248615384615292</v>
      </c>
      <c r="Y71" s="56">
        <v>-17.160251794871712</v>
      </c>
      <c r="Z71" s="56" cm="1">
        <f t="array" ref="Z71:AA71">LINEST(F42:F71,D42:D71)</f>
        <v>14.713948832035568</v>
      </c>
      <c r="AA71" s="56">
        <v>-12.3224671486837</v>
      </c>
      <c r="AB71" s="37" cm="1">
        <f t="array" ref="AB71:AC71">LINEST(G62:G71,D62:D71)</f>
        <v>33.512727272727446</v>
      </c>
      <c r="AC71" s="37">
        <v>-29.097648484848641</v>
      </c>
      <c r="AD71" s="37" cm="1">
        <f t="array" ref="AD71:AE71">LINEST(G57:G71,D57:D71)</f>
        <v>25.045714285714354</v>
      </c>
      <c r="AE71" s="37">
        <v>-21.658941071428632</v>
      </c>
      <c r="AF71" s="37" cm="1">
        <f t="array" ref="AF71:AG71">LINEST(G52:G71,D52:D71)</f>
        <v>11.633684210526251</v>
      </c>
      <c r="AG71" s="37">
        <v>-9.896596929824506</v>
      </c>
      <c r="AH71" s="37" cm="1">
        <f t="array" ref="AH71:AI71">LINEST(G47:G71,D47:D71)</f>
        <v>4.8406153846153535</v>
      </c>
      <c r="AI71" s="37">
        <v>-3.9534501282051013</v>
      </c>
      <c r="AJ71" s="37" cm="1">
        <f t="array" ref="AJ71:AK71">LINEST(G42:G71,D42:D71)</f>
        <v>6.5833147942157764</v>
      </c>
      <c r="AK71" s="37">
        <v>-5.4730050055617188</v>
      </c>
    </row>
    <row r="72" spans="1:37" x14ac:dyDescent="0.25">
      <c r="A72" s="61">
        <v>502</v>
      </c>
      <c r="B72" s="14">
        <f t="shared" si="0"/>
        <v>66</v>
      </c>
      <c r="C72" s="15">
        <v>43980</v>
      </c>
      <c r="D72" s="16">
        <v>0.88568287037037041</v>
      </c>
      <c r="E72" s="36">
        <v>20.239999999999998</v>
      </c>
      <c r="F72" s="36">
        <v>0.27</v>
      </c>
      <c r="G72" s="36">
        <v>0.49</v>
      </c>
      <c r="H72" s="56" cm="1">
        <f t="array" ref="H72:I72">LINEST(E63:E72,D63:D72)</f>
        <v>21.512727272727204</v>
      </c>
      <c r="I72" s="56">
        <v>1.2080005050505704</v>
      </c>
      <c r="J72" s="56" cm="1">
        <f t="array" ref="J72:K72">LINEST(E58:E72,D58:D72)</f>
        <v>-0.74571428571433596</v>
      </c>
      <c r="K72" s="56">
        <v>20.807216369047662</v>
      </c>
      <c r="L72" s="56" cm="1">
        <f t="array" ref="L72:M72">LINEST(E53:E72,D53:D72)</f>
        <v>-7.1025563909774334</v>
      </c>
      <c r="M72" s="56">
        <v>26.392898245614024</v>
      </c>
      <c r="N72" s="56" cm="1">
        <f t="array" ref="N72:O72">LINEST(E48:E72,D48:D72)</f>
        <v>-7.0006153846153572</v>
      </c>
      <c r="O72" s="56">
        <v>26.304448205128182</v>
      </c>
      <c r="P72" s="56" cm="1">
        <f t="array" ref="P72:Q72">LINEST(E43:E72,D43:D72)</f>
        <v>-20.520400444938783</v>
      </c>
      <c r="Q72" s="56">
        <v>38.109642436040019</v>
      </c>
      <c r="R72" s="56" cm="1">
        <f t="array" ref="R72:S72">LINEST(F63:F72,D63:D72)</f>
        <v>-19.680000000001023</v>
      </c>
      <c r="S72" s="56">
        <v>18.114238888889787</v>
      </c>
      <c r="T72" s="56" cm="1">
        <f t="array" ref="T72:U72">LINEST(F58:F72,D58:D72)</f>
        <v>64.311428571428507</v>
      </c>
      <c r="U72" s="56">
        <v>-55.830947321428518</v>
      </c>
      <c r="V72" s="56" cm="1">
        <f t="array" ref="V72:W72">LINEST(F53:F72,D53:D72)</f>
        <v>47.314285714285575</v>
      </c>
      <c r="W72" s="56">
        <v>-40.897166666666543</v>
      </c>
      <c r="X72" s="56" cm="1">
        <f t="array" ref="X72:Y72">LINEST(F48:F72,D48:D72)</f>
        <v>23.017846153846019</v>
      </c>
      <c r="Y72" s="56">
        <v>-19.620881282051165</v>
      </c>
      <c r="Z72" s="56" cm="1">
        <f t="array" ref="Z72:AA72">LINEST(F43:F72,D43:D72)</f>
        <v>7.8246941045605976</v>
      </c>
      <c r="AA72" s="56">
        <v>-6.3416168891360547</v>
      </c>
      <c r="AB72" s="37" cm="1">
        <f t="array" ref="AB72:AC72">LINEST(G63:G72,D63:D72)</f>
        <v>29.410909090909087</v>
      </c>
      <c r="AC72" s="37">
        <v>-25.498920202020198</v>
      </c>
      <c r="AD72" s="37" cm="1">
        <f t="array" ref="AD72:AE72">LINEST(G58:G72,D58:D72)</f>
        <v>28.105714285714377</v>
      </c>
      <c r="AE72" s="37">
        <v>-24.353499702381029</v>
      </c>
      <c r="AF72" s="37" cm="1">
        <f t="array" ref="AF72:AG72">LINEST(G53:G72,D53:D72)</f>
        <v>14.486616541353332</v>
      </c>
      <c r="AG72" s="37">
        <v>-12.390405263157849</v>
      </c>
      <c r="AH72" s="37" cm="1">
        <f t="array" ref="AH72:AI72">LINEST(G48:G72,D48:D72)</f>
        <v>6.2695384615384278</v>
      </c>
      <c r="AI72" s="37">
        <v>-5.1911305128204841</v>
      </c>
      <c r="AJ72" s="37" cm="1">
        <f t="array" ref="AJ72:AK72">LINEST(G43:G72,D43:D72)</f>
        <v>6.6842269187986467</v>
      </c>
      <c r="AK72" s="37">
        <v>-5.5524923804226765</v>
      </c>
    </row>
    <row r="73" spans="1:37" x14ac:dyDescent="0.25">
      <c r="A73" s="61">
        <v>502</v>
      </c>
      <c r="B73" s="14">
        <f t="shared" ref="B73:B136" si="1">B72+1</f>
        <v>67</v>
      </c>
      <c r="C73" s="15">
        <v>43980</v>
      </c>
      <c r="D73" s="16">
        <v>0.8870717592592593</v>
      </c>
      <c r="E73" s="36">
        <v>20.239999999999998</v>
      </c>
      <c r="F73" s="36">
        <v>7.0000000000000007E-2</v>
      </c>
      <c r="G73" s="36">
        <v>0.45</v>
      </c>
      <c r="H73" s="56" cm="1">
        <f t="array" ref="H73:I73">LINEST(E64:E73,D64:D73)</f>
        <v>18.894545454545323</v>
      </c>
      <c r="I73" s="56">
        <v>3.5102732323233461</v>
      </c>
      <c r="J73" s="56" cm="1">
        <f t="array" ref="J73:K73">LINEST(E59:E73,D59:D73)</f>
        <v>3.8057142857142034</v>
      </c>
      <c r="K73" s="56">
        <v>16.811058333333403</v>
      </c>
      <c r="L73" s="56" cm="1">
        <f t="array" ref="L73:M73">LINEST(E54:E73,D54:D73)</f>
        <v>-5.1266165413534051</v>
      </c>
      <c r="M73" s="56">
        <v>24.671533897243123</v>
      </c>
      <c r="N73" s="56" cm="1">
        <f t="array" ref="N73:O73">LINEST(E49:E73,D49:D73)</f>
        <v>-6.3747692307692239</v>
      </c>
      <c r="O73" s="56">
        <v>25.767431602564095</v>
      </c>
      <c r="P73" s="56" cm="1">
        <f t="array" ref="P73:Q73">LINEST(E44:E73,D44:D73)</f>
        <v>-15.453971078976599</v>
      </c>
      <c r="Q73" s="56">
        <v>33.704888839451208</v>
      </c>
      <c r="R73" s="56" cm="1">
        <f t="array" ref="R73:S73">LINEST(F64:F73,D64:D73)</f>
        <v>-60.000000000001364</v>
      </c>
      <c r="S73" s="56">
        <v>53.606305555556759</v>
      </c>
      <c r="T73" s="56" cm="1">
        <f t="array" ref="T73:U73">LINEST(F59:F73,D59:D73)</f>
        <v>29.49428571428551</v>
      </c>
      <c r="U73" s="56">
        <v>-25.314797916666489</v>
      </c>
      <c r="V73" s="56" cm="1">
        <f t="array" ref="V73:W73">LINEST(F54:F73,D54:D73)</f>
        <v>41.310676691729142</v>
      </c>
      <c r="W73" s="56">
        <v>-35.719963220551222</v>
      </c>
      <c r="X73" s="56" cm="1">
        <f t="array" ref="X73:Y73">LINEST(F49:F73,D49:D73)</f>
        <v>24.817846153846041</v>
      </c>
      <c r="Y73" s="56">
        <v>-21.253579679487085</v>
      </c>
      <c r="Z73" s="56" cm="1">
        <f t="array" ref="Z73:AA73">LINEST(F44:F73,D44:D73)</f>
        <v>8.4766184649610157</v>
      </c>
      <c r="AA73" s="56">
        <v>-6.9453258435298029</v>
      </c>
      <c r="AB73" s="37" cm="1">
        <f t="array" ref="AB73:AC73">LINEST(G64:G73,D64:D73)</f>
        <v>22.341818181818127</v>
      </c>
      <c r="AC73" s="37">
        <v>-19.28315959595955</v>
      </c>
      <c r="AD73" s="37" cm="1">
        <f t="array" ref="AD73:AE73">LINEST(G59:G73,D59:D73)</f>
        <v>28.208571428571446</v>
      </c>
      <c r="AE73" s="37">
        <v>-24.460110416666684</v>
      </c>
      <c r="AF73" s="37" cm="1">
        <f t="array" ref="AF73:AG73">LINEST(G54:G73,D54:D73)</f>
        <v>16.565413533834523</v>
      </c>
      <c r="AG73" s="37">
        <v>-14.217139097744305</v>
      </c>
      <c r="AH73" s="37" cm="1">
        <f t="array" ref="AH73:AI73">LINEST(G49:G73,D49:D73)</f>
        <v>7.7150769230768885</v>
      </c>
      <c r="AI73" s="37">
        <v>-6.4512422435897143</v>
      </c>
      <c r="AJ73" s="37" cm="1">
        <f t="array" ref="AJ73:AK73">LINEST(G44:G73,D44:D73)</f>
        <v>6.7835372636262283</v>
      </c>
      <c r="AK73" s="37">
        <v>-5.6345380978865203</v>
      </c>
    </row>
    <row r="74" spans="1:37" x14ac:dyDescent="0.25">
      <c r="A74" s="61">
        <v>502</v>
      </c>
      <c r="B74" s="14">
        <f t="shared" si="1"/>
        <v>68</v>
      </c>
      <c r="C74" s="15">
        <v>43980</v>
      </c>
      <c r="D74" s="16">
        <v>0.88846064814814818</v>
      </c>
      <c r="E74" s="36">
        <v>20.239999999999998</v>
      </c>
      <c r="F74" s="36">
        <v>-0.08</v>
      </c>
      <c r="G74" s="36">
        <v>0.41</v>
      </c>
      <c r="H74" s="56" cm="1">
        <f t="array" ref="H74:I74">LINEST(E65:E74,D65:D74)</f>
        <v>15.447272727272543</v>
      </c>
      <c r="I74" s="56">
        <v>6.54825151515168</v>
      </c>
      <c r="J74" s="56" cm="1">
        <f t="array" ref="J74:K74">LINEST(E60:E74,D60:D74)</f>
        <v>7.6885714285713647</v>
      </c>
      <c r="K74" s="56">
        <v>13.392423511904818</v>
      </c>
      <c r="L74" s="56" cm="1">
        <f t="array" ref="L74:M74">LINEST(E55:E74,D55:D74)</f>
        <v>-3.3942857142857488</v>
      </c>
      <c r="M74" s="56">
        <v>23.159403571428598</v>
      </c>
      <c r="N74" s="56" cm="1">
        <f t="array" ref="N74:O74">LINEST(E50:E74,D50:D74)</f>
        <v>-5.6492307692307646</v>
      </c>
      <c r="O74" s="56">
        <v>25.14136538461538</v>
      </c>
      <c r="P74" s="56" cm="1">
        <f t="array" ref="P74:Q74">LINEST(E45:E74,D45:D74)</f>
        <v>-10.043159065628453</v>
      </c>
      <c r="Q74" s="56">
        <v>28.987360215053741</v>
      </c>
      <c r="R74" s="56" cm="1">
        <f t="array" ref="R74:S74">LINEST(F65:F74,D65:D74)</f>
        <v>-101.84727272727343</v>
      </c>
      <c r="S74" s="56">
        <v>90.542748484849113</v>
      </c>
      <c r="T74" s="56" cm="1">
        <f t="array" ref="T74:U74">LINEST(F60:F74,D60:D74)</f>
        <v>-17.485714285714764</v>
      </c>
      <c r="U74" s="56">
        <v>15.999369047619469</v>
      </c>
      <c r="V74" s="56" cm="1">
        <f t="array" ref="V74:W74">LINEST(F55:F74,D55:D74)</f>
        <v>22.130526315789265</v>
      </c>
      <c r="W74" s="56">
        <v>-18.949101754385779</v>
      </c>
      <c r="X74" s="56" cm="1">
        <f t="array" ref="X74:Y74">LINEST(F50:F74,D50:D74)</f>
        <v>20.475692307692182</v>
      </c>
      <c r="Y74" s="56">
        <v>-17.511385320512712</v>
      </c>
      <c r="Z74" s="56" cm="1">
        <f t="array" ref="Z74:AA74">LINEST(F45:F74,D45:D74)</f>
        <v>2.8383537263625782</v>
      </c>
      <c r="AA74" s="56">
        <v>-2.0546043010752277</v>
      </c>
      <c r="AB74" s="37" cm="1">
        <f t="array" ref="AB74:AC74">LINEST(G65:G74,D65:D74)</f>
        <v>12.523636363636275</v>
      </c>
      <c r="AC74" s="37">
        <v>-10.629485353535275</v>
      </c>
      <c r="AD74" s="37" cm="1">
        <f t="array" ref="AD74:AE74">LINEST(G60:G74,D60:D74)</f>
        <v>24.660000000000004</v>
      </c>
      <c r="AE74" s="37">
        <v>-21.354356250000002</v>
      </c>
      <c r="AF74" s="37" cm="1">
        <f t="array" ref="AF74:AG74">LINEST(G55:G74,D55:D74)</f>
        <v>16.993082706766884</v>
      </c>
      <c r="AG74" s="37">
        <v>-14.601970989974907</v>
      </c>
      <c r="AH74" s="37" cm="1">
        <f t="array" ref="AH74:AI74">LINEST(G50:G74,D50:D74)</f>
        <v>8.7286153846153436</v>
      </c>
      <c r="AI74" s="37">
        <v>-7.3399543589743246</v>
      </c>
      <c r="AJ74" s="37" cm="1">
        <f t="array" ref="AJ74:AK74">LINEST(G45:G74,D45:D74)</f>
        <v>6.4695884315906378</v>
      </c>
      <c r="AK74" s="37">
        <v>-5.3586844086021337</v>
      </c>
    </row>
    <row r="75" spans="1:37" x14ac:dyDescent="0.25">
      <c r="A75" s="61">
        <v>502</v>
      </c>
      <c r="B75" s="14">
        <f t="shared" si="1"/>
        <v>69</v>
      </c>
      <c r="C75" s="15">
        <v>43980</v>
      </c>
      <c r="D75" s="16">
        <v>0.88984953703703706</v>
      </c>
      <c r="E75" s="36">
        <v>20.239999999999998</v>
      </c>
      <c r="F75" s="36">
        <v>0.05</v>
      </c>
      <c r="G75" s="36">
        <v>0.38</v>
      </c>
      <c r="H75" s="56" cm="1">
        <f t="array" ref="H75:I75">LINEST(E66:E75,D66:D75)</f>
        <v>12.872727272727078</v>
      </c>
      <c r="I75" s="56">
        <v>8.8186641414143185</v>
      </c>
      <c r="J75" s="56" cm="1">
        <f t="array" ref="J75:K75">LINEST(E61:E75,D61:D75)</f>
        <v>11.828571428571285</v>
      </c>
      <c r="K75" s="56">
        <v>9.7360178571429863</v>
      </c>
      <c r="L75" s="56" cm="1">
        <f t="array" ref="L75:M75">LINEST(E56:E75,D56:D75)</f>
        <v>-1.3696240601504235</v>
      </c>
      <c r="M75" s="56">
        <v>21.385187907268211</v>
      </c>
      <c r="N75" s="56" cm="1">
        <f t="array" ref="N75:O75">LINEST(E51:E75,D51:D75)</f>
        <v>-4.6024615384615455</v>
      </c>
      <c r="O75" s="56">
        <v>24.231190576923083</v>
      </c>
      <c r="P75" s="56" cm="1">
        <f t="array" ref="P75:Q75">LINEST(E46:E75,D46:D75)</f>
        <v>-4.0925472747497356</v>
      </c>
      <c r="Q75" s="56">
        <v>23.784331942899531</v>
      </c>
      <c r="R75" s="56" cm="1">
        <f t="array" ref="R75:S75">LINEST(F66:F75,D66:D75)</f>
        <v>-80.116363636364426</v>
      </c>
      <c r="S75" s="56">
        <v>71.320781818182525</v>
      </c>
      <c r="T75" s="56" cm="1">
        <f t="array" ref="T75:U75">LINEST(F61:F75,D61:D75)</f>
        <v>-34.662857142857526</v>
      </c>
      <c r="U75" s="56">
        <v>31.124394047619383</v>
      </c>
      <c r="V75" s="56" cm="1">
        <f t="array" ref="V75:W75">LINEST(F56:F75,D56:D75)</f>
        <v>21.145263157894522</v>
      </c>
      <c r="W75" s="56">
        <v>-18.147102631578761</v>
      </c>
      <c r="X75" s="56" cm="1">
        <f t="array" ref="X75:Y75">LINEST(F51:F75,D51:D75)</f>
        <v>24.679384615384517</v>
      </c>
      <c r="Y75" s="56">
        <v>-21.256015897435809</v>
      </c>
      <c r="Z75" s="56" cm="1">
        <f t="array" ref="Z75:AA75">LINEST(F46:F75,D46:D75)</f>
        <v>3.6985094549498854</v>
      </c>
      <c r="AA75" s="56">
        <v>-2.8356330552465181</v>
      </c>
      <c r="AB75" s="37" cm="1">
        <f t="array" ref="AB75:AC75">LINEST(G66:G75,D66:D75)</f>
        <v>5.2799999999999248</v>
      </c>
      <c r="AC75" s="37">
        <v>-4.2384055555554898</v>
      </c>
      <c r="AD75" s="37" cm="1">
        <f t="array" ref="AD75:AE75">LINEST(G61:G75,D61:D75)</f>
        <v>19.954285714285685</v>
      </c>
      <c r="AE75" s="37">
        <v>-17.223645238095209</v>
      </c>
      <c r="AF75" s="37" cm="1">
        <f t="array" ref="AF75:AG75">LINEST(G56:G75,D56:D75)</f>
        <v>17.296240601503722</v>
      </c>
      <c r="AG75" s="37">
        <v>-14.882337406015006</v>
      </c>
      <c r="AH75" s="37" cm="1">
        <f t="array" ref="AH75:AI75">LINEST(G51:G75,D51:D75)</f>
        <v>9.969230769230732</v>
      </c>
      <c r="AI75" s="37">
        <v>-8.4337615384615052</v>
      </c>
      <c r="AJ75" s="37" cm="1">
        <f t="array" ref="AJ75:AK75">LINEST(G46:G75,D46:D75)</f>
        <v>6.2421357063403544</v>
      </c>
      <c r="AK75" s="37">
        <v>-5.1605185576566335</v>
      </c>
    </row>
    <row r="76" spans="1:37" x14ac:dyDescent="0.25">
      <c r="A76" s="61">
        <v>502</v>
      </c>
      <c r="B76" s="14">
        <f t="shared" si="1"/>
        <v>70</v>
      </c>
      <c r="C76" s="15">
        <v>43980</v>
      </c>
      <c r="D76" s="16">
        <v>0.89123842592592595</v>
      </c>
      <c r="E76" s="36">
        <v>20.260000000000002</v>
      </c>
      <c r="F76" s="36">
        <v>0.46</v>
      </c>
      <c r="G76" s="36">
        <v>0.39</v>
      </c>
      <c r="H76" s="56" cm="1">
        <f t="array" ref="H76:I76">LINEST(E67:E76,D67:D76)</f>
        <v>10.079999999999812</v>
      </c>
      <c r="I76" s="56">
        <v>11.290316666666836</v>
      </c>
      <c r="J76" s="56" cm="1">
        <f t="array" ref="J76:K76">LINEST(E62:E76,D62:D76)</f>
        <v>16.817142857142755</v>
      </c>
      <c r="K76" s="56">
        <v>5.3200827380953299</v>
      </c>
      <c r="L76" s="56" cm="1">
        <f t="array" ref="L76:M76">LINEST(E57:E76,D57:D76)</f>
        <v>1.0610526315789146</v>
      </c>
      <c r="M76" s="56">
        <v>19.249349122807047</v>
      </c>
      <c r="N76" s="56" cm="1">
        <f t="array" ref="N76:O76">LINEST(E52:E76,D52:D76)</f>
        <v>-3.3673846153846143</v>
      </c>
      <c r="O76" s="56">
        <v>23.154219487179486</v>
      </c>
      <c r="P76" s="56" cm="1">
        <f t="array" ref="P76:Q76">LINEST(E47:E76,D47:D76)</f>
        <v>-4.0044493882091219</v>
      </c>
      <c r="Q76" s="56">
        <v>23.714940674823879</v>
      </c>
      <c r="R76" s="56" cm="1">
        <f t="array" ref="R76:S76">LINEST(F67:F76,D67:D76)</f>
        <v>-84.785454545454797</v>
      </c>
      <c r="S76" s="56">
        <v>75.561145959596175</v>
      </c>
      <c r="T76" s="56" cm="1">
        <f t="array" ref="T76:U76">LINEST(F62:F76,D62:D76)</f>
        <v>-38.442857142857576</v>
      </c>
      <c r="U76" s="56">
        <v>34.497334821428957</v>
      </c>
      <c r="V76" s="56" cm="1">
        <f t="array" ref="V76:W76">LINEST(F57:F76,D57:D76)</f>
        <v>20.159999999999823</v>
      </c>
      <c r="W76" s="56">
        <v>-17.300366666666513</v>
      </c>
      <c r="X76" s="56" cm="1">
        <f t="array" ref="X76:Y76">LINEST(F52:F76,D52:D76)</f>
        <v>22.951384615384526</v>
      </c>
      <c r="Y76" s="56">
        <v>-19.756632820512745</v>
      </c>
      <c r="Z76" s="56" cm="1">
        <f t="array" ref="Z76:AA76">LINEST(F47:F76,D47:D76)</f>
        <v>6.7418909899888186</v>
      </c>
      <c r="AA76" s="56">
        <v>-5.5071914534667643</v>
      </c>
      <c r="AB76" s="37" cm="1">
        <f t="array" ref="AB76:AC76">LINEST(G67:G76,D67:D76)</f>
        <v>-1.7890909090909195</v>
      </c>
      <c r="AC76" s="37">
        <v>2.0183247474747565</v>
      </c>
      <c r="AD76" s="37" cm="1">
        <f t="array" ref="AD76:AE76">LINEST(G62:G76,D62:D76)</f>
        <v>15.351428571428544</v>
      </c>
      <c r="AE76" s="37">
        <v>-13.172533035714263</v>
      </c>
      <c r="AF76" s="37" cm="1">
        <f t="array" ref="AF76:AG76">LINEST(G57:G76,D57:D76)</f>
        <v>17.507368421052632</v>
      </c>
      <c r="AG76" s="37">
        <v>-15.082239473684211</v>
      </c>
      <c r="AH76" s="37" cm="1">
        <f t="array" ref="AH76:AI76">LINEST(G52:G76,D52:D76)</f>
        <v>10.966153846153807</v>
      </c>
      <c r="AI76" s="37">
        <v>-9.3158884615384281</v>
      </c>
      <c r="AJ76" s="37" cm="1">
        <f t="array" ref="AJ76:AK76">LINEST(G47:G76,D47:D76)</f>
        <v>6.2693659621801796</v>
      </c>
      <c r="AK76" s="37">
        <v>-5.1852417871709129</v>
      </c>
    </row>
    <row r="77" spans="1:37" x14ac:dyDescent="0.25">
      <c r="A77" s="61">
        <v>502</v>
      </c>
      <c r="B77" s="14">
        <f t="shared" si="1"/>
        <v>71</v>
      </c>
      <c r="C77" s="15">
        <v>43980</v>
      </c>
      <c r="D77" s="16">
        <v>0.89262731481481483</v>
      </c>
      <c r="E77" s="36">
        <v>20.27</v>
      </c>
      <c r="F77" s="36">
        <v>0.32</v>
      </c>
      <c r="G77" s="36">
        <v>0.38</v>
      </c>
      <c r="H77" s="56" cm="1">
        <f t="array" ref="H77:I77">LINEST(E68:E77,D68:D77)</f>
        <v>8.0290909090907725</v>
      </c>
      <c r="I77" s="56">
        <v>13.109195959596079</v>
      </c>
      <c r="J77" s="56" cm="1">
        <f t="array" ref="J77:K77">LINEST(E63:E77,D63:D77)</f>
        <v>14.45142857142848</v>
      </c>
      <c r="K77" s="56">
        <v>7.4087601190477006</v>
      </c>
      <c r="L77" s="56" cm="1">
        <f t="array" ref="L77:M77">LINEST(E58:E77,D58:D77)</f>
        <v>3.6703759398495772</v>
      </c>
      <c r="M77" s="56">
        <v>16.95015075187974</v>
      </c>
      <c r="N77" s="56" cm="1">
        <f t="array" ref="N77:O77">LINEST(E53:E77,D53:D77)</f>
        <v>-2.0935384615384756</v>
      </c>
      <c r="O77" s="56">
        <v>22.040657307692317</v>
      </c>
      <c r="P77" s="56" cm="1">
        <f t="array" ref="P77:Q77">LINEST(E48:E77,D48:D77)</f>
        <v>-3.4390211345939927</v>
      </c>
      <c r="Q77" s="56">
        <v>23.226172803114569</v>
      </c>
      <c r="R77" s="56" cm="1">
        <f t="array" ref="R77:S77">LINEST(F68:F77,D68:D77)</f>
        <v>-60.610909090909566</v>
      </c>
      <c r="S77" s="56">
        <v>54.163134848485271</v>
      </c>
      <c r="T77" s="56" cm="1">
        <f t="array" ref="T77:U77">LINEST(F63:F77,D63:D77)</f>
        <v>-44.460000000000306</v>
      </c>
      <c r="U77" s="56">
        <v>39.846627083333601</v>
      </c>
      <c r="V77" s="56" cm="1">
        <f t="array" ref="V77:W77">LINEST(F58:F77,D58:D77)</f>
        <v>14.427067669172766</v>
      </c>
      <c r="W77" s="56">
        <v>-12.269137531328175</v>
      </c>
      <c r="X77" s="56" cm="1">
        <f t="array" ref="X77:Y77">LINEST(F53:F77,D53:D77)</f>
        <v>18.686769230769162</v>
      </c>
      <c r="Y77" s="56">
        <v>-16.028874487179426</v>
      </c>
      <c r="Z77" s="56" cm="1">
        <f t="array" ref="Z77:AA77">LINEST(F48:F77,D48:D77)</f>
        <v>9.2823136818686756</v>
      </c>
      <c r="AA77" s="56">
        <v>-7.7530445865776212</v>
      </c>
      <c r="AB77" s="37" cm="1">
        <f t="array" ref="AB77:AC77">LINEST(G68:G77,D68:D77)</f>
        <v>-6.5890909090909364</v>
      </c>
      <c r="AC77" s="37">
        <v>6.2754207070707313</v>
      </c>
      <c r="AD77" s="37" cm="1">
        <f t="array" ref="AD77:AE77">LINEST(G63:G77,D63:D77)</f>
        <v>10.568571428571396</v>
      </c>
      <c r="AE77" s="37">
        <v>-8.9530455357142564</v>
      </c>
      <c r="AF77" s="37" cm="1">
        <f t="array" ref="AF77:AG77">LINEST(G58:G77,D58:D77)</f>
        <v>17.182556390977457</v>
      </c>
      <c r="AG77" s="37">
        <v>-14.810904887218054</v>
      </c>
      <c r="AH77" s="37" cm="1">
        <f t="array" ref="AH77:AI77">LINEST(G53:G77,D53:D77)</f>
        <v>11.558769230769201</v>
      </c>
      <c r="AI77" s="37">
        <v>-9.8454269871794597</v>
      </c>
      <c r="AJ77" s="37" cm="1">
        <f t="array" ref="AJ77:AK77">LINEST(G48:G77,D48:D77)</f>
        <v>6.4743937708564845</v>
      </c>
      <c r="AK77" s="37">
        <v>-5.3675002966258614</v>
      </c>
    </row>
    <row r="78" spans="1:37" x14ac:dyDescent="0.25">
      <c r="A78" s="61">
        <v>502</v>
      </c>
      <c r="B78" s="14">
        <f t="shared" si="1"/>
        <v>72</v>
      </c>
      <c r="C78" s="15">
        <v>43980</v>
      </c>
      <c r="D78" s="16">
        <v>0.89401620370370372</v>
      </c>
      <c r="E78" s="36">
        <v>19.93</v>
      </c>
      <c r="F78" s="36">
        <v>0.32</v>
      </c>
      <c r="G78" s="36">
        <v>0.38</v>
      </c>
      <c r="H78" s="56" cm="1">
        <f t="array" ref="H78:I78">LINEST(E69:E78,D69:D78)</f>
        <v>-7.7236363636363699</v>
      </c>
      <c r="I78" s="56">
        <v>27.061783333333342</v>
      </c>
      <c r="J78" s="56" cm="1">
        <f t="array" ref="J78:K78">LINEST(E64:E78,D64:D78)</f>
        <v>6.2999999999999234</v>
      </c>
      <c r="K78" s="56">
        <v>14.593614583333403</v>
      </c>
      <c r="L78" s="56" cm="1">
        <f t="array" ref="L78:M78">LINEST(E59:E78,D59:D78)</f>
        <v>2.5064661654134768</v>
      </c>
      <c r="M78" s="56">
        <v>17.951750062656693</v>
      </c>
      <c r="N78" s="56" cm="1">
        <f t="array" ref="N78:O78">LINEST(E54:E78,D54:D78)</f>
        <v>-3.0461538461538726</v>
      </c>
      <c r="O78" s="56">
        <v>22.863341666666688</v>
      </c>
      <c r="P78" s="56" cm="1">
        <f t="array" ref="P78:Q78">LINEST(E49:E78,D49:D78)</f>
        <v>-4.4929922135706386</v>
      </c>
      <c r="Q78" s="56">
        <v>24.13999063774564</v>
      </c>
      <c r="R78" s="56" cm="1">
        <f t="array" ref="R78:S78">LINEST(F69:F78,D69:D78)</f>
        <v>-62.83636363636387</v>
      </c>
      <c r="S78" s="56">
        <v>56.206000000000209</v>
      </c>
      <c r="T78" s="56" cm="1">
        <f t="array" ref="T78:U78">LINEST(F64:F78,D64:D78)</f>
        <v>-49.834285714286075</v>
      </c>
      <c r="U78" s="56">
        <v>44.644158928571748</v>
      </c>
      <c r="V78" s="56" cm="1">
        <f t="array" ref="V78:W78">LINEST(F59:F78,D59:D78)</f>
        <v>-0.55218045112795811</v>
      </c>
      <c r="W78" s="56">
        <v>0.96137255639109953</v>
      </c>
      <c r="X78" s="56" cm="1">
        <f t="array" ref="X78:Y78">LINEST(F54:F78,D54:D78)</f>
        <v>17.113846153846072</v>
      </c>
      <c r="Y78" s="56">
        <v>-14.667624999999926</v>
      </c>
      <c r="Z78" s="56" cm="1">
        <f t="array" ref="Z78:AA78">LINEST(F49:F78,D49:D78)</f>
        <v>12.014949944382586</v>
      </c>
      <c r="AA78" s="56">
        <v>-10.173925528364796</v>
      </c>
      <c r="AB78" s="37" cm="1">
        <f t="array" ref="AB78:AC78">LINEST(G69:G78,D69:D78)</f>
        <v>-10.909090909090866</v>
      </c>
      <c r="AC78" s="37">
        <v>10.118722222222184</v>
      </c>
      <c r="AD78" s="37" cm="1">
        <f t="array" ref="AD78:AE78">LINEST(G64:G78,D64:D78)</f>
        <v>5.9142857142856808</v>
      </c>
      <c r="AE78" s="37">
        <v>-4.8366339285713993</v>
      </c>
      <c r="AF78" s="37" cm="1">
        <f t="array" ref="AF78:AG78">LINEST(G59:G78,D59:D78)</f>
        <v>15.845413533834575</v>
      </c>
      <c r="AG78" s="37">
        <v>-13.643485025062649</v>
      </c>
      <c r="AH78" s="37" cm="1">
        <f t="array" ref="AH78:AI78">LINEST(G54:G78,D54:D78)</f>
        <v>12.012923076923045</v>
      </c>
      <c r="AI78" s="37">
        <v>-10.254732499999971</v>
      </c>
      <c r="AJ78" s="37" cm="1">
        <f t="array" ref="AJ78:AK78">LINEST(G49:G78,D49:D78)</f>
        <v>6.9260956618464746</v>
      </c>
      <c r="AK78" s="37">
        <v>-5.7678912124582684</v>
      </c>
    </row>
    <row r="79" spans="1:37" x14ac:dyDescent="0.25">
      <c r="A79" s="61">
        <v>502</v>
      </c>
      <c r="B79" s="14">
        <f t="shared" si="1"/>
        <v>73</v>
      </c>
      <c r="C79" s="15">
        <v>43980</v>
      </c>
      <c r="D79" s="16">
        <v>0.8954050925925926</v>
      </c>
      <c r="E79" s="36">
        <v>19.98</v>
      </c>
      <c r="F79" s="36">
        <v>0.32</v>
      </c>
      <c r="G79" s="36">
        <v>0.37</v>
      </c>
      <c r="H79" s="56" cm="1">
        <f t="array" ref="H79:I79">LINEST(E70:E79,D70:D79)</f>
        <v>-17.279999999999944</v>
      </c>
      <c r="I79" s="56">
        <v>35.548599999999951</v>
      </c>
      <c r="J79" s="56" cm="1">
        <f t="array" ref="J79:K79">LINEST(E65:E79,D65:D79)</f>
        <v>-0.20571428571429945</v>
      </c>
      <c r="K79" s="56">
        <v>20.344864285714301</v>
      </c>
      <c r="L79" s="56" cm="1">
        <f t="array" ref="L79:M79">LINEST(E60:E79,D60:D79)</f>
        <v>1.8027067669172594</v>
      </c>
      <c r="M79" s="56">
        <v>18.555132894736875</v>
      </c>
      <c r="N79" s="56" cm="1">
        <f t="array" ref="N79:O79">LINEST(E55:E79,D55:D79)</f>
        <v>-3.660923076923094</v>
      </c>
      <c r="O79" s="56">
        <v>23.394993782051298</v>
      </c>
      <c r="P79" s="56" cm="1">
        <f t="array" ref="P79:Q79">LINEST(E50:E79,D50:D79)</f>
        <v>-5.1497219132369265</v>
      </c>
      <c r="Q79" s="56">
        <v>24.710377549128655</v>
      </c>
      <c r="R79" s="56" cm="1">
        <f t="array" ref="R79:S79">LINEST(F70:F79,D70:D79)</f>
        <v>-20.378181818182046</v>
      </c>
      <c r="S79" s="56">
        <v>18.434364141414346</v>
      </c>
      <c r="T79" s="56" cm="1">
        <f t="array" ref="T79:U79">LINEST(F65:F79,D65:D79)</f>
        <v>-54.565714285714535</v>
      </c>
      <c r="U79" s="56">
        <v>48.887251785714511</v>
      </c>
      <c r="V79" s="56" cm="1">
        <f t="array" ref="V79:W79">LINEST(F60:F79,D60:D79)</f>
        <v>-20.733834586466379</v>
      </c>
      <c r="W79" s="56">
        <v>18.840609649122996</v>
      </c>
      <c r="X79" s="56" cm="1">
        <f t="array" ref="X79:Y79">LINEST(F55:F79,D55:D79)</f>
        <v>8.0252307692306619</v>
      </c>
      <c r="Y79" s="56">
        <v>-6.6564786538460581</v>
      </c>
      <c r="Z79" s="56" cm="1">
        <f t="array" ref="Z79:AA79">LINEST(F50:F79,D50:D79)</f>
        <v>11.066696329254667</v>
      </c>
      <c r="AA79" s="56">
        <v>-9.354638616981779</v>
      </c>
      <c r="AB79" s="37" cm="1">
        <f t="array" ref="AB79:AC79">LINEST(G70:G79,D70:D79)</f>
        <v>-11.694545454545471</v>
      </c>
      <c r="AC79" s="37">
        <v>10.822264646464662</v>
      </c>
      <c r="AD79" s="37" cm="1">
        <f t="array" ref="AD79:AE79">LINEST(G65:G79,D65:D79)</f>
        <v>1.1057142857142754</v>
      </c>
      <c r="AE79" s="37">
        <v>-0.57331220238094338</v>
      </c>
      <c r="AF79" s="37" cm="1">
        <f t="array" ref="AF79:AG79">LINEST(G60:G79,D60:D79)</f>
        <v>12.976240601503749</v>
      </c>
      <c r="AG79" s="37">
        <v>-11.116277631578939</v>
      </c>
      <c r="AH79" s="37" cm="1">
        <f t="array" ref="AH79:AI79">LINEST(G55:G79,D55:D79)</f>
        <v>11.680615384615367</v>
      </c>
      <c r="AI79" s="37">
        <v>-9.9710055769230586</v>
      </c>
      <c r="AJ79" s="37" cm="1">
        <f t="array" ref="AJ79:AK79">LINEST(G50:G79,D50:D79)</f>
        <v>7.2496551724137719</v>
      </c>
      <c r="AK79" s="37">
        <v>-6.0573781609195221</v>
      </c>
    </row>
    <row r="80" spans="1:37" x14ac:dyDescent="0.25">
      <c r="A80" s="61">
        <v>502</v>
      </c>
      <c r="B80" s="14">
        <f t="shared" si="1"/>
        <v>74</v>
      </c>
      <c r="C80" s="15">
        <v>43980</v>
      </c>
      <c r="D80" s="16">
        <v>0.89679398148148148</v>
      </c>
      <c r="E80" s="36">
        <v>19.989999999999998</v>
      </c>
      <c r="F80" s="36">
        <v>0.32</v>
      </c>
      <c r="G80" s="36">
        <v>0.37</v>
      </c>
      <c r="H80" s="56" cm="1">
        <f t="array" ref="H80:I80">LINEST(E71:E80,D71:D80)</f>
        <v>-23.650909090908979</v>
      </c>
      <c r="I80" s="56">
        <v>41.224174747474649</v>
      </c>
      <c r="J80" s="56" cm="1">
        <f t="array" ref="J80:K80">LINEST(E66:E80,D66:D80)</f>
        <v>-5.2200000000000371</v>
      </c>
      <c r="K80" s="56">
        <v>24.787847916666703</v>
      </c>
      <c r="L80" s="56" cm="1">
        <f t="array" ref="L80:M80">LINEST(E61:E80,D61:D80)</f>
        <v>1.6186466165412885</v>
      </c>
      <c r="M80" s="56">
        <v>18.701264598997554</v>
      </c>
      <c r="N80" s="56" cm="1">
        <f t="array" ref="N80:O80">LINEST(E56:E80,D56:D80)</f>
        <v>-3.8880000000000234</v>
      </c>
      <c r="O80" s="56">
        <v>23.586735000000019</v>
      </c>
      <c r="P80" s="56" cm="1">
        <f t="array" ref="P80:Q80">LINEST(E51:E80,D51:D80)</f>
        <v>-5.4588654060066757</v>
      </c>
      <c r="Q80" s="56">
        <v>24.976875491286616</v>
      </c>
      <c r="R80" s="56" cm="1">
        <f t="array" ref="R80:S80">LINEST(F71:F80,D71:D80)</f>
        <v>-1.7018181818184854</v>
      </c>
      <c r="S80" s="56">
        <v>1.79254393939421</v>
      </c>
      <c r="T80" s="56" cm="1">
        <f t="array" ref="T80:U80">LINEST(F66:F80,D66:D80)</f>
        <v>-36.02571428571455</v>
      </c>
      <c r="U80" s="56">
        <v>32.426727083333567</v>
      </c>
      <c r="V80" s="56" cm="1">
        <f t="array" ref="V80:W80">LINEST(F61:F80,D61:D80)</f>
        <v>-25.806315789473842</v>
      </c>
      <c r="W80" s="56">
        <v>23.351948684210662</v>
      </c>
      <c r="X80" s="56" cm="1">
        <f t="array" ref="X80:Y80">LINEST(F56:F80,D56:D80)</f>
        <v>9.4984615384614433</v>
      </c>
      <c r="Y80" s="56">
        <v>-7.9782554487178645</v>
      </c>
      <c r="Z80" s="56" cm="1">
        <f t="array" ref="Z80:AA80">LINEST(F51:F80,D51:D80)</f>
        <v>15.274571746384833</v>
      </c>
      <c r="AA80" s="56">
        <v>-13.087864441972528</v>
      </c>
      <c r="AB80" s="37" cm="1">
        <f t="array" ref="AB80:AC80">LINEST(G71:G80,D71:D80)</f>
        <v>-10.647272727272737</v>
      </c>
      <c r="AC80" s="37">
        <v>9.8938646464646567</v>
      </c>
      <c r="AD80" s="37" cm="1">
        <f t="array" ref="AD80:AE80">LINEST(G66:G80,D66:D80)</f>
        <v>-1.7228571428571615</v>
      </c>
      <c r="AE80" s="37">
        <v>1.93896458333335</v>
      </c>
      <c r="AF80" s="37" cm="1">
        <f t="array" ref="AF80:AG80">LINEST(G61:G80,D61:D80)</f>
        <v>9.9446616541353272</v>
      </c>
      <c r="AG80" s="37">
        <v>-8.4385984335839499</v>
      </c>
      <c r="AH80" s="37" cm="1">
        <f t="array" ref="AH80:AI80">LINEST(G56:G80,D56:D80)</f>
        <v>11.519999999999987</v>
      </c>
      <c r="AI80" s="37">
        <v>-9.8390666666666533</v>
      </c>
      <c r="AJ80" s="37" cm="1">
        <f t="array" ref="AJ80:AK80">LINEST(G51:G80,D51:D80)</f>
        <v>7.8887652947719547</v>
      </c>
      <c r="AK80" s="37">
        <v>-6.6267262699295388</v>
      </c>
    </row>
    <row r="81" spans="1:37" x14ac:dyDescent="0.25">
      <c r="A81" s="61">
        <v>502</v>
      </c>
      <c r="B81" s="14">
        <f t="shared" si="1"/>
        <v>75</v>
      </c>
      <c r="C81" s="15">
        <v>43980</v>
      </c>
      <c r="D81" s="16">
        <v>0.89818287037037037</v>
      </c>
      <c r="E81" s="36">
        <v>19.98</v>
      </c>
      <c r="F81" s="36">
        <v>-0.25</v>
      </c>
      <c r="G81" s="36">
        <v>0.32</v>
      </c>
      <c r="H81" s="56" cm="1">
        <f t="array" ref="H81:I81">LINEST(E72:E81,D72:D81)</f>
        <v>-27.53454545454542</v>
      </c>
      <c r="I81" s="56">
        <v>44.695966161616127</v>
      </c>
      <c r="J81" s="56" cm="1">
        <f t="array" ref="J81:K81">LINEST(E67:E81,D67:D81)</f>
        <v>-10.002857142857167</v>
      </c>
      <c r="K81" s="56">
        <v>29.037811607142881</v>
      </c>
      <c r="L81" s="56" cm="1">
        <f t="array" ref="L81:M81">LINEST(E62:E81,D62:D81)</f>
        <v>1.8622556390976857</v>
      </c>
      <c r="M81" s="56">
        <v>18.467925313283263</v>
      </c>
      <c r="N81" s="56" cm="1">
        <f t="array" ref="N81:O81">LINEST(E57:E81,D57:D81)</f>
        <v>-3.9267692307692612</v>
      </c>
      <c r="O81" s="56">
        <v>23.61231070512823</v>
      </c>
      <c r="P81" s="56" cm="1">
        <f t="array" ref="P81:Q81">LINEST(E52:E81,D52:D81)</f>
        <v>-5.702335928809787</v>
      </c>
      <c r="Q81" s="56">
        <v>25.18623507601038</v>
      </c>
      <c r="R81" s="56" cm="1">
        <f t="array" ref="R81:S81">LINEST(F72:F81,D72:D81)</f>
        <v>-1.1345454545454594</v>
      </c>
      <c r="S81" s="56">
        <v>1.1919383838383881</v>
      </c>
      <c r="T81" s="56" cm="1">
        <f t="array" ref="T81:U81">LINEST(F67:F81,D67:D81)</f>
        <v>-48.548571428571613</v>
      </c>
      <c r="U81" s="56">
        <v>43.553495238095408</v>
      </c>
      <c r="V81" s="56" cm="1">
        <f t="array" ref="V81:W81">LINEST(F62:F81,D62:D81)</f>
        <v>-33.796691729323506</v>
      </c>
      <c r="W81" s="56">
        <v>30.418181015037767</v>
      </c>
      <c r="X81" s="56" cm="1">
        <f t="array" ref="X81:Y81">LINEST(F57:F81,D57:D81)</f>
        <v>4.2812307692306701</v>
      </c>
      <c r="Y81" s="56">
        <v>-3.4119742948717073</v>
      </c>
      <c r="Z81" s="56" cm="1">
        <f t="array" ref="Z81:AA81">LINEST(F52:F81,D52:D81)</f>
        <v>10.70789766407116</v>
      </c>
      <c r="AA81" s="56">
        <v>-9.1043384315906302</v>
      </c>
      <c r="AB81" s="37" cm="1">
        <f t="array" ref="AB81:AC81">LINEST(G72:G81,D72:D81)</f>
        <v>-10.036363636363669</v>
      </c>
      <c r="AC81" s="37">
        <v>9.3457626262626565</v>
      </c>
      <c r="AD81" s="37" cm="1">
        <f t="array" ref="AD81:AE81">LINEST(G67:G81,D67:D81)</f>
        <v>-5.4257142857142826</v>
      </c>
      <c r="AE81" s="37">
        <v>5.2318669642857119</v>
      </c>
      <c r="AF81" s="37" cm="1">
        <f t="array" ref="AF81:AG81">LINEST(G62:G81,D62:D81)</f>
        <v>6.4854135338345742</v>
      </c>
      <c r="AG81" s="37">
        <v>-5.3785159147869566</v>
      </c>
      <c r="AH81" s="37" cm="1">
        <f t="array" ref="AH81:AI81">LINEST(G57:G81,D57:D81)</f>
        <v>10.932923076923077</v>
      </c>
      <c r="AI81" s="37">
        <v>-9.3327488461538444</v>
      </c>
      <c r="AJ81" s="37" cm="1">
        <f t="array" ref="AJ81:AK81">LINEST(G52:G81,D52:D81)</f>
        <v>8.0873859844271259</v>
      </c>
      <c r="AK81" s="37">
        <v>-6.8114139228772572</v>
      </c>
    </row>
    <row r="82" spans="1:37" x14ac:dyDescent="0.25">
      <c r="A82" s="61">
        <v>502</v>
      </c>
      <c r="B82" s="14">
        <f t="shared" si="1"/>
        <v>76</v>
      </c>
      <c r="C82" s="15">
        <v>43980</v>
      </c>
      <c r="D82" s="16">
        <v>0.89957175925925925</v>
      </c>
      <c r="E82" s="36">
        <v>20.02</v>
      </c>
      <c r="F82" s="36">
        <v>1.35</v>
      </c>
      <c r="G82" s="36">
        <v>0.4</v>
      </c>
      <c r="H82" s="56" cm="1">
        <f t="array" ref="H82:I82">LINEST(E73:E82,D73:D82)</f>
        <v>-27.185454545454547</v>
      </c>
      <c r="I82" s="56">
        <v>44.40035808080809</v>
      </c>
      <c r="J82" s="56" cm="1">
        <f t="array" ref="J82:K82">LINEST(E68:E82,D68:D82)</f>
        <v>-12.985714285714327</v>
      </c>
      <c r="K82" s="56">
        <v>31.699331845238131</v>
      </c>
      <c r="L82" s="56" cm="1">
        <f t="array" ref="L82:M82">LINEST(E63:E82,D63:D82)</f>
        <v>-1.3533834586466518</v>
      </c>
      <c r="M82" s="56">
        <v>21.320608395990007</v>
      </c>
      <c r="N82" s="56" cm="1">
        <f t="array" ref="N82:O82">LINEST(E58:E82,D58:D82)</f>
        <v>-3.5058461538461976</v>
      </c>
      <c r="O82" s="56">
        <v>23.233729423076962</v>
      </c>
      <c r="P82" s="56" cm="1">
        <f t="array" ref="P82:Q82">LINEST(E53:E82,D53:D82)</f>
        <v>-5.6943270300333797</v>
      </c>
      <c r="Q82" s="56">
        <v>25.176778364849838</v>
      </c>
      <c r="R82" s="56" cm="1">
        <f t="array" ref="R82:S82">LINEST(F73:F82,D73:D82)</f>
        <v>49.134545454545623</v>
      </c>
      <c r="S82" s="56">
        <v>-43.604958585858739</v>
      </c>
      <c r="T82" s="56" cm="1">
        <f t="array" ref="T82:U82">LINEST(F68:F82,D68:D82)</f>
        <v>-15.762857142857365</v>
      </c>
      <c r="U82" s="56">
        <v>14.456571130952579</v>
      </c>
      <c r="V82" s="56" cm="1">
        <f t="array" ref="V82:W82">LINEST(F63:F82,D63:D82)</f>
        <v>-24.442105263158055</v>
      </c>
      <c r="W82" s="56">
        <v>22.212427631579089</v>
      </c>
      <c r="X82" s="56" cm="1">
        <f t="array" ref="X82:Y82">LINEST(F58:F82,D58:D82)</f>
        <v>8.0252307692306832</v>
      </c>
      <c r="Y82" s="56">
        <v>-6.6683171153845384</v>
      </c>
      <c r="Z82" s="56" cm="1">
        <f t="array" ref="Z82:AA82">LINEST(F53:F82,D53:D82)</f>
        <v>12.72774193548384</v>
      </c>
      <c r="AA82" s="56">
        <v>-10.841194623655886</v>
      </c>
      <c r="AB82" s="37" cm="1">
        <f t="array" ref="AB82:AC82">LINEST(G73:G82,D73:D82)</f>
        <v>-5.1927272727272893</v>
      </c>
      <c r="AC82" s="37">
        <v>5.023776262626277</v>
      </c>
      <c r="AD82" s="37" cm="1">
        <f t="array" ref="AD82:AE82">LINEST(G68:G82,D68:D82)</f>
        <v>-6.2742857142857318</v>
      </c>
      <c r="AE82" s="37">
        <v>5.9958369047619202</v>
      </c>
      <c r="AF82" s="37" cm="1">
        <f t="array" ref="AF82:AG82">LINEST(G63:G82,D63:D82)</f>
        <v>4.0330827067669119</v>
      </c>
      <c r="AG82" s="37">
        <v>-3.1993330200501204</v>
      </c>
      <c r="AH82" s="37" cm="1">
        <f t="array" ref="AH82:AI82">LINEST(G58:G82,D58:D82)</f>
        <v>10.667076923076932</v>
      </c>
      <c r="AI82" s="37">
        <v>-9.1044165384615461</v>
      </c>
      <c r="AJ82" s="37" cm="1">
        <f t="array" ref="AJ82:AK82">LINEST(G53:G82,D53:D82)</f>
        <v>8.4525917686318035</v>
      </c>
      <c r="AK82" s="37">
        <v>-7.1391537078234988</v>
      </c>
    </row>
    <row r="83" spans="1:37" x14ac:dyDescent="0.25">
      <c r="A83" s="61">
        <v>502</v>
      </c>
      <c r="B83" s="14">
        <f t="shared" si="1"/>
        <v>77</v>
      </c>
      <c r="C83" s="15">
        <v>43980</v>
      </c>
      <c r="D83" s="16">
        <v>0.90096064814814814</v>
      </c>
      <c r="E83" s="36">
        <v>20.03</v>
      </c>
      <c r="F83" s="36">
        <v>0.17</v>
      </c>
      <c r="G83" s="36">
        <v>0.38</v>
      </c>
      <c r="H83" s="56" cm="1">
        <f t="array" ref="H83:I83">LINEST(E74:E83,D74:D83)</f>
        <v>-24.523636363636349</v>
      </c>
      <c r="I83" s="56">
        <v>42.035558585858574</v>
      </c>
      <c r="J83" s="56" cm="1">
        <f t="array" ref="J83:K83">LINEST(E69:E83,D69:D83)</f>
        <v>-15.119999999999981</v>
      </c>
      <c r="K83" s="56">
        <v>33.612191666666646</v>
      </c>
      <c r="L83" s="56" cm="1">
        <f t="array" ref="L83:M83">LINEST(E64:E83,D64:D83)</f>
        <v>-3.8923308270676933</v>
      </c>
      <c r="M83" s="56">
        <v>23.578979761904783</v>
      </c>
      <c r="N83" s="56" cm="1">
        <f t="array" ref="N83:O83">LINEST(E59:E83,D59:D83)</f>
        <v>-3.0627692307692631</v>
      </c>
      <c r="O83" s="56">
        <v>22.835988397435926</v>
      </c>
      <c r="P83" s="56" cm="1">
        <f t="array" ref="P83:Q83">LINEST(E54:E83,D54:D83)</f>
        <v>-5.5405561735261513</v>
      </c>
      <c r="Q83" s="56">
        <v>25.039242436040052</v>
      </c>
      <c r="R83" s="56" cm="1">
        <f t="array" ref="R83:S83">LINEST(F74:F83,D74:D83)</f>
        <v>34.036363636363745</v>
      </c>
      <c r="S83" s="56">
        <v>-30.154696969697071</v>
      </c>
      <c r="T83" s="56" cm="1">
        <f t="array" ref="T83:U83">LINEST(F69:F83,D69:D83)</f>
        <v>-19.208571428571627</v>
      </c>
      <c r="U83" s="56">
        <v>17.528083630952558</v>
      </c>
      <c r="V83" s="56" cm="1">
        <f t="array" ref="V83:W83">LINEST(F64:F83,D64:D83)</f>
        <v>-28.069172932331018</v>
      </c>
      <c r="W83" s="56">
        <v>25.446363095238265</v>
      </c>
      <c r="X83" s="56" cm="1">
        <f t="array" ref="X83:Y83">LINEST(F59:F83,D59:D83)</f>
        <v>-2.4535384615385385</v>
      </c>
      <c r="Y83" s="56">
        <v>2.626049294871863</v>
      </c>
      <c r="Z83" s="56" cm="1">
        <f t="array" ref="Z83:AA83">LINEST(F54:F83,D54:D83)</f>
        <v>10.829632925472708</v>
      </c>
      <c r="AA83" s="56">
        <v>-9.1859763255468696</v>
      </c>
      <c r="AB83" s="37" cm="1">
        <f t="array" ref="AB83:AC83">LINEST(G74:G83,D74:D83)</f>
        <v>-2.2690909090909153</v>
      </c>
      <c r="AC83" s="37">
        <v>2.4081797979798036</v>
      </c>
      <c r="AD83" s="37" cm="1">
        <f t="array" ref="AD83:AE83">LINEST(G69:G83,D69:D83)</f>
        <v>-7.3285714285714345</v>
      </c>
      <c r="AE83" s="37">
        <v>6.94350446428572</v>
      </c>
      <c r="AF83" s="37" cm="1">
        <f t="array" ref="AF83:AG83">LINEST(G64:G83,D64:D83)</f>
        <v>1.5157894736841995</v>
      </c>
      <c r="AG83" s="37">
        <v>-0.95866666666665679</v>
      </c>
      <c r="AH83" s="37" cm="1">
        <f t="array" ref="AH83:AI83">LINEST(G59:G83,D59:D83)</f>
        <v>9.6424615384615393</v>
      </c>
      <c r="AI83" s="37">
        <v>-8.2023707051282049</v>
      </c>
      <c r="AJ83" s="37" cm="1">
        <f t="array" ref="AJ83:AK83">LINEST(G54:G83,D54:D83)</f>
        <v>8.6303893214682876</v>
      </c>
      <c r="AK83" s="37">
        <v>-7.3031680385613544</v>
      </c>
    </row>
    <row r="84" spans="1:37" x14ac:dyDescent="0.25">
      <c r="A84" s="61">
        <v>502</v>
      </c>
      <c r="B84" s="14">
        <f t="shared" si="1"/>
        <v>78</v>
      </c>
      <c r="C84" s="15">
        <v>43980</v>
      </c>
      <c r="D84" s="16">
        <v>0.90234953703703702</v>
      </c>
      <c r="E84" s="36">
        <v>20.03</v>
      </c>
      <c r="F84" s="36">
        <v>-0.02</v>
      </c>
      <c r="G84" s="36">
        <v>0.35</v>
      </c>
      <c r="H84" s="56" cm="1">
        <f t="array" ref="H84:I84">LINEST(E75:E84,D75:D84)</f>
        <v>-20.029090909090883</v>
      </c>
      <c r="I84" s="56">
        <v>38.021059090909063</v>
      </c>
      <c r="J84" s="56" cm="1">
        <f t="array" ref="J84:K84">LINEST(E70:E84,D70:D84)</f>
        <v>-15.942857142857115</v>
      </c>
      <c r="K84" s="56">
        <v>34.357029761904734</v>
      </c>
      <c r="L84" s="56" cm="1">
        <f t="array" ref="L84:M84">LINEST(E65:E84,D65:D84)</f>
        <v>-6.1443609022556229</v>
      </c>
      <c r="M84" s="56">
        <v>25.587789786967406</v>
      </c>
      <c r="N84" s="56" cm="1">
        <f t="array" ref="N84:O84">LINEST(E60:E84,D60:D84)</f>
        <v>-2.7581538461538599</v>
      </c>
      <c r="O84" s="56">
        <v>22.561249615384629</v>
      </c>
      <c r="P84" s="56" cm="1">
        <f t="array" ref="P84:Q84">LINEST(E55:E84,D55:D84)</f>
        <v>-5.4396440489432765</v>
      </c>
      <c r="Q84" s="56">
        <v>24.948911902113458</v>
      </c>
      <c r="R84" s="56" cm="1">
        <f t="array" ref="R84:S84">LINEST(F75:F84,D75:D84)</f>
        <v>3.4036363636363762</v>
      </c>
      <c r="S84" s="56">
        <v>-2.7459969696969804</v>
      </c>
      <c r="T84" s="56" cm="1">
        <f t="array" ref="T84:U84">LINEST(F70:F84,D70:D84)</f>
        <v>-6.7371428571429437</v>
      </c>
      <c r="U84" s="56">
        <v>6.3284244047619822</v>
      </c>
      <c r="V84" s="56" cm="1">
        <f t="array" ref="V84:W84">LINEST(F65:F84,D65:D84)</f>
        <v>-33.217443609022723</v>
      </c>
      <c r="W84" s="56">
        <v>30.033459147869824</v>
      </c>
      <c r="X84" s="56" cm="1">
        <f t="array" ref="X84:Y84">LINEST(F60:F84,D60:D84)</f>
        <v>-17.257846153846273</v>
      </c>
      <c r="Y84" s="56">
        <v>15.786978717948825</v>
      </c>
      <c r="Z84" s="56" cm="1">
        <f t="array" ref="Z84:AA84">LINEST(F55:F84,D55:D84)</f>
        <v>2.924849833147892</v>
      </c>
      <c r="AA84" s="56">
        <v>-2.1983336670374043</v>
      </c>
      <c r="AB84" s="37" cm="1">
        <f t="array" ref="AB84:AC84">LINEST(G75:G84,D75:D84)</f>
        <v>-1.832727272727281</v>
      </c>
      <c r="AC84" s="37">
        <v>2.0143060606060676</v>
      </c>
      <c r="AD84" s="37" cm="1">
        <f t="array" ref="AD84:AE84">LINEST(G70:G84,D70:D84)</f>
        <v>-7.251428571428594</v>
      </c>
      <c r="AE84" s="37">
        <v>6.8768232142857348</v>
      </c>
      <c r="AF84" s="37" cm="1">
        <f t="array" ref="AF84:AG84">LINEST(G65:G84,D65:D84)</f>
        <v>-1.2180451127819572</v>
      </c>
      <c r="AG84" s="37">
        <v>1.4785310150375961</v>
      </c>
      <c r="AH84" s="37" cm="1">
        <f t="array" ref="AH84:AI84">LINEST(G60:G84,D60:D84)</f>
        <v>7.5489230769230744</v>
      </c>
      <c r="AI84" s="37">
        <v>-6.3479518589743567</v>
      </c>
      <c r="AJ84" s="37" cm="1">
        <f t="array" ref="AJ84:AK84">LINEST(G55:G84,D55:D84)</f>
        <v>8.1802892102335925</v>
      </c>
      <c r="AK84" s="37">
        <v>-6.9117382461994792</v>
      </c>
    </row>
    <row r="85" spans="1:37" x14ac:dyDescent="0.25">
      <c r="A85" s="61">
        <v>502</v>
      </c>
      <c r="B85" s="14">
        <f t="shared" si="1"/>
        <v>79</v>
      </c>
      <c r="C85" s="15">
        <v>43980</v>
      </c>
      <c r="D85" s="16">
        <v>0.9037384259259259</v>
      </c>
      <c r="E85" s="36">
        <v>20.02</v>
      </c>
      <c r="F85" s="36">
        <v>-0.27</v>
      </c>
      <c r="G85" s="36">
        <v>0.3</v>
      </c>
      <c r="H85" s="56" cm="1">
        <f t="array" ref="H85:I85">LINEST(E76:E85,D76:D85)</f>
        <v>-14.094545454545512</v>
      </c>
      <c r="I85" s="56">
        <v>32.700691414141467</v>
      </c>
      <c r="J85" s="56" cm="1">
        <f t="array" ref="J85:K85">LINEST(E71:E85,D71:D85)</f>
        <v>-16.122857142857089</v>
      </c>
      <c r="K85" s="56">
        <v>34.527428869047569</v>
      </c>
      <c r="L85" s="56" cm="1">
        <f t="array" ref="L85:M85">LINEST(E66:E85,D66:D85)</f>
        <v>-7.8387969924811998</v>
      </c>
      <c r="M85" s="56">
        <v>27.102793483709274</v>
      </c>
      <c r="N85" s="56" cm="1">
        <f t="array" ref="N85:O85">LINEST(E61:E85,D61:D85)</f>
        <v>-2.3206153846154054</v>
      </c>
      <c r="O85" s="56">
        <v>22.166952371794892</v>
      </c>
      <c r="P85" s="56" cm="1">
        <f t="array" ref="P85:Q85">LINEST(E56:E85,D56:D85)</f>
        <v>-5.1993770856507293</v>
      </c>
      <c r="Q85" s="56">
        <v>24.734167185761962</v>
      </c>
      <c r="R85" s="56" cm="1">
        <f t="array" ref="R85:S85">LINEST(F76:F85,D76:D85)</f>
        <v>-31.330909090909199</v>
      </c>
      <c r="S85" s="56">
        <v>28.39112828282838</v>
      </c>
      <c r="T85" s="56" cm="1">
        <f t="array" ref="T85:U85">LINEST(F71:F85,D71:D85)</f>
        <v>-9.3342857142857998</v>
      </c>
      <c r="U85" s="56">
        <v>8.5950026785715057</v>
      </c>
      <c r="V85" s="56" cm="1">
        <f t="array" ref="V85:W85">LINEST(F66:F85,D66:D85)</f>
        <v>-27.793082706767056</v>
      </c>
      <c r="W85" s="56">
        <v>25.151962531328447</v>
      </c>
      <c r="X85" s="56" cm="1">
        <f t="array" ref="X85:Y85">LINEST(F61:F85,D61:D85)</f>
        <v>-23.771076923077032</v>
      </c>
      <c r="Y85" s="56">
        <v>21.565451025641121</v>
      </c>
      <c r="Z85" s="56" cm="1">
        <f t="array" ref="Z85:AA85">LINEST(F56:F85,D56:D85)</f>
        <v>1.3262736373748092</v>
      </c>
      <c r="AA85" s="56">
        <v>-0.82122810530214196</v>
      </c>
      <c r="AB85" s="37" cm="1">
        <f t="array" ref="AB85:AC85">LINEST(G76:G85,D76:D85)</f>
        <v>-4.2763636363636524</v>
      </c>
      <c r="AC85" s="37">
        <v>4.2019868686868831</v>
      </c>
      <c r="AD85" s="37" cm="1">
        <f t="array" ref="AD85:AE85">LINEST(G71:G85,D71:D85)</f>
        <v>-7.3542857142857319</v>
      </c>
      <c r="AE85" s="37">
        <v>6.9661839285714446</v>
      </c>
      <c r="AF85" s="37" cm="1">
        <f t="array" ref="AF85:AG85">LINEST(G66:G85,D66:D85)</f>
        <v>-3.2860150375939954</v>
      </c>
      <c r="AG85" s="37">
        <v>3.3218409147869772</v>
      </c>
      <c r="AH85" s="37" cm="1">
        <f t="array" ref="AH85:AI85">LINEST(G61:G85,D61:D85)</f>
        <v>5.0787692307692316</v>
      </c>
      <c r="AI85" s="37">
        <v>-4.1564327564102568</v>
      </c>
      <c r="AJ85" s="37" cm="1">
        <f t="array" ref="AJ85:AK85">LINEST(G56:G85,D56:D85)</f>
        <v>7.6356840934371535</v>
      </c>
      <c r="AK85" s="37">
        <v>-6.4385535965888039</v>
      </c>
    </row>
    <row r="86" spans="1:37" x14ac:dyDescent="0.25">
      <c r="A86" s="61">
        <v>502</v>
      </c>
      <c r="B86" s="14">
        <f t="shared" si="1"/>
        <v>80</v>
      </c>
      <c r="C86" s="15">
        <v>43980</v>
      </c>
      <c r="D86" s="16">
        <v>0.90512731481481479</v>
      </c>
      <c r="E86" s="36">
        <v>20.059999999999999</v>
      </c>
      <c r="F86" s="36">
        <v>1.1299999999999999</v>
      </c>
      <c r="G86" s="36">
        <v>0.37</v>
      </c>
      <c r="H86" s="56" cm="1">
        <f t="array" ref="H86:I86">LINEST(E77:E86,D77:D86)</f>
        <v>-3.7090909090909152</v>
      </c>
      <c r="I86" s="56">
        <v>23.365017676767682</v>
      </c>
      <c r="J86" s="56" cm="1">
        <f t="array" ref="J86:K86">LINEST(E72:E86,D72:D86)</f>
        <v>-14.682857142857124</v>
      </c>
      <c r="K86" s="56">
        <v>33.249105059523785</v>
      </c>
      <c r="L86" s="56" cm="1">
        <f t="array" ref="L86:M86">LINEST(E67:E86,D67:D86)</f>
        <v>-8.9539849624060359</v>
      </c>
      <c r="M86" s="56">
        <v>28.107353508771951</v>
      </c>
      <c r="N86" s="56" cm="1">
        <f t="array" ref="N86:O86">LINEST(E62:E86,D62:D86)</f>
        <v>-1.3347692307692633</v>
      </c>
      <c r="O86" s="56">
        <v>21.285089935897464</v>
      </c>
      <c r="P86" s="56" cm="1">
        <f t="array" ref="P86:Q86">LINEST(E57:E86,D57:D86)</f>
        <v>-4.627541713014482</v>
      </c>
      <c r="Q86" s="56">
        <v>24.226320856507247</v>
      </c>
      <c r="R86" s="56" cm="1">
        <f t="array" ref="R86:S86">LINEST(F77:F86,D77:D86)</f>
        <v>11.389090909090935</v>
      </c>
      <c r="S86" s="56">
        <v>-9.8983954545454775</v>
      </c>
      <c r="T86" s="56" cm="1">
        <f t="array" ref="T86:U86">LINEST(F72:F86,D72:D86)</f>
        <v>16.174285714285769</v>
      </c>
      <c r="U86" s="56">
        <v>-14.205204464285764</v>
      </c>
      <c r="V86" s="56" cm="1">
        <f t="array" ref="V86:W86">LINEST(F67:F86,D67:D86)</f>
        <v>-19.283007518797138</v>
      </c>
      <c r="W86" s="56">
        <v>17.632148245614168</v>
      </c>
      <c r="X86" s="56" cm="1">
        <f t="array" ref="X86:Y86">LINEST(F62:F86,D62:D86)</f>
        <v>-18.786461538461658</v>
      </c>
      <c r="Y86" s="56">
        <v>17.192231794871905</v>
      </c>
      <c r="Z86" s="56" cm="1">
        <f t="array" ref="Z86:AA86">LINEST(F57:F86,D57:D86)</f>
        <v>4.3968854282535537</v>
      </c>
      <c r="AA86" s="56">
        <v>-3.5108593807934203</v>
      </c>
      <c r="AB86" s="37" cm="1">
        <f t="array" ref="AB86:AC86">LINEST(G77:G86,D77:D86)</f>
        <v>-2.7927272727272836</v>
      </c>
      <c r="AC86" s="37">
        <v>2.8723191919192019</v>
      </c>
      <c r="AD86" s="37" cm="1">
        <f t="array" ref="AD86:AE86">LINEST(G72:G86,D72:D86)</f>
        <v>-5.5028571428571613</v>
      </c>
      <c r="AE86" s="37">
        <v>5.309952976190492</v>
      </c>
      <c r="AF86" s="37" cm="1">
        <f t="array" ref="AF86:AG86">LINEST(G67:G86,D67:D86)</f>
        <v>-4.5203007518797031</v>
      </c>
      <c r="AG86" s="37">
        <v>4.4303048245614081</v>
      </c>
      <c r="AH86" s="37" cm="1">
        <f t="array" ref="AH86:AI86">LINEST(G62:G86,D62:D86)</f>
        <v>3.2123076923076903</v>
      </c>
      <c r="AI86" s="37">
        <v>-2.4932089743589727</v>
      </c>
      <c r="AJ86" s="37" cm="1">
        <f t="array" ref="AJ86:AK86">LINEST(G57:G86,D57:D86)</f>
        <v>7.3842046718576251</v>
      </c>
      <c r="AK86" s="37">
        <v>-6.2209356692621487</v>
      </c>
    </row>
    <row r="87" spans="1:37" x14ac:dyDescent="0.25">
      <c r="A87" s="61">
        <v>502</v>
      </c>
      <c r="B87" s="14">
        <f t="shared" si="1"/>
        <v>81</v>
      </c>
      <c r="C87" s="15">
        <v>43980</v>
      </c>
      <c r="D87" s="16">
        <v>0.90651620370370367</v>
      </c>
      <c r="E87" s="36">
        <v>20.07</v>
      </c>
      <c r="F87" s="36">
        <v>0.25</v>
      </c>
      <c r="G87" s="36">
        <v>0.36</v>
      </c>
      <c r="H87" s="56" cm="1">
        <f t="array" ref="H87:I87">LINEST(E78:E87,D78:D87)</f>
        <v>9.2945454545454975</v>
      </c>
      <c r="I87" s="56">
        <v>11.643434848484809</v>
      </c>
      <c r="J87" s="56" cm="1">
        <f t="array" ref="J87:K87">LINEST(E73:E87,D73:D87)</f>
        <v>-12.419999999999986</v>
      </c>
      <c r="K87" s="56">
        <v>31.228847916666652</v>
      </c>
      <c r="L87" s="56" cm="1">
        <f t="array" ref="L87:M87">LINEST(E68:E87,D68:D87)</f>
        <v>-9.489924812030095</v>
      </c>
      <c r="M87" s="56">
        <v>28.596056328320813</v>
      </c>
      <c r="N87" s="56" cm="1">
        <f t="array" ref="N87:O87">LINEST(E63:E87,D63:D87)</f>
        <v>-2.8190769230769379</v>
      </c>
      <c r="O87" s="56">
        <v>22.613754294871807</v>
      </c>
      <c r="P87" s="56" cm="1">
        <f t="array" ref="P87:Q87">LINEST(E58:E87,D58:D87)</f>
        <v>-3.9227586206896832</v>
      </c>
      <c r="Q87" s="56">
        <v>23.59937758620692</v>
      </c>
      <c r="R87" s="56" cm="1">
        <f t="array" ref="R87:S87">LINEST(F78:F87,D78:D87)</f>
        <v>6.9818181818182019</v>
      </c>
      <c r="S87" s="56">
        <v>-5.953494949494968</v>
      </c>
      <c r="T87" s="56" cm="1">
        <f t="array" ref="T87:U87">LINEST(F73:F87,D73:D87)</f>
        <v>15.531428571428616</v>
      </c>
      <c r="U87" s="56">
        <v>-13.652491666666707</v>
      </c>
      <c r="V87" s="56" cm="1">
        <f t="array" ref="V87:W87">LINEST(F68:F87,D68:D87)</f>
        <v>-12.445714285714399</v>
      </c>
      <c r="W87" s="56">
        <v>11.503527380952482</v>
      </c>
      <c r="X87" s="56" cm="1">
        <f t="array" ref="X87:Y87">LINEST(F63:F87,D63:D87)</f>
        <v>-19.96061538461549</v>
      </c>
      <c r="Y87" s="56">
        <v>18.250344358974452</v>
      </c>
      <c r="Z87" s="56" cm="1">
        <f t="array" ref="Z87:AA87">LINEST(F58:F87,D58:D87)</f>
        <v>1.7539488320355325</v>
      </c>
      <c r="AA87" s="56">
        <v>-1.1649937893955693</v>
      </c>
      <c r="AB87" s="37" cm="1">
        <f t="array" ref="AB87:AC87">LINEST(G78:G87,D78:D87)</f>
        <v>-2.0072727272727353</v>
      </c>
      <c r="AC87" s="37">
        <v>2.1670797979798051</v>
      </c>
      <c r="AD87" s="37" cm="1">
        <f t="array" ref="AD87:AE87">LINEST(G73:G87,D73:D87)</f>
        <v>-3.7028571428571562</v>
      </c>
      <c r="AE87" s="37">
        <v>3.6947000000000121</v>
      </c>
      <c r="AF87" s="37" cm="1">
        <f t="array" ref="AF87:AG87">LINEST(G68:G87,D68:D87)</f>
        <v>-5.1266165413533988</v>
      </c>
      <c r="AG87" s="37">
        <v>4.9772181077694375</v>
      </c>
      <c r="AH87" s="37" cm="1">
        <f t="array" ref="AH87:AI87">LINEST(G63:G87,D63:D87)</f>
        <v>1.4012307692307673</v>
      </c>
      <c r="AI87" s="37">
        <v>-0.87608455128204965</v>
      </c>
      <c r="AJ87" s="37" cm="1">
        <f t="array" ref="AJ87:AK87">LINEST(G58:G87,D58:D87)</f>
        <v>6.9325027808676341</v>
      </c>
      <c r="AK87" s="37">
        <v>-5.8248131998516897</v>
      </c>
    </row>
    <row r="88" spans="1:37" x14ac:dyDescent="0.25">
      <c r="A88" s="61">
        <v>502</v>
      </c>
      <c r="B88" s="14">
        <f t="shared" si="1"/>
        <v>82</v>
      </c>
      <c r="C88" s="15">
        <v>43980</v>
      </c>
      <c r="D88" s="16">
        <v>0.90790509259259267</v>
      </c>
      <c r="E88" s="36">
        <v>20.07</v>
      </c>
      <c r="F88" s="36">
        <v>0.01</v>
      </c>
      <c r="G88" s="36">
        <v>0.33</v>
      </c>
      <c r="H88" s="56" cm="1">
        <f t="array" ref="H88:I88">LINEST(E79:E88,D79:D88)</f>
        <v>7.7236363636363699</v>
      </c>
      <c r="I88" s="56">
        <v>13.060943939393932</v>
      </c>
      <c r="J88" s="56" cm="1">
        <f t="array" ref="J88:K88">LINEST(E74:E88,D74:D88)</f>
        <v>-9.7199999999999545</v>
      </c>
      <c r="K88" s="56">
        <v>28.809670833333293</v>
      </c>
      <c r="L88" s="56" cm="1">
        <f t="array" ref="L88:M88">LINEST(E69:E88,D69:D88)</f>
        <v>-9.744360902255627</v>
      </c>
      <c r="M88" s="56">
        <v>28.833383458646601</v>
      </c>
      <c r="N88" s="56" cm="1">
        <f t="array" ref="N88:O88">LINEST(E64:E88,D64:D88)</f>
        <v>-3.9544615384615516</v>
      </c>
      <c r="O88" s="56">
        <v>23.633168076923088</v>
      </c>
      <c r="P88" s="56" cm="1">
        <f t="array" ref="P88:Q88">LINEST(E59:E88,D59:D88)</f>
        <v>-3.2836484983314995</v>
      </c>
      <c r="Q88" s="56">
        <v>23.029778828327792</v>
      </c>
      <c r="R88" s="56" cm="1">
        <f t="array" ref="R88:S88">LINEST(F79:F88,D79:D88)</f>
        <v>-6.2400000000001699</v>
      </c>
      <c r="S88" s="56">
        <v>5.9273277777779318</v>
      </c>
      <c r="T88" s="56" cm="1">
        <f t="array" ref="T88:U88">LINEST(F74:F88,D74:D88)</f>
        <v>6.5057142857142249</v>
      </c>
      <c r="U88" s="56">
        <v>-5.5713211309523265</v>
      </c>
      <c r="V88" s="56" cm="1">
        <f t="array" ref="V88:W88">LINEST(F69:F88,D69:D88)</f>
        <v>-15.120000000000115</v>
      </c>
      <c r="W88" s="56">
        <v>13.889525000000102</v>
      </c>
      <c r="X88" s="56" cm="1">
        <f t="array" ref="X88:Y88">LINEST(F64:F88,D64:D88)</f>
        <v>-22.552615384615503</v>
      </c>
      <c r="Y88" s="56">
        <v>20.565757435897542</v>
      </c>
      <c r="Z88" s="56" cm="1">
        <f t="array" ref="Z88:AA88">LINEST(F59:F88,D59:D88)</f>
        <v>-5.9666295884316449</v>
      </c>
      <c r="AA88" s="56">
        <v>5.7139720986281537</v>
      </c>
      <c r="AB88" s="37" cm="1">
        <f t="array" ref="AB88:AC88">LINEST(G79:G88,D79:D88)</f>
        <v>-2.2254545454545518</v>
      </c>
      <c r="AC88" s="37">
        <v>2.36159242424243</v>
      </c>
      <c r="AD88" s="37" cm="1">
        <f t="array" ref="AD88:AE88">LINEST(G74:G88,D74:D88)</f>
        <v>-2.9314285714285773</v>
      </c>
      <c r="AE88" s="37">
        <v>2.998958928571434</v>
      </c>
      <c r="AF88" s="37" cm="1">
        <f t="array" ref="AF88:AG88">LINEST(G69:G88,D69:D88)</f>
        <v>-5.9061654135338406</v>
      </c>
      <c r="AG88" s="37">
        <v>5.6788090852130377</v>
      </c>
      <c r="AH88" s="37" cm="1">
        <f t="array" ref="AH88:AI88">LINEST(G64:G88,D64:D88)</f>
        <v>-0.45969230769231528</v>
      </c>
      <c r="AI88" s="37">
        <v>0.78769544871795549</v>
      </c>
      <c r="AJ88" s="37" cm="1">
        <f t="array" ref="AJ88:AK88">LINEST(G59:G88,D59:D88)</f>
        <v>5.9361957730812014</v>
      </c>
      <c r="AK88" s="37">
        <v>-4.9426206525769372</v>
      </c>
    </row>
    <row r="89" spans="1:37" x14ac:dyDescent="0.25">
      <c r="A89" s="61">
        <v>502</v>
      </c>
      <c r="B89" s="14">
        <f t="shared" si="1"/>
        <v>83</v>
      </c>
      <c r="C89" s="15">
        <v>43980</v>
      </c>
      <c r="D89" s="16">
        <v>0.90929398148148144</v>
      </c>
      <c r="E89" s="36">
        <v>20.04</v>
      </c>
      <c r="F89" s="36">
        <v>-0.65</v>
      </c>
      <c r="G89" s="36">
        <v>0.26</v>
      </c>
      <c r="H89" s="56" cm="1">
        <f t="array" ref="H89:I89">LINEST(E80:E89,D80:D89)</f>
        <v>6.1527272727272813</v>
      </c>
      <c r="I89" s="56">
        <v>14.474816666666658</v>
      </c>
      <c r="J89" s="56" cm="1">
        <f t="array" ref="J89:K89">LINEST(E75:E89,D75:D89)</f>
        <v>-7.122857142857141</v>
      </c>
      <c r="K89" s="56">
        <v>26.473521130952378</v>
      </c>
      <c r="L89" s="56" cm="1">
        <f t="array" ref="L89:M89">LINEST(E70:E89,D70:D89)</f>
        <v>-9.6631578947368304</v>
      </c>
      <c r="M89" s="56">
        <v>28.76665131578946</v>
      </c>
      <c r="N89" s="56" cm="1">
        <f t="array" ref="N89:O89">LINEST(E65:E89,D65:D89)</f>
        <v>-5.1230769230769235</v>
      </c>
      <c r="O89" s="56">
        <v>24.682998397435899</v>
      </c>
      <c r="P89" s="56" cm="1">
        <f t="array" ref="P89:Q89">LINEST(E60:E89,D60:D89)</f>
        <v>-2.9088320355951227</v>
      </c>
      <c r="Q89" s="56">
        <v>22.693736151279214</v>
      </c>
      <c r="R89" s="56" cm="1">
        <f t="array" ref="R89:S89">LINEST(F80:F89,D80:D89)</f>
        <v>-42.676363636363632</v>
      </c>
      <c r="S89" s="56">
        <v>38.74263333333333</v>
      </c>
      <c r="T89" s="56" cm="1">
        <f t="array" ref="T89:U89">LINEST(F75:F89,D75:D89)</f>
        <v>-17.331428571428631</v>
      </c>
      <c r="U89" s="56">
        <v>15.824863690476244</v>
      </c>
      <c r="V89" s="56" cm="1">
        <f t="array" ref="V89:W89">LINEST(F70:F89,D70:D89)</f>
        <v>-13.831578947368476</v>
      </c>
      <c r="W89" s="56">
        <v>12.65397149122812</v>
      </c>
      <c r="X89" s="56" cm="1">
        <f t="array" ref="X89:Y89">LINEST(F65:F89,D65:D89)</f>
        <v>-29.220923076923171</v>
      </c>
      <c r="Y89" s="56">
        <v>26.50059410256419</v>
      </c>
      <c r="Z89" s="56" cm="1">
        <f t="array" ref="Z89:AA89">LINEST(F60:F89,D60:D89)</f>
        <v>-18.753637374861043</v>
      </c>
      <c r="AA89" s="56">
        <v>17.108892176492478</v>
      </c>
      <c r="AB89" s="37" cm="1">
        <f t="array" ref="AB89:AC89">LINEST(G80:G89,D80:D89)</f>
        <v>-5.2363636363636283</v>
      </c>
      <c r="AC89" s="37">
        <v>5.0726666666666596</v>
      </c>
      <c r="AD89" s="37" cm="1">
        <f t="array" ref="AD89:AE89">LINEST(G75:G89,D75:D89)</f>
        <v>-3.9342857142857217</v>
      </c>
      <c r="AE89" s="37">
        <v>3.8951723214285781</v>
      </c>
      <c r="AF89" s="37" cm="1">
        <f t="array" ref="AF89:AG89">LINEST(G70:G89,D70:D89)</f>
        <v>-6.4312781954887326</v>
      </c>
      <c r="AG89" s="37">
        <v>6.1470654135338449</v>
      </c>
      <c r="AH89" s="37" cm="1">
        <f t="array" ref="AH89:AI89">LINEST(G65:G89,D65:D89)</f>
        <v>-2.6695384615384632</v>
      </c>
      <c r="AI89" s="37">
        <v>2.7641029487179507</v>
      </c>
      <c r="AJ89" s="37" cm="1">
        <f t="array" ref="AJ89:AK89">LINEST(G60:G89,D60:D89)</f>
        <v>4.0476974416017821</v>
      </c>
      <c r="AK89" s="37">
        <v>-3.2633641268075664</v>
      </c>
    </row>
    <row r="90" spans="1:37" x14ac:dyDescent="0.25">
      <c r="A90" s="61">
        <v>502</v>
      </c>
      <c r="B90" s="14">
        <f t="shared" si="1"/>
        <v>84</v>
      </c>
      <c r="C90" s="15">
        <v>43980</v>
      </c>
      <c r="D90" s="16">
        <v>0.91068287037037043</v>
      </c>
      <c r="E90" s="36">
        <v>20.05</v>
      </c>
      <c r="F90" s="36">
        <v>0.22</v>
      </c>
      <c r="G90" s="36">
        <v>0.25</v>
      </c>
      <c r="H90" s="56" cm="1">
        <f t="array" ref="H90:I90">LINEST(E81:E90,D81:D90)</f>
        <v>4.9309090909090383</v>
      </c>
      <c r="I90" s="56">
        <v>15.577323737373785</v>
      </c>
      <c r="J90" s="56" cm="1">
        <f t="array" ref="J90:K90">LINEST(E76:E90,D76:D90)</f>
        <v>-3.8314285714285692</v>
      </c>
      <c r="K90" s="56">
        <v>23.505299702380956</v>
      </c>
      <c r="L90" s="56" cm="1">
        <f t="array" ref="L90:M90">LINEST(E71:E90,D71:D90)</f>
        <v>-9.0893233082706324</v>
      </c>
      <c r="M90" s="56">
        <v>28.257062468671641</v>
      </c>
      <c r="N90" s="56" cm="1">
        <f t="array" ref="N90:O90">LINEST(E66:E90,D66:D90)</f>
        <v>-5.8098461538461503</v>
      </c>
      <c r="O90" s="56">
        <v>25.303296602564103</v>
      </c>
      <c r="P90" s="56" cm="1">
        <f t="array" ref="P90:Q90">LINEST(E61:E90,D61:D90)</f>
        <v>-2.3674304783092488</v>
      </c>
      <c r="Q90" s="56">
        <v>22.208300964034127</v>
      </c>
      <c r="R90" s="56" cm="1">
        <f t="array" ref="R90:S90">LINEST(F81:F90,D81:D90)</f>
        <v>-36.479999999999734</v>
      </c>
      <c r="S90" s="56">
        <v>33.187711111110872</v>
      </c>
      <c r="T90" s="56" cm="1">
        <f t="array" ref="T90:U90">LINEST(F76:F90,D76:D90)</f>
        <v>-21.368571428571411</v>
      </c>
      <c r="U90" s="56">
        <v>19.497575297619033</v>
      </c>
      <c r="V90" s="56" cm="1">
        <f t="array" ref="V90:W90">LINEST(F71:F90,D71:D90)</f>
        <v>-9.2300751879699643</v>
      </c>
      <c r="W90" s="56">
        <v>8.5193856516291095</v>
      </c>
      <c r="X90" s="56" cm="1">
        <f t="array" ref="X90:Y90">LINEST(F66:F90,D66:D90)</f>
        <v>-21.511384615384685</v>
      </c>
      <c r="Y90" s="56">
        <v>19.590726410256476</v>
      </c>
      <c r="Z90" s="56" cm="1">
        <f t="array" ref="Z90:AA90">LINEST(F61:F90,D61:D90)</f>
        <v>-20.363426028921079</v>
      </c>
      <c r="AA90" s="56">
        <v>18.565526492399012</v>
      </c>
      <c r="AB90" s="37" cm="1">
        <f t="array" ref="AB90:AC90">LINEST(G81:G90,D81:D90)</f>
        <v>-7.6799999999999828</v>
      </c>
      <c r="AC90" s="37">
        <v>7.2780444444444283</v>
      </c>
      <c r="AD90" s="37" cm="1">
        <f t="array" ref="AD90:AE90">LINEST(G76:G90,D76:D90)</f>
        <v>-5.3485714285714323</v>
      </c>
      <c r="AE90" s="37">
        <v>5.1661857142857173</v>
      </c>
      <c r="AF90" s="37" cm="1">
        <f t="array" ref="AF90:AG90">LINEST(G71:G90,D71:D90)</f>
        <v>-6.6045112781954973</v>
      </c>
      <c r="AG90" s="37">
        <v>6.2994724310777022</v>
      </c>
      <c r="AH90" s="37" cm="1">
        <f t="array" ref="AH90:AI90">LINEST(G66:G90,D66:D90)</f>
        <v>-4.1261538461538532</v>
      </c>
      <c r="AI90" s="37">
        <v>4.0680483974359039</v>
      </c>
      <c r="AJ90" s="37" cm="1">
        <f t="array" ref="AJ90:AK90">LINEST(G61:G90,D61:D90)</f>
        <v>2.1319688542825328</v>
      </c>
      <c r="AK90" s="37">
        <v>-1.5556120318872793</v>
      </c>
    </row>
    <row r="91" spans="1:37" x14ac:dyDescent="0.25">
      <c r="A91" s="61">
        <v>502</v>
      </c>
      <c r="B91" s="14">
        <f t="shared" si="1"/>
        <v>85</v>
      </c>
      <c r="C91" s="15">
        <v>43980</v>
      </c>
      <c r="D91" s="16">
        <v>0.91207175925925921</v>
      </c>
      <c r="E91" s="36">
        <v>20.079999999999998</v>
      </c>
      <c r="F91" s="36">
        <v>0.75</v>
      </c>
      <c r="G91" s="36">
        <v>0.28999999999999998</v>
      </c>
      <c r="H91" s="56" cm="1">
        <f t="array" ref="H91:I91">LINEST(E82:E91,D82:D91)</f>
        <v>3.883636363636267</v>
      </c>
      <c r="I91" s="56">
        <v>16.529117676767761</v>
      </c>
      <c r="J91" s="56" cm="1">
        <f t="array" ref="J91:K91">LINEST(E77:E91,D77:D91)</f>
        <v>0.89999999999999658</v>
      </c>
      <c r="K91" s="56">
        <v>19.229218750000005</v>
      </c>
      <c r="L91" s="56" cm="1">
        <f t="array" ref="L91:M91">LINEST(E72:E91,D72:D91)</f>
        <v>-7.8063157894736568</v>
      </c>
      <c r="M91" s="56">
        <v>27.10892017543857</v>
      </c>
      <c r="N91" s="56" cm="1">
        <f t="array" ref="N91:O91">LINEST(E67:E91,D67:D91)</f>
        <v>-6.2141538461538603</v>
      </c>
      <c r="O91" s="56">
        <v>25.673385000000014</v>
      </c>
      <c r="P91" s="56" cm="1">
        <f t="array" ref="P91:Q91">LINEST(E62:E91,D62:D91)</f>
        <v>-1.5168854282536413</v>
      </c>
      <c r="Q91" s="56">
        <v>21.445959974045259</v>
      </c>
      <c r="R91" s="56" cm="1">
        <f t="array" ref="R91:S91">LINEST(F82:F91,D82:D91)</f>
        <v>-35.956363636363662</v>
      </c>
      <c r="S91" s="56">
        <v>32.864056565656583</v>
      </c>
      <c r="T91" s="56" cm="1">
        <f t="array" ref="T91:U91">LINEST(F77:F91,D77:D91)</f>
        <v>-7.8685714285714772</v>
      </c>
      <c r="U91" s="56">
        <v>7.3648684523809962</v>
      </c>
      <c r="V91" s="56" cm="1">
        <f t="array" ref="V91:W91">LINEST(F72:F91,D72:D91)</f>
        <v>1.5699248120300571</v>
      </c>
      <c r="W91" s="56">
        <v>-1.1741697994987306</v>
      </c>
      <c r="X91" s="56" cm="1">
        <f t="array" ref="X91:Y91">LINEST(F67:F91,D67:D91)</f>
        <v>-17.972307692307766</v>
      </c>
      <c r="Y91" s="56">
        <v>16.4620958333334</v>
      </c>
      <c r="Z91" s="56" cm="1">
        <f t="array" ref="Z91:AA91">LINEST(F62:F91,D62:D91)</f>
        <v>-18.191412680756468</v>
      </c>
      <c r="AA91" s="56">
        <v>16.662518928439074</v>
      </c>
      <c r="AB91" s="37" cm="1">
        <f t="array" ref="AB91:AC91">LINEST(G82:G91,D82:D91)</f>
        <v>-9.9054545454545391</v>
      </c>
      <c r="AC91" s="37">
        <v>9.3015762626262575</v>
      </c>
      <c r="AD91" s="37" cm="1">
        <f t="array" ref="AD91:AE91">LINEST(G77:G91,D77:D91)</f>
        <v>-5.5028571428571551</v>
      </c>
      <c r="AE91" s="37">
        <v>5.3061672619047728</v>
      </c>
      <c r="AF91" s="37" cm="1">
        <f t="array" ref="AF91:AG91">LINEST(G72:G91,D72:D91)</f>
        <v>-5.9927819548872296</v>
      </c>
      <c r="AG91" s="37">
        <v>5.7482757518797101</v>
      </c>
      <c r="AH91" s="37" cm="1">
        <f t="array" ref="AH91:AI91">LINEST(G67:G91,D67:D91)</f>
        <v>-5.2172307692307731</v>
      </c>
      <c r="AI91" s="37">
        <v>5.0499350000000041</v>
      </c>
      <c r="AJ91" s="37" cm="1">
        <f t="array" ref="AJ91:AK91">LINEST(G62:G91,D62:D91)</f>
        <v>0.53018909899888278</v>
      </c>
      <c r="AK91" s="37">
        <v>-0.12255975157582066</v>
      </c>
    </row>
    <row r="92" spans="1:37" x14ac:dyDescent="0.25">
      <c r="A92" s="61">
        <v>502</v>
      </c>
      <c r="B92" s="14">
        <f t="shared" si="1"/>
        <v>86</v>
      </c>
      <c r="C92" s="15">
        <v>43980</v>
      </c>
      <c r="D92" s="16">
        <v>0.9134606481481482</v>
      </c>
      <c r="E92" s="36">
        <v>20.100000000000001</v>
      </c>
      <c r="F92" s="36">
        <v>0.59</v>
      </c>
      <c r="G92" s="36">
        <v>0.31</v>
      </c>
      <c r="H92" s="56" cm="1">
        <f t="array" ref="H92:I92">LINEST(E83:E92,D83:D92)</f>
        <v>4.6690909090908512</v>
      </c>
      <c r="I92" s="56">
        <v>15.819151010101063</v>
      </c>
      <c r="J92" s="56" cm="1">
        <f t="array" ref="J92:K92">LINEST(E78:E92,D78:D92)</f>
        <v>6.6600000000000028</v>
      </c>
      <c r="K92" s="56">
        <v>14.011102083333327</v>
      </c>
      <c r="L92" s="56" cm="1">
        <f t="array" ref="L92:M92">LINEST(E73:E92,D73:D92)</f>
        <v>-6.0415037593984531</v>
      </c>
      <c r="M92" s="56">
        <v>25.523961654135299</v>
      </c>
      <c r="N92" s="56" cm="1">
        <f t="array" ref="N92:O92">LINEST(E68:E92,D68:D92)</f>
        <v>-6.197538461538457</v>
      </c>
      <c r="O92" s="56">
        <v>25.666315192307685</v>
      </c>
      <c r="P92" s="56" cm="1">
        <f t="array" ref="P92:Q92">LINEST(E63:E92,D63:D92)</f>
        <v>-2.3434037819799833</v>
      </c>
      <c r="Q92" s="56">
        <v>22.19241358917316</v>
      </c>
      <c r="R92" s="56" cm="1">
        <f t="array" ref="R92:S92">LINEST(F83:F92,D83:D92)</f>
        <v>26.356363636363469</v>
      </c>
      <c r="S92" s="56">
        <v>-23.692773737373582</v>
      </c>
      <c r="T92" s="56" cm="1">
        <f t="array" ref="T92:U92">LINEST(F78:F92,D78:D92)</f>
        <v>-0.87428571428572133</v>
      </c>
      <c r="U92" s="56">
        <v>1.0727922619047683</v>
      </c>
      <c r="V92" s="56" cm="1">
        <f t="array" ref="V92:W92">LINEST(F73:F92,D73:D92)</f>
        <v>5.5759398496240591</v>
      </c>
      <c r="W92" s="56">
        <v>-4.7668302005012517</v>
      </c>
      <c r="X92" s="56" cm="1">
        <f t="array" ref="X92:Y92">LINEST(F68:F92,D68:D92)</f>
        <v>-10.528615384615438</v>
      </c>
      <c r="Y92" s="56">
        <v>9.7871989102564587</v>
      </c>
      <c r="Z92" s="56" cm="1">
        <f t="array" ref="Z92:AA92">LINEST(F63:F92,D63:D92)</f>
        <v>-16.820289210233643</v>
      </c>
      <c r="AA92" s="56">
        <v>15.463597015202124</v>
      </c>
      <c r="AB92" s="37" cm="1">
        <f t="array" ref="AB92:AC92">LINEST(G83:G92,D83:D92)</f>
        <v>-7.2436363636363312</v>
      </c>
      <c r="AC92" s="37">
        <v>6.8915040404040102</v>
      </c>
      <c r="AD92" s="37" cm="1">
        <f t="array" ref="AD92:AE92">LINEST(G78:G92,D78:D92)</f>
        <v>-5.2457142857142864</v>
      </c>
      <c r="AE92" s="37">
        <v>5.076753571428573</v>
      </c>
      <c r="AF92" s="37" cm="1">
        <f t="array" ref="AF92:AG92">LINEST(G73:G92,D73:D92)</f>
        <v>-5.0616541353383528</v>
      </c>
      <c r="AG92" s="37">
        <v>4.9093361528822115</v>
      </c>
      <c r="AH92" s="37" cm="1">
        <f t="array" ref="AH92:AI92">LINEST(G68:G92,D68:D92)</f>
        <v>-5.6603076923076996</v>
      </c>
      <c r="AI92" s="37">
        <v>5.4517298717948783</v>
      </c>
      <c r="AJ92" s="37" cm="1">
        <f t="array" ref="AJ92:AK92">LINEST(G63:G92,D63:D92)</f>
        <v>-0.85054505005561831</v>
      </c>
      <c r="AK92" s="37">
        <v>1.1168104004449397</v>
      </c>
    </row>
    <row r="93" spans="1:37" x14ac:dyDescent="0.25">
      <c r="A93" s="61">
        <v>502</v>
      </c>
      <c r="B93" s="14">
        <f t="shared" si="1"/>
        <v>87</v>
      </c>
      <c r="C93" s="15">
        <v>43980</v>
      </c>
      <c r="D93" s="16">
        <v>0.91484953703703698</v>
      </c>
      <c r="E93" s="36">
        <v>20.100000000000001</v>
      </c>
      <c r="F93" s="36">
        <v>0.04</v>
      </c>
      <c r="G93" s="36">
        <v>0.28999999999999998</v>
      </c>
      <c r="H93" s="56" cm="1">
        <f t="array" ref="H93:I93">LINEST(E84:E93,D84:D93)</f>
        <v>5.2363636363636941</v>
      </c>
      <c r="I93" s="56">
        <v>15.304242424242371</v>
      </c>
      <c r="J93" s="56" cm="1">
        <f t="array" ref="J93:K93">LINEST(E79:E93,D79:D93)</f>
        <v>5.8628571428571732</v>
      </c>
      <c r="K93" s="56">
        <v>14.734701190476166</v>
      </c>
      <c r="L93" s="56" cm="1">
        <f t="array" ref="L93:M93">LINEST(E74:E93,D74:D93)</f>
        <v>-4.1251127819548454</v>
      </c>
      <c r="M93" s="56">
        <v>23.797428947368388</v>
      </c>
      <c r="N93" s="56" cm="1">
        <f t="array" ref="N93:O93">LINEST(E69:E93,D69:D93)</f>
        <v>-6.0258461538461363</v>
      </c>
      <c r="O93" s="56">
        <v>25.51911179487178</v>
      </c>
      <c r="P93" s="56" cm="1">
        <f t="array" ref="P93:Q93">LINEST(E64:E93,D64:D93)</f>
        <v>-2.9296551724137938</v>
      </c>
      <c r="Q93" s="56">
        <v>22.724193678160923</v>
      </c>
      <c r="R93" s="56" cm="1">
        <f t="array" ref="R93:S93">LINEST(F84:F93,D84:D93)</f>
        <v>17.06181818181825</v>
      </c>
      <c r="S93" s="56">
        <v>-15.297360101010163</v>
      </c>
      <c r="T93" s="56" cm="1">
        <f t="array" ref="T93:U93">LINEST(F79:F93,D79:D93)</f>
        <v>-4.4742857142856991</v>
      </c>
      <c r="U93" s="56">
        <v>4.3137982142857014</v>
      </c>
      <c r="V93" s="56" cm="1">
        <f t="array" ref="V93:W93">LINEST(F74:F93,D74:D93)</f>
        <v>1.3046616541353411</v>
      </c>
      <c r="W93" s="56">
        <v>-0.92485482456140611</v>
      </c>
      <c r="X93" s="56" cm="1">
        <f t="array" ref="X93:Y93">LINEST(F69:F93,D69:D93)</f>
        <v>-11.51446153846158</v>
      </c>
      <c r="Y93" s="56">
        <v>10.669292115384652</v>
      </c>
      <c r="Z93" s="56" cm="1">
        <f t="array" ref="Z93:AA93">LINEST(F64:F93,D64:D93)</f>
        <v>-18.010411568409417</v>
      </c>
      <c r="AA93" s="56">
        <v>16.534107007786496</v>
      </c>
      <c r="AB93" s="37" cm="1">
        <f t="array" ref="AB93:AC93">LINEST(G84:G93,D84:D93)</f>
        <v>-5.5418181818181829</v>
      </c>
      <c r="AC93" s="37">
        <v>5.3462934343434361</v>
      </c>
      <c r="AD93" s="37" cm="1">
        <f t="array" ref="AD93:AE93">LINEST(G79:G93,D79:D93)</f>
        <v>-5.1685714285714317</v>
      </c>
      <c r="AE93" s="37">
        <v>5.0082151785714322</v>
      </c>
      <c r="AF93" s="37" cm="1">
        <f t="array" ref="AF93:AG93">LINEST(G74:G93,D74:D93)</f>
        <v>-4.596090225563918</v>
      </c>
      <c r="AG93" s="37">
        <v>4.4885881578947444</v>
      </c>
      <c r="AH93" s="37" cm="1">
        <f t="array" ref="AH93:AI93">LINEST(G69:G93,D69:D93)</f>
        <v>-6.1255384615384649</v>
      </c>
      <c r="AI93" s="37">
        <v>5.8734537179487205</v>
      </c>
      <c r="AJ93" s="37" cm="1">
        <f t="array" ref="AJ93:AK93">LINEST(G64:G93,D64:D93)</f>
        <v>-2.1896329254727536</v>
      </c>
      <c r="AK93" s="37">
        <v>2.3207545606229196</v>
      </c>
    </row>
    <row r="94" spans="1:37" x14ac:dyDescent="0.25">
      <c r="A94" s="61">
        <v>502</v>
      </c>
      <c r="B94" s="14">
        <f t="shared" si="1"/>
        <v>88</v>
      </c>
      <c r="C94" s="15">
        <v>43980</v>
      </c>
      <c r="D94" s="16">
        <v>0.91623842592592597</v>
      </c>
      <c r="E94" s="36">
        <v>20.09</v>
      </c>
      <c r="F94" s="36">
        <v>-0.25</v>
      </c>
      <c r="G94" s="36">
        <v>0.25</v>
      </c>
      <c r="H94" s="56" cm="1">
        <f t="array" ref="H94:I94">LINEST(E85:E94,D85:D94)</f>
        <v>4.8000000000000878</v>
      </c>
      <c r="I94" s="56">
        <v>15.700055555555473</v>
      </c>
      <c r="J94" s="56" cm="1">
        <f t="array" ref="J94:K94">LINEST(E80:E94,D80:D94)</f>
        <v>5.4771428571428844</v>
      </c>
      <c r="K94" s="56">
        <v>15.083547916666644</v>
      </c>
      <c r="L94" s="56" cm="1">
        <f t="array" ref="L94:M94">LINEST(E75:E94,D75:D94)</f>
        <v>-2.1599999999999691</v>
      </c>
      <c r="M94" s="56">
        <v>22.021074999999975</v>
      </c>
      <c r="N94" s="56" cm="1">
        <f t="array" ref="N94:O94">LINEST(E70:E94,D70:D94)</f>
        <v>-5.5384615384615099</v>
      </c>
      <c r="O94" s="56">
        <v>25.085043589743563</v>
      </c>
      <c r="P94" s="56" cm="1">
        <f t="array" ref="P94:Q94">LINEST(E65:E94,D65:D94)</f>
        <v>-3.4518353726362521</v>
      </c>
      <c r="Q94" s="56">
        <v>23.198854746014081</v>
      </c>
      <c r="R94" s="56" cm="1">
        <f t="array" ref="R94:S94">LINEST(F85:F94,D85:D94)</f>
        <v>-11.607272727272738</v>
      </c>
      <c r="S94" s="56">
        <v>10.744483838383848</v>
      </c>
      <c r="T94" s="56" cm="1">
        <f t="array" ref="T94:U94">LINEST(F80:F94,D80:D94)</f>
        <v>-12.574285714285708</v>
      </c>
      <c r="U94" s="56">
        <v>11.624793749999995</v>
      </c>
      <c r="V94" s="56" cm="1">
        <f t="array" ref="V94:W94">LINEST(F75:F94,D75:D94)</f>
        <v>-7.6222556390977543</v>
      </c>
      <c r="W94" s="56">
        <v>7.1262320802005101</v>
      </c>
      <c r="X94" s="56" cm="1">
        <f t="array" ref="X94:Y94">LINEST(F70:F94,D70:D94)</f>
        <v>-7.6984615384615651</v>
      </c>
      <c r="Y94" s="56">
        <v>7.1869185897436134</v>
      </c>
      <c r="Z94" s="56" cm="1">
        <f t="array" ref="Z94:AA94">LINEST(F65:F94,D65:D94)</f>
        <v>-20.377842046718623</v>
      </c>
      <c r="AA94" s="56">
        <v>18.653241490545092</v>
      </c>
      <c r="AB94" s="37" cm="1">
        <f t="array" ref="AB94:AC94">LINEST(G85:G94,D85:D94)</f>
        <v>-6.0654545454545463</v>
      </c>
      <c r="AC94" s="37">
        <v>5.8204934343434349</v>
      </c>
      <c r="AD94" s="37" cm="1">
        <f t="array" ref="AD94:AE94">LINEST(G80:G94,D80:D94)</f>
        <v>-5.7857142857142829</v>
      </c>
      <c r="AE94" s="37">
        <v>5.5668437499999976</v>
      </c>
      <c r="AF94" s="37" cm="1">
        <f t="array" ref="AF94:AG94">LINEST(G75:G94,D75:D94)</f>
        <v>-4.8234586466165457</v>
      </c>
      <c r="AG94" s="37">
        <v>4.6922953007518835</v>
      </c>
      <c r="AH94" s="37" cm="1">
        <f t="array" ref="AH94:AI94">LINEST(G70:G94,D70:D94)</f>
        <v>-6.2252307692307758</v>
      </c>
      <c r="AI94" s="37">
        <v>5.9628417948718004</v>
      </c>
      <c r="AJ94" s="37" cm="1">
        <f t="array" ref="AJ94:AK94">LINEST(G65:G94,D65:D94)</f>
        <v>-3.6104115684093463</v>
      </c>
      <c r="AK94" s="37">
        <v>3.5992881349647781</v>
      </c>
    </row>
    <row r="95" spans="1:37" x14ac:dyDescent="0.25">
      <c r="A95" s="61">
        <v>502</v>
      </c>
      <c r="B95" s="14">
        <f t="shared" si="1"/>
        <v>89</v>
      </c>
      <c r="C95" s="15">
        <v>43980</v>
      </c>
      <c r="D95" s="16">
        <v>0.91762731481481474</v>
      </c>
      <c r="E95" s="36">
        <v>20.09</v>
      </c>
      <c r="F95" s="36">
        <v>0.11</v>
      </c>
      <c r="G95" s="36">
        <v>0.24</v>
      </c>
      <c r="H95" s="56" cm="1">
        <f t="array" ref="H95:I95">LINEST(E86:E95,D86:D95)</f>
        <v>3.360000000000082</v>
      </c>
      <c r="I95" s="56">
        <v>17.012772222222146</v>
      </c>
      <c r="J95" s="56" cm="1">
        <f t="array" ref="J95:K95">LINEST(E81:E95,D81:D95)</f>
        <v>5.0142857142857142</v>
      </c>
      <c r="K95" s="56">
        <v>15.502837797619044</v>
      </c>
      <c r="L95" s="56" cm="1">
        <f t="array" ref="L95:M95">LINEST(E76:E95,D76:D95)</f>
        <v>-3.2481203007513046E-2</v>
      </c>
      <c r="M95" s="56">
        <v>20.092377067669169</v>
      </c>
      <c r="N95" s="56" cm="1">
        <f t="array" ref="N95:O95">LINEST(E71:E95,D71:D95)</f>
        <v>-4.851692307692276</v>
      </c>
      <c r="O95" s="56">
        <v>24.469183846153818</v>
      </c>
      <c r="P95" s="56" cm="1">
        <f t="array" ref="P95:Q95">LINEST(E66:E95,D66:D95)</f>
        <v>-3.7017130144605046</v>
      </c>
      <c r="Q95" s="56">
        <v>23.428577919911014</v>
      </c>
      <c r="R95" s="56" cm="1">
        <f t="array" ref="R95:S95">LINEST(F86:F95,D86:D95)</f>
        <v>-36.130909090909306</v>
      </c>
      <c r="S95" s="56">
        <v>33.148890909091108</v>
      </c>
      <c r="T95" s="56" cm="1">
        <f t="array" ref="T95:U95">LINEST(F81:F95,D81:D95)</f>
        <v>-12.728571428571426</v>
      </c>
      <c r="U95" s="56">
        <v>11.768334821428569</v>
      </c>
      <c r="V95" s="56" cm="1">
        <f t="array" ref="V95:W95">LINEST(F76:F95,D76:D95)</f>
        <v>-11.184360902255653</v>
      </c>
      <c r="W95" s="56">
        <v>10.361503634085226</v>
      </c>
      <c r="X95" s="56" cm="1">
        <f t="array" ref="X95:Y95">LINEST(F71:F95,D71:D95)</f>
        <v>-5.5495384615384866</v>
      </c>
      <c r="Y95" s="56">
        <v>5.2379157692307929</v>
      </c>
      <c r="Z95" s="56" cm="1">
        <f t="array" ref="Z95:AA95">LINEST(F66:F95,D66:D95)</f>
        <v>-15.348253615127975</v>
      </c>
      <c r="AA95" s="56">
        <v>14.115546644419778</v>
      </c>
      <c r="AB95" s="37" cm="1">
        <f t="array" ref="AB95:AC95">LINEST(G86:G95,D86:D95)</f>
        <v>-8.5090909090909363</v>
      </c>
      <c r="AC95" s="37">
        <v>8.0499924242424505</v>
      </c>
      <c r="AD95" s="37" cm="1">
        <f t="array" ref="AD95:AE95">LINEST(G81:G95,D81:D95)</f>
        <v>-6.2742857142857185</v>
      </c>
      <c r="AE95" s="37">
        <v>6.0097892857142892</v>
      </c>
      <c r="AF95" s="37" cm="1">
        <f t="array" ref="AF95:AG95">LINEST(G76:G95,D76:D95)</f>
        <v>-5.3215037593985022</v>
      </c>
      <c r="AG95" s="37">
        <v>5.1424429197995041</v>
      </c>
      <c r="AH95" s="37" cm="1">
        <f t="array" ref="AH95:AI95">LINEST(G71:G95,D71:D95)</f>
        <v>-6.1255384615384685</v>
      </c>
      <c r="AI95" s="37">
        <v>5.8716691025641099</v>
      </c>
      <c r="AJ95" s="37" cm="1">
        <f t="array" ref="AJ95:AK95">LINEST(G66:G95,D66:D95)</f>
        <v>-4.5042046718576279</v>
      </c>
      <c r="AK95" s="37">
        <v>4.4044715609937048</v>
      </c>
    </row>
    <row r="96" spans="1:37" x14ac:dyDescent="0.25">
      <c r="A96" s="61">
        <v>502</v>
      </c>
      <c r="B96" s="14">
        <f t="shared" si="1"/>
        <v>90</v>
      </c>
      <c r="C96" s="15">
        <v>43980</v>
      </c>
      <c r="D96" s="16">
        <v>0.91901620370370374</v>
      </c>
      <c r="E96" s="36">
        <v>20.059999999999999</v>
      </c>
      <c r="F96" s="36">
        <v>-0.91</v>
      </c>
      <c r="G96" s="36">
        <v>0.15</v>
      </c>
      <c r="H96" s="56" cm="1">
        <f t="array" ref="H96:I96">LINEST(E87:E96,D87:D96)</f>
        <v>2.0509090909090495</v>
      </c>
      <c r="I96" s="56">
        <v>18.20299949494953</v>
      </c>
      <c r="J96" s="56" cm="1">
        <f t="array" ref="J96:K96">LINEST(E82:E96,D82:D96)</f>
        <v>3.5485714285714032</v>
      </c>
      <c r="K96" s="56">
        <v>16.83397202380954</v>
      </c>
      <c r="L96" s="56" cm="1">
        <f t="array" ref="L96:M96">LINEST(E77:E96,D77:D96)</f>
        <v>2.1762406015037681</v>
      </c>
      <c r="M96" s="56">
        <v>18.081713909774429</v>
      </c>
      <c r="N96" s="56" cm="1">
        <f t="array" ref="N96:O96">LINEST(E72:E96,D72:D96)</f>
        <v>-4.1538461538461213</v>
      </c>
      <c r="O96" s="56">
        <v>23.839421153846125</v>
      </c>
      <c r="P96" s="56" cm="1">
        <f t="array" ref="P96:Q96">LINEST(E67:E96,D67:D96)</f>
        <v>-4.0476974416017804</v>
      </c>
      <c r="Q96" s="56">
        <v>23.744050074156473</v>
      </c>
      <c r="R96" s="56" cm="1">
        <f t="array" ref="R96:S96">LINEST(F87:F96,D87:D96)</f>
        <v>-36.829090909091157</v>
      </c>
      <c r="S96" s="56">
        <v>33.632349494949722</v>
      </c>
      <c r="T96" s="56" cm="1">
        <f t="array" ref="T96:U96">LINEST(F82:F96,D82:D96)</f>
        <v>-42.428571428571452</v>
      </c>
      <c r="U96" s="56">
        <v>38.74804464285716</v>
      </c>
      <c r="V96" s="56" cm="1">
        <f t="array" ref="V96:W96">LINEST(F77:F96,D77:D96)</f>
        <v>-20.641804511278242</v>
      </c>
      <c r="W96" s="56">
        <v>18.875295676691774</v>
      </c>
      <c r="X96" s="56" cm="1">
        <f t="array" ref="X96:Y96">LINEST(F72:F96,D72:D96)</f>
        <v>-9.708923076923119</v>
      </c>
      <c r="Y96" s="56">
        <v>8.9336422435897802</v>
      </c>
      <c r="Z96" s="56" cm="1">
        <f t="array" ref="Z96:AA96">LINEST(F67:F96,D67:D96)</f>
        <v>-20.416284760845432</v>
      </c>
      <c r="AA96" s="56">
        <v>18.645735224323367</v>
      </c>
      <c r="AB96" s="37" cm="1">
        <f t="array" ref="AB96:AC96">LINEST(G87:G96,D87:D96)</f>
        <v>-10.603636363636404</v>
      </c>
      <c r="AC96" s="37">
        <v>9.9516409090909459</v>
      </c>
      <c r="AD96" s="37" cm="1">
        <f t="array" ref="AD96:AE96">LINEST(G82:G96,D82:D96)</f>
        <v>-9.0771428571428601</v>
      </c>
      <c r="AE96" s="37">
        <v>8.5557913690476202</v>
      </c>
      <c r="AF96" s="37" cm="1">
        <f t="array" ref="AF96:AG96">LINEST(G77:G96,D77:D96)</f>
        <v>-6.4800000000000066</v>
      </c>
      <c r="AG96" s="37">
        <v>6.1872250000000069</v>
      </c>
      <c r="AH96" s="37" cm="1">
        <f t="array" ref="AH96:AI96">LINEST(G72:G96,D72:D96)</f>
        <v>-6.4135384615384705</v>
      </c>
      <c r="AI96" s="37">
        <v>6.1260534615384685</v>
      </c>
      <c r="AJ96" s="37" cm="1">
        <f t="array" ref="AJ96:AK96">LINEST(G67:G96,D67:D96)</f>
        <v>-5.7471857619577351</v>
      </c>
      <c r="AK96" s="37">
        <v>5.5226815721171709</v>
      </c>
    </row>
    <row r="97" spans="1:37" x14ac:dyDescent="0.25">
      <c r="A97" s="61">
        <v>502</v>
      </c>
      <c r="B97" s="14">
        <f t="shared" si="1"/>
        <v>91</v>
      </c>
      <c r="C97" s="15">
        <v>43980</v>
      </c>
      <c r="D97" s="16">
        <v>0.92040509259259251</v>
      </c>
      <c r="E97" s="36">
        <v>20.07</v>
      </c>
      <c r="F97" s="36">
        <v>0.2</v>
      </c>
      <c r="G97" s="36">
        <v>0.15</v>
      </c>
      <c r="H97" s="56" cm="1">
        <f t="array" ref="H97:I97">LINEST(E88:E97,D88:D97)</f>
        <v>1.6145454545454538</v>
      </c>
      <c r="I97" s="56">
        <v>18.599055050505051</v>
      </c>
      <c r="J97" s="56" cm="1">
        <f t="array" ref="J97:K97">LINEST(E83:E97,D83:D97)</f>
        <v>2.879999999999979</v>
      </c>
      <c r="K97" s="56">
        <v>17.441233333333351</v>
      </c>
      <c r="L97" s="56" cm="1">
        <f t="array" ref="L97:M97">LINEST(E78:E97,D78:D97)</f>
        <v>4.8180451127819621</v>
      </c>
      <c r="M97" s="56">
        <v>15.672018170426057</v>
      </c>
      <c r="N97" s="56" cm="1">
        <f t="array" ref="N97:O97">LINEST(E73:E97,D73:D97)</f>
        <v>-3.2233846153845911</v>
      </c>
      <c r="O97" s="56">
        <v>22.997496538461519</v>
      </c>
      <c r="P97" s="56" cm="1">
        <f t="array" ref="P97:Q97">LINEST(E68:E97,D68:D97)</f>
        <v>-4.1422024471635153</v>
      </c>
      <c r="Q97" s="56">
        <v>23.833084872080089</v>
      </c>
      <c r="R97" s="56" cm="1">
        <f t="array" ref="R97:S97">LINEST(F88:F97,D88:D97)</f>
        <v>-18.37090909090951</v>
      </c>
      <c r="S97" s="56">
        <v>16.804860101010483</v>
      </c>
      <c r="T97" s="56" cm="1">
        <f t="array" ref="T97:U97">LINEST(F83:F97,D83:D97)</f>
        <v>-17.537142857142985</v>
      </c>
      <c r="U97" s="56">
        <v>16.062108928571543</v>
      </c>
      <c r="V97" s="56" cm="1">
        <f t="array" ref="V97:W97">LINEST(F78:F97,D78:D97)</f>
        <v>-18.790375939849699</v>
      </c>
      <c r="W97" s="56">
        <v>17.218329135338418</v>
      </c>
      <c r="X97" s="56" cm="1">
        <f t="array" ref="X97:Y97">LINEST(F73:F97,D73:D97)</f>
        <v>-8.8283076923077406</v>
      </c>
      <c r="Y97" s="56">
        <v>8.1484808974359417</v>
      </c>
      <c r="Z97" s="56" cm="1">
        <f t="array" ref="Z97:AA97">LINEST(F68:F97,D68:D97)</f>
        <v>-16.354171301446122</v>
      </c>
      <c r="AA97" s="56">
        <v>14.983774378939627</v>
      </c>
      <c r="AB97" s="37" cm="1">
        <f t="array" ref="AB97:AC97">LINEST(G88:G97,D88:D97)</f>
        <v>-11.258181818181892</v>
      </c>
      <c r="AC97" s="37">
        <v>10.543724242424311</v>
      </c>
      <c r="AD97" s="37" cm="1">
        <f t="array" ref="AD97:AE97">LINEST(G83:G97,D83:D97)</f>
        <v>-9.7971428571428643</v>
      </c>
      <c r="AE97" s="37">
        <v>9.2074235119047678</v>
      </c>
      <c r="AF97" s="37" cm="1">
        <f t="array" ref="AF97:AG97">LINEST(G78:G97,D78:D97)</f>
        <v>-7.4923308270676801</v>
      </c>
      <c r="AG97" s="37">
        <v>7.1031223057644217</v>
      </c>
      <c r="AH97" s="37" cm="1">
        <f t="array" ref="AH97:AI97">LINEST(G73:G97,D73:D97)</f>
        <v>-6.5796923076923193</v>
      </c>
      <c r="AI97" s="37">
        <v>6.2715207692307793</v>
      </c>
      <c r="AJ97" s="37" cm="1">
        <f t="array" ref="AJ97:AK97">LINEST(G68:G97,D68:D97)</f>
        <v>-6.5913236929922236</v>
      </c>
      <c r="AK97" s="37">
        <v>6.2829459584723857</v>
      </c>
    </row>
    <row r="98" spans="1:37" x14ac:dyDescent="0.25">
      <c r="A98" s="61">
        <v>502</v>
      </c>
      <c r="B98" s="14">
        <f t="shared" si="1"/>
        <v>92</v>
      </c>
      <c r="C98" s="15">
        <v>43980</v>
      </c>
      <c r="D98" s="16">
        <v>0.92179398148148151</v>
      </c>
      <c r="E98" s="36">
        <v>20.09</v>
      </c>
      <c r="F98" s="36">
        <v>0.48</v>
      </c>
      <c r="G98" s="36">
        <v>0.18</v>
      </c>
      <c r="H98" s="56" cm="1">
        <f t="array" ref="H98:I98">LINEST(E89:E98,D89:D98)</f>
        <v>1.963636363636361</v>
      </c>
      <c r="I98" s="56">
        <v>18.279204545454551</v>
      </c>
      <c r="J98" s="56" cm="1">
        <f t="array" ref="J98:K98">LINEST(E84:E98,D84:D98)</f>
        <v>2.6485714285714237</v>
      </c>
      <c r="K98" s="56">
        <v>17.65231279761905</v>
      </c>
      <c r="L98" s="56" cm="1">
        <f t="array" ref="L98:M98">LINEST(E79:E98,D79:D98)</f>
        <v>4.0168421052631578</v>
      </c>
      <c r="M98" s="56">
        <v>16.401299122807018</v>
      </c>
      <c r="N98" s="56" cm="1">
        <f t="array" ref="N98:O98">LINEST(E74:E98,D74:D98)</f>
        <v>-2.0658461538461377</v>
      </c>
      <c r="O98" s="56">
        <v>21.948253782051268</v>
      </c>
      <c r="P98" s="56" cm="1">
        <f t="array" ref="P98:Q98">LINEST(E69:E98,D69:D98)</f>
        <v>-4.0284760845383705</v>
      </c>
      <c r="Q98" s="56">
        <v>23.734629310344822</v>
      </c>
      <c r="R98" s="56" cm="1">
        <f t="array" ref="R98:S98">LINEST(F89:F98,D89:D98)</f>
        <v>-1.0120770860540281E-13</v>
      </c>
      <c r="S98" s="56">
        <v>5.8000000000092644E-2</v>
      </c>
      <c r="T98" s="56" cm="1">
        <f t="array" ref="T98:U98">LINEST(F84:F98,D84:D98)</f>
        <v>-8.9228571428572199</v>
      </c>
      <c r="U98" s="56">
        <v>8.2502860119048336</v>
      </c>
      <c r="V98" s="56" cm="1">
        <f t="array" ref="V98:W98">LINEST(F79:F98,D79:D98)</f>
        <v>-13.929022556391018</v>
      </c>
      <c r="W98" s="56">
        <v>12.835403446115325</v>
      </c>
      <c r="X98" s="56" cm="1">
        <f t="array" ref="X98:Y98">LINEST(F74:F98,D74:D98)</f>
        <v>-7.4880000000000333</v>
      </c>
      <c r="Y98" s="56">
        <v>6.9639933333333639</v>
      </c>
      <c r="Z98" s="56" cm="1">
        <f t="array" ref="Z98:AA98">LINEST(F69:F98,D69:D98)</f>
        <v>-14.196573971079019</v>
      </c>
      <c r="AA98" s="56">
        <v>13.060746551724177</v>
      </c>
      <c r="AB98" s="37" cm="1">
        <f t="array" ref="AB98:AC98">LINEST(G89:G98,D89:D98)</f>
        <v>-10.3418181818182</v>
      </c>
      <c r="AC98" s="37">
        <v>9.7053893939394111</v>
      </c>
      <c r="AD98" s="37" cm="1">
        <f t="array" ref="AD98:AE98">LINEST(G84:G98,D84:D98)</f>
        <v>-9.7457142857142838</v>
      </c>
      <c r="AE98" s="37">
        <v>9.1607907738095236</v>
      </c>
      <c r="AF98" s="37" cm="1">
        <f t="array" ref="AF98:AG98">LINEST(G79:G98,D79:D98)</f>
        <v>-7.9470676691729372</v>
      </c>
      <c r="AG98" s="37">
        <v>7.5167020050125366</v>
      </c>
      <c r="AH98" s="37" cm="1">
        <f t="array" ref="AH98:AI98">LINEST(G74:G98,D74:D98)</f>
        <v>-6.6461538461538545</v>
      </c>
      <c r="AI98" s="37">
        <v>6.3300153846153924</v>
      </c>
      <c r="AJ98" s="37" cm="1">
        <f t="array" ref="AJ98:AK98">LINEST(G69:G98,D69:D98)</f>
        <v>-7.1727697441601839</v>
      </c>
      <c r="AK98" s="37">
        <v>6.809364367816098</v>
      </c>
    </row>
    <row r="99" spans="1:37" x14ac:dyDescent="0.25">
      <c r="A99" s="61">
        <v>502</v>
      </c>
      <c r="B99" s="14">
        <f t="shared" si="1"/>
        <v>93</v>
      </c>
      <c r="C99" s="15">
        <v>43980</v>
      </c>
      <c r="D99" s="16">
        <v>0.92318287037037028</v>
      </c>
      <c r="E99" s="36">
        <v>20.05</v>
      </c>
      <c r="F99" s="36">
        <v>-1.08</v>
      </c>
      <c r="G99" s="36">
        <v>0.08</v>
      </c>
      <c r="H99" s="56" cm="1">
        <f t="array" ref="H99:I99">LINEST(E90:E99,D90:D99)</f>
        <v>-0.87272727272729189</v>
      </c>
      <c r="I99" s="56">
        <v>20.878232323232339</v>
      </c>
      <c r="J99" s="56" cm="1">
        <f t="array" ref="J99:K99">LINEST(E85:E99,D85:D99)</f>
        <v>1.5428571428571829</v>
      </c>
      <c r="K99" s="56">
        <v>18.659994047619008</v>
      </c>
      <c r="L99" s="56" cm="1">
        <f t="array" ref="L99:M99">LINEST(E80:E99,D80:D99)</f>
        <v>3.1993984962406214</v>
      </c>
      <c r="M99" s="56">
        <v>17.143084398496221</v>
      </c>
      <c r="N99" s="56" cm="1">
        <f t="array" ref="N99:O99">LINEST(E75:E99,D75:D99)</f>
        <v>-1.0910769230769122</v>
      </c>
      <c r="O99" s="56">
        <v>21.059878910256398</v>
      </c>
      <c r="P99" s="56" cm="1">
        <f t="array" ref="P99:Q99">LINEST(E70:E99,D70:D99)</f>
        <v>-3.8362625139043254</v>
      </c>
      <c r="Q99" s="56">
        <v>23.561980441230986</v>
      </c>
      <c r="R99" s="56" cm="1">
        <f t="array" ref="R99:S99">LINEST(F90:F99,D90:D99)</f>
        <v>-78.676363636364258</v>
      </c>
      <c r="S99" s="56">
        <v>72.155943939394504</v>
      </c>
      <c r="T99" s="56" cm="1">
        <f t="array" ref="T99:U99">LINEST(F85:F99,D85:D99)</f>
        <v>-33.094285714285753</v>
      </c>
      <c r="U99" s="56">
        <v>30.271661011904797</v>
      </c>
      <c r="V99" s="56" cm="1">
        <f t="array" ref="V99:W99">LINEST(F80:F99,D80:D99)</f>
        <v>-25.286616541353386</v>
      </c>
      <c r="W99" s="56">
        <v>23.120028383458653</v>
      </c>
      <c r="X99" s="56" cm="1">
        <f t="array" ref="X99:Y99">LINEST(F75:F99,D75:D99)</f>
        <v>-17.82276923076925</v>
      </c>
      <c r="Y99" s="56">
        <v>16.303029102564118</v>
      </c>
      <c r="Z99" s="56" cm="1">
        <f t="array" ref="Z99:AA99">LINEST(F70:F99,D70:D99)</f>
        <v>-14.813259176863202</v>
      </c>
      <c r="AA99" s="56">
        <v>13.555024545791639</v>
      </c>
      <c r="AB99" s="37" cm="1">
        <f t="array" ref="AB99:AC99">LINEST(G90:G99,D90:D99)</f>
        <v>-15.40363636363646</v>
      </c>
      <c r="AC99" s="37">
        <v>14.343100505050591</v>
      </c>
      <c r="AD99" s="37" cm="1">
        <f t="array" ref="AD99:AE99">LINEST(G85:G99,D85:D99)</f>
        <v>-11.597142857142867</v>
      </c>
      <c r="AE99" s="37">
        <v>10.847533630952389</v>
      </c>
      <c r="AF99" s="37" cm="1">
        <f t="array" ref="AF99:AG99">LINEST(G80:G99,D80:D99)</f>
        <v>-9.3275187969924858</v>
      </c>
      <c r="AG99" s="37">
        <v>8.7694341478696796</v>
      </c>
      <c r="AH99" s="37" cm="1">
        <f t="array" ref="AH99:AI99">LINEST(G75:G99,D75:D99)</f>
        <v>-7.5156923076923148</v>
      </c>
      <c r="AI99" s="37">
        <v>7.1142968589743649</v>
      </c>
      <c r="AJ99" s="37" cm="1">
        <f t="array" ref="AJ99:AK99">LINEST(G70:G99,D70:D99)</f>
        <v>-7.7542157953281521</v>
      </c>
      <c r="AK99" s="37">
        <v>7.3313979050797276</v>
      </c>
    </row>
    <row r="100" spans="1:37" x14ac:dyDescent="0.25">
      <c r="A100" s="61">
        <v>502</v>
      </c>
      <c r="B100" s="14">
        <f t="shared" si="1"/>
        <v>94</v>
      </c>
      <c r="C100" s="15">
        <v>43980</v>
      </c>
      <c r="D100" s="16">
        <v>0.92457175925925927</v>
      </c>
      <c r="E100" s="36">
        <v>20.100000000000001</v>
      </c>
      <c r="F100" s="36">
        <v>1.38</v>
      </c>
      <c r="G100" s="36">
        <v>0.18</v>
      </c>
      <c r="H100" s="56" cm="1">
        <f t="array" ref="H100:I100">LINEST(E91:E100,D91:D100)</f>
        <v>-1.3527272727271855</v>
      </c>
      <c r="I100" s="56">
        <v>21.325238888888812</v>
      </c>
      <c r="J100" s="56" cm="1">
        <f t="array" ref="J100:K100">LINEST(E86:E100,D86:D100)</f>
        <v>1.0800000000000569</v>
      </c>
      <c r="K100" s="56">
        <v>19.086629166666615</v>
      </c>
      <c r="L100" s="56" cm="1">
        <f t="array" ref="L100:M100">LINEST(E81:E100,D81:D100)</f>
        <v>2.9341353383458788</v>
      </c>
      <c r="M100" s="56">
        <v>17.385895614035071</v>
      </c>
      <c r="N100" s="56" cm="1">
        <f t="array" ref="N100:O100">LINEST(E76:E100,D76:D100)</f>
        <v>0.32123076923078081</v>
      </c>
      <c r="O100" s="56">
        <v>19.773552948717938</v>
      </c>
      <c r="P100" s="56" cm="1">
        <f t="array" ref="P100:Q100">LINEST(E71:E100,D71:D100)</f>
        <v>-3.2676307007786138</v>
      </c>
      <c r="Q100" s="56">
        <v>23.049352614015543</v>
      </c>
      <c r="R100" s="56" cm="1">
        <f t="array" ref="R100:S100">LINEST(F91:F100,D91:D100)</f>
        <v>-15.229090909090464</v>
      </c>
      <c r="S100" s="56">
        <v>14.116205555555144</v>
      </c>
      <c r="T100" s="56" cm="1">
        <f t="array" ref="T100:U100">LINEST(F86:F100,D86:D100)</f>
        <v>-15.40285714285703</v>
      </c>
      <c r="U100" s="56">
        <v>14.242630059523709</v>
      </c>
      <c r="V100" s="56" cm="1">
        <f t="array" ref="V100:W100">LINEST(F81:F100,D81:D100)</f>
        <v>-9.8255639097743899</v>
      </c>
      <c r="W100" s="56">
        <v>9.1172960526315361</v>
      </c>
      <c r="X100" s="56" cm="1">
        <f t="array" ref="X100:Y100">LINEST(F76:F100,D76:D100)</f>
        <v>-10.318153846153825</v>
      </c>
      <c r="Y100" s="56">
        <v>9.5675044230769029</v>
      </c>
      <c r="Z100" s="56" cm="1">
        <f t="array" ref="Z100:AA100">LINEST(F71:F100,D71:D100)</f>
        <v>-6.6377753058954392</v>
      </c>
      <c r="AA100" s="56">
        <v>6.2040888394512423</v>
      </c>
      <c r="AB100" s="37" cm="1">
        <f t="array" ref="AB100:AC100">LINEST(G91:G100,D91:D100)</f>
        <v>-15.447272727272701</v>
      </c>
      <c r="AC100" s="37">
        <v>14.39756666666664</v>
      </c>
      <c r="AD100" s="37" cm="1">
        <f t="array" ref="AD100:AE100">LINEST(G86:G100,D86:D100)</f>
        <v>-11.982857142857155</v>
      </c>
      <c r="AE100" s="37">
        <v>11.208511309523823</v>
      </c>
      <c r="AF100" s="37" cm="1">
        <f t="array" ref="AF100:AG100">LINEST(G81:G100,D81:D100)</f>
        <v>-9.3654135338345856</v>
      </c>
      <c r="AG100" s="37">
        <v>8.807425438596491</v>
      </c>
      <c r="AH100" s="37" cm="1">
        <f t="array" ref="AH100:AI100">LINEST(G76:G100,D76:D100)</f>
        <v>-7.7538461538461609</v>
      </c>
      <c r="AI100" s="37">
        <v>7.3329564102564158</v>
      </c>
      <c r="AJ100" s="37" cm="1">
        <f t="array" ref="AJ100:AK100">LINEST(G71:G100,D71:D100)</f>
        <v>-7.6468965517241436</v>
      </c>
      <c r="AK100" s="37">
        <v>7.2347712643678221</v>
      </c>
    </row>
    <row r="101" spans="1:37" x14ac:dyDescent="0.25">
      <c r="A101" s="61">
        <v>502</v>
      </c>
      <c r="B101" s="14">
        <f t="shared" si="1"/>
        <v>95</v>
      </c>
      <c r="C101" s="15">
        <v>43980</v>
      </c>
      <c r="D101" s="16">
        <v>0.92596064814814805</v>
      </c>
      <c r="E101" s="36">
        <v>20.079999999999998</v>
      </c>
      <c r="F101" s="36">
        <v>-0.49</v>
      </c>
      <c r="G101" s="36">
        <v>0.13</v>
      </c>
      <c r="H101" s="56" cm="1">
        <f t="array" ref="H101:I101">LINEST(E92:E101,D92:D101)</f>
        <v>-1.614545454545548</v>
      </c>
      <c r="I101" s="56">
        <v>21.567914646464736</v>
      </c>
      <c r="J101" s="56" cm="1">
        <f t="array" ref="J101:K101">LINEST(E87:E101,D87:D101)</f>
        <v>0.87428571428571389</v>
      </c>
      <c r="K101" s="56">
        <v>19.274945833333334</v>
      </c>
      <c r="L101" s="56" cm="1">
        <f t="array" ref="L101:M101">LINEST(E82:E101,D82:D101)</f>
        <v>2.2303759398496248</v>
      </c>
      <c r="M101" s="56">
        <v>18.029188220551372</v>
      </c>
      <c r="N101" s="56" cm="1">
        <f t="array" ref="N101:O101">LINEST(E77:E101,D77:D101)</f>
        <v>1.8221538461538569</v>
      </c>
      <c r="O101" s="56">
        <v>18.401126474358964</v>
      </c>
      <c r="P101" s="56" cm="1">
        <f t="array" ref="P101:Q101">LINEST(E72:E101,D72:D101)</f>
        <v>-2.6573526140155508</v>
      </c>
      <c r="Q101" s="56">
        <v>22.496087819799762</v>
      </c>
      <c r="R101" s="56" cm="1">
        <f t="array" ref="R101:S101">LINEST(F92:F101,D92:D101)</f>
        <v>-9.9054545454537628</v>
      </c>
      <c r="S101" s="56">
        <v>9.1171520202012992</v>
      </c>
      <c r="T101" s="56" cm="1">
        <f t="array" ref="T101:U101">LINEST(F87:F101,D87:D101)</f>
        <v>-6.814285714285484</v>
      </c>
      <c r="U101" s="56">
        <v>6.2868437499997887</v>
      </c>
      <c r="V101" s="56" cm="1">
        <f t="array" ref="V101:W101">LINEST(F82:F101,D82:D101)</f>
        <v>-21.226466165413481</v>
      </c>
      <c r="W101" s="56">
        <v>19.525300939849579</v>
      </c>
      <c r="X101" s="56" cm="1">
        <f t="array" ref="X101:Y101">LINEST(F77:F101,D77:D101)</f>
        <v>-13.026461538461513</v>
      </c>
      <c r="Y101" s="56">
        <v>12.006483076923056</v>
      </c>
      <c r="Z101" s="56" cm="1">
        <f t="array" ref="Z101:AA101">LINEST(F72:F101,D72:D101)</f>
        <v>-7.2672747497219019</v>
      </c>
      <c r="AA101" s="56">
        <v>6.7431889321468192</v>
      </c>
      <c r="AB101" s="37" cm="1">
        <f t="array" ref="AB101:AC101">LINEST(G92:G101,D92:D101)</f>
        <v>-14.923636363636426</v>
      </c>
      <c r="AC101" s="37">
        <v>13.921427272727328</v>
      </c>
      <c r="AD101" s="37" cm="1">
        <f t="array" ref="AD101:AE101">LINEST(G87:G101,D87:D101)</f>
        <v>-11.520000000000033</v>
      </c>
      <c r="AE101" s="37">
        <v>10.785066666666697</v>
      </c>
      <c r="AF101" s="37" cm="1">
        <f t="array" ref="AF101:AG101">LINEST(G82:G101,D82:D101)</f>
        <v>-10.280300751879709</v>
      </c>
      <c r="AG101" s="37">
        <v>9.6460110902255725</v>
      </c>
      <c r="AH101" s="37" cm="1">
        <f t="array" ref="AH101:AI101">LINEST(G77:G101,D77:D101)</f>
        <v>-8.1415384615384685</v>
      </c>
      <c r="AI101" s="37">
        <v>7.6858519230769309</v>
      </c>
      <c r="AJ101" s="37" cm="1">
        <f t="array" ref="AJ101:AK101">LINEST(G72:G101,D72:D101)</f>
        <v>-7.622869855394895</v>
      </c>
      <c r="AK101" s="37">
        <v>7.211294716351512</v>
      </c>
    </row>
    <row r="102" spans="1:37" x14ac:dyDescent="0.25">
      <c r="A102" s="61">
        <v>502</v>
      </c>
      <c r="B102" s="14">
        <f t="shared" si="1"/>
        <v>96</v>
      </c>
      <c r="C102" s="15">
        <v>43980</v>
      </c>
      <c r="D102" s="16">
        <v>0.92734953703703704</v>
      </c>
      <c r="E102" s="36">
        <v>20.09</v>
      </c>
      <c r="F102" s="36">
        <v>0.22</v>
      </c>
      <c r="G102" s="36">
        <v>0.14000000000000001</v>
      </c>
      <c r="H102" s="56" cm="1">
        <f t="array" ref="H102:I102">LINEST(E93:E102,D93:D102)</f>
        <v>-0.52363636363639976</v>
      </c>
      <c r="I102" s="56">
        <v>20.564321212121246</v>
      </c>
      <c r="J102" s="56" cm="1">
        <f t="array" ref="J102:K102">LINEST(E88:E102,D88:D102)</f>
        <v>1.0028571428571451</v>
      </c>
      <c r="K102" s="56">
        <v>19.157084226190474</v>
      </c>
      <c r="L102" s="56" cm="1">
        <f t="array" ref="L102:M102">LINEST(E83:E102,D83:D102)</f>
        <v>1.9759398496240523</v>
      </c>
      <c r="M102" s="56">
        <v>18.262184523809527</v>
      </c>
      <c r="N102" s="56" cm="1">
        <f t="array" ref="N102:O102">LINEST(E78:E102,D78:D102)</f>
        <v>3.5612307692307752</v>
      </c>
      <c r="O102" s="56">
        <v>16.807648141025631</v>
      </c>
      <c r="P102" s="56" cm="1">
        <f t="array" ref="P102:Q102">LINEST(E73:E102,D73:D102)</f>
        <v>-1.9029143492769574</v>
      </c>
      <c r="Q102" s="56">
        <v>21.810344160177962</v>
      </c>
      <c r="R102" s="56" cm="1">
        <f t="array" ref="R102:S102">LINEST(F93:F102,D93:D102)</f>
        <v>26.443636363637079</v>
      </c>
      <c r="S102" s="56">
        <v>-24.387221212121869</v>
      </c>
      <c r="T102" s="56" cm="1">
        <f t="array" ref="T102:U102">LINEST(F88:F102,D88:D102)</f>
        <v>0.61714285714314421</v>
      </c>
      <c r="U102" s="56">
        <v>-0.52497380952407302</v>
      </c>
      <c r="V102" s="56" cm="1">
        <f t="array" ref="V102:W102">LINEST(F83:F102,D83:D102)</f>
        <v>-6.875187969924716</v>
      </c>
      <c r="W102" s="56">
        <v>6.3789880952380082</v>
      </c>
      <c r="X102" s="56" cm="1">
        <f t="array" ref="X102:Y102">LINEST(F78:F102,D78:D102)</f>
        <v>-11.497846153846121</v>
      </c>
      <c r="Y102" s="56">
        <v>10.62849153846151</v>
      </c>
      <c r="Z102" s="56" cm="1">
        <f t="array" ref="Z102:AA102">LINEST(F73:F102,D73:D102)</f>
        <v>-6.4455617352613892</v>
      </c>
      <c r="AA102" s="56">
        <v>6.0061489061920552</v>
      </c>
      <c r="AB102" s="37" cm="1">
        <f t="array" ref="AB102:AC102">LINEST(G93:G102,D93:D102)</f>
        <v>-11.650909090909074</v>
      </c>
      <c r="AC102" s="37">
        <v>10.910646969696954</v>
      </c>
      <c r="AD102" s="37" cm="1">
        <f t="array" ref="AD102:AE102">LINEST(G88:G102,D88:D102)</f>
        <v>-10.465714285714308</v>
      </c>
      <c r="AE102" s="37">
        <v>9.8189586309524035</v>
      </c>
      <c r="AF102" s="37" cm="1">
        <f t="array" ref="AF102:AG102">LINEST(G83:G102,D83:D102)</f>
        <v>-9.977142857142864</v>
      </c>
      <c r="AG102" s="37">
        <v>9.3701559523809586</v>
      </c>
      <c r="AH102" s="37" cm="1">
        <f t="array" ref="AH102:AI102">LINEST(G78:G102,D78:D102)</f>
        <v>-8.3907692307692354</v>
      </c>
      <c r="AI102" s="37">
        <v>7.9145298076923138</v>
      </c>
      <c r="AJ102" s="37" cm="1">
        <f t="array" ref="AJ102:AK102">LINEST(G73:G102,D73:D102)</f>
        <v>-7.4835150166852191</v>
      </c>
      <c r="AK102" s="37">
        <v>7.0837911753800649</v>
      </c>
    </row>
    <row r="103" spans="1:37" x14ac:dyDescent="0.25">
      <c r="A103" s="61">
        <v>502</v>
      </c>
      <c r="B103" s="14">
        <f t="shared" si="1"/>
        <v>97</v>
      </c>
      <c r="C103" s="15">
        <v>43980</v>
      </c>
      <c r="D103" s="16">
        <v>0.92873842592592604</v>
      </c>
      <c r="E103" s="36">
        <v>20.12</v>
      </c>
      <c r="F103" s="36">
        <v>1.1299999999999999</v>
      </c>
      <c r="G103" s="36">
        <v>0.21</v>
      </c>
      <c r="H103" s="56" cm="1">
        <f t="array" ref="H103:I103">LINEST(E94:E103,D94:D103)</f>
        <v>1.8327272727273678</v>
      </c>
      <c r="I103" s="56">
        <v>18.393330303030215</v>
      </c>
      <c r="J103" s="56" cm="1">
        <f t="array" ref="J103:K103">LINEST(E89:E103,D89:D103)</f>
        <v>1.6200000000000268</v>
      </c>
      <c r="K103" s="56">
        <v>18.591860416666641</v>
      </c>
      <c r="L103" s="56" cm="1">
        <f t="array" ref="L103:M103">LINEST(E84:E103,D84:D103)</f>
        <v>2.0679699248120444</v>
      </c>
      <c r="M103" s="56">
        <v>18.179682581453619</v>
      </c>
      <c r="N103" s="56" cm="1">
        <f t="array" ref="N103:O103">LINEST(E79:E103,D79:D103)</f>
        <v>3.1513846153846257</v>
      </c>
      <c r="O103" s="56">
        <v>17.184111089743578</v>
      </c>
      <c r="P103" s="56" cm="1">
        <f t="array" ref="P103:Q103">LINEST(E74:E103,D74:D103)</f>
        <v>-0.96106785317016996</v>
      </c>
      <c r="Q103" s="56">
        <v>20.953225806451599</v>
      </c>
      <c r="R103" s="56" cm="1">
        <f t="array" ref="R103:S103">LINEST(F94:F103,D94:D103)</f>
        <v>75.360000000001151</v>
      </c>
      <c r="S103" s="56">
        <v>-69.439727777778856</v>
      </c>
      <c r="T103" s="56" cm="1">
        <f t="array" ref="T103:U103">LINEST(F89:F103,D89:D103)</f>
        <v>19.568571428571946</v>
      </c>
      <c r="U103" s="56">
        <v>-17.867834226190954</v>
      </c>
      <c r="V103" s="56" cm="1">
        <f t="array" ref="V103:W103">LINEST(F84:F103,D84:D103)</f>
        <v>4.644812030075391</v>
      </c>
      <c r="W103" s="56">
        <v>-4.1105296992483069</v>
      </c>
      <c r="X103" s="56" cm="1">
        <f t="array" ref="X103:Y103">LINEST(F79:F103,D79:D103)</f>
        <v>-3.86584615384605</v>
      </c>
      <c r="Y103" s="56">
        <v>3.7159291025640084</v>
      </c>
      <c r="Z103" s="56" cm="1">
        <f t="array" ref="Z103:AA103">LINEST(F74:F103,D74:D103)</f>
        <v>-2.3738375973303087</v>
      </c>
      <c r="AA103" s="56">
        <v>2.3508677419354314</v>
      </c>
      <c r="AB103" s="37" cm="1">
        <f t="array" ref="AB103:AC103">LINEST(G94:G103,D94:D103)</f>
        <v>-5.1054545454544114</v>
      </c>
      <c r="AC103" s="37">
        <v>4.8807227272726044</v>
      </c>
      <c r="AD103" s="37" cm="1">
        <f t="array" ref="AD103:AE103">LINEST(G89:G103,D89:D103)</f>
        <v>-8.202857142857102</v>
      </c>
      <c r="AE103" s="37">
        <v>7.7458919642856783</v>
      </c>
      <c r="AF103" s="37" cm="1">
        <f t="array" ref="AF103:AG103">LINEST(G84:G103,D84:D103)</f>
        <v>-8.8998496240601295</v>
      </c>
      <c r="AG103" s="37">
        <v>8.3892037593984785</v>
      </c>
      <c r="AH103" s="37" cm="1">
        <f t="array" ref="AH103:AI103">LINEST(G79:G103,D79:D103)</f>
        <v>-8.0418461538461461</v>
      </c>
      <c r="AI103" s="37">
        <v>7.6011407692307635</v>
      </c>
      <c r="AJ103" s="37" cm="1">
        <f t="array" ref="AJ103:AK103">LINEST(G74:G103,D74:D103)</f>
        <v>-7.1054949944382662</v>
      </c>
      <c r="AK103" s="37">
        <v>6.742716129032261</v>
      </c>
    </row>
    <row r="104" spans="1:37" x14ac:dyDescent="0.25">
      <c r="A104" s="61">
        <v>502</v>
      </c>
      <c r="B104" s="14">
        <f t="shared" si="1"/>
        <v>98</v>
      </c>
      <c r="C104" s="15">
        <v>43980</v>
      </c>
      <c r="D104" s="16">
        <v>0.93012731481481481</v>
      </c>
      <c r="E104" s="36">
        <v>20.170000000000002</v>
      </c>
      <c r="F104" s="36">
        <v>1.3</v>
      </c>
      <c r="G104" s="36">
        <v>0.3</v>
      </c>
      <c r="H104" s="56" cm="1">
        <f t="array" ref="H104:I104">LINEST(E95:E104,D95:D104)</f>
        <v>5.4981818181819264</v>
      </c>
      <c r="I104" s="56">
        <v>15.012354545454448</v>
      </c>
      <c r="J104" s="56" cm="1">
        <f t="array" ref="J104:K104">LINEST(E90:E104,D90:D104)</f>
        <v>2.3914285714286105</v>
      </c>
      <c r="K104" s="56">
        <v>17.88825029761901</v>
      </c>
      <c r="L104" s="56" cm="1">
        <f t="array" ref="L104:M104">LINEST(E85:E104,D85:D104)</f>
        <v>2.5768421052632018</v>
      </c>
      <c r="M104" s="56">
        <v>17.717208771929783</v>
      </c>
      <c r="N104" s="56" cm="1">
        <f t="array" ref="N104:O104">LINEST(E80:E104,D80:D104)</f>
        <v>3.3286153846154081</v>
      </c>
      <c r="O104" s="56">
        <v>17.02544083333331</v>
      </c>
      <c r="P104" s="56" cm="1">
        <f t="array" ref="P104:Q104">LINEST(E75:E104,D75:D104)</f>
        <v>0.25147942157955322</v>
      </c>
      <c r="Q104" s="56">
        <v>19.848823303670731</v>
      </c>
      <c r="R104" s="56" cm="1">
        <f t="array" ref="R104:S104">LINEST(F95:F104,D95:D104)</f>
        <v>107.52000000000055</v>
      </c>
      <c r="S104" s="56">
        <v>-99.1012888888894</v>
      </c>
      <c r="T104" s="56" cm="1">
        <f t="array" ref="T104:U104">LINEST(F90:F104,D90:D104)</f>
        <v>25.122857142857637</v>
      </c>
      <c r="U104" s="56">
        <v>-22.87720565476236</v>
      </c>
      <c r="V104" s="56" cm="1">
        <f t="array" ref="V104:W104">LINEST(F85:F104,D85:D104)</f>
        <v>14.713984962406215</v>
      </c>
      <c r="W104" s="56">
        <v>-13.283736466165596</v>
      </c>
      <c r="X104" s="56" cm="1">
        <f t="array" ref="X104:Y104">LINEST(F80:F104,D80:D104)</f>
        <v>4.4473846153847214</v>
      </c>
      <c r="Y104" s="56">
        <v>-3.8333108333334303</v>
      </c>
      <c r="Z104" s="56" cm="1">
        <f t="array" ref="Z104:AA104">LINEST(F75:F104,D75:D104)</f>
        <v>1.4031590656285353</v>
      </c>
      <c r="AA104" s="56">
        <v>-1.0368585094550038</v>
      </c>
      <c r="AB104" s="37" cm="1">
        <f t="array" ref="AB104:AC104">LINEST(G95:G104,D95:D104)</f>
        <v>3.7527272727273142</v>
      </c>
      <c r="AC104" s="37">
        <v>-3.2910595959596343</v>
      </c>
      <c r="AD104" s="37" cm="1">
        <f t="array" ref="AD104:AE104">LINEST(G90:G104,D90:D104)</f>
        <v>-5.45142857142854</v>
      </c>
      <c r="AE104" s="37">
        <v>5.2275226190475905</v>
      </c>
      <c r="AF104" s="37" cm="1">
        <f t="array" ref="AF104:AG104">LINEST(G85:G104,D85:D104)</f>
        <v>-7.0538345864661487</v>
      </c>
      <c r="AG104" s="37">
        <v>6.7063927944861996</v>
      </c>
      <c r="AH104" s="37" cm="1">
        <f t="array" ref="AH104:AI104">LINEST(G80:G104,D80:D104)</f>
        <v>-7.072615384615375</v>
      </c>
      <c r="AI104" s="37">
        <v>6.7241558333333256</v>
      </c>
      <c r="AJ104" s="37" cm="1">
        <f t="array" ref="AJ104:AK104">LINEST(G75:G104,D75:D104)</f>
        <v>-6.4311457174638473</v>
      </c>
      <c r="AK104" s="37">
        <v>6.1352681683351857</v>
      </c>
    </row>
    <row r="105" spans="1:37" x14ac:dyDescent="0.25">
      <c r="A105" s="61">
        <v>502</v>
      </c>
      <c r="B105" s="14">
        <f t="shared" si="1"/>
        <v>99</v>
      </c>
      <c r="C105" s="15">
        <v>43980</v>
      </c>
      <c r="D105" s="16">
        <v>0.9315162037037038</v>
      </c>
      <c r="E105" s="36">
        <v>20.149999999999999</v>
      </c>
      <c r="F105" s="36">
        <v>-0.63</v>
      </c>
      <c r="G105" s="36">
        <v>0.23</v>
      </c>
      <c r="H105" s="56" cm="1">
        <f t="array" ref="H105:I105">LINEST(E96:E105,D96:D105)</f>
        <v>7.6800000000000113</v>
      </c>
      <c r="I105" s="56">
        <v>12.991955555555545</v>
      </c>
      <c r="J105" s="56" cm="1">
        <f t="array" ref="J105:K105">LINEST(E91:E105,D91:D105)</f>
        <v>2.6742857142857321</v>
      </c>
      <c r="K105" s="56">
        <v>17.630859523809509</v>
      </c>
      <c r="L105" s="56" cm="1">
        <f t="array" ref="L105:M105">LINEST(E86:E105,D86:D105)</f>
        <v>2.6147368421052857</v>
      </c>
      <c r="M105" s="56">
        <v>17.685330263157873</v>
      </c>
      <c r="N105" s="56" cm="1">
        <f t="array" ref="N105:O105">LINEST(E81:E105,D81:D105)</f>
        <v>3.3396923076923066</v>
      </c>
      <c r="O105" s="56">
        <v>17.017084038461533</v>
      </c>
      <c r="P105" s="56" cm="1">
        <f t="array" ref="P105:Q105">LINEST(E76:E105,D76:D105)</f>
        <v>1.3935483870967791</v>
      </c>
      <c r="Q105" s="56">
        <v>18.804618279569887</v>
      </c>
      <c r="R105" s="56" cm="1">
        <f t="array" ref="R105:S105">LINEST(F96:F105,D96:D105)</f>
        <v>67.636363636363811</v>
      </c>
      <c r="S105" s="56">
        <v>-62.421641414141575</v>
      </c>
      <c r="T105" s="56" cm="1">
        <f t="array" ref="T105:U105">LINEST(F91:F105,D91:D105)</f>
        <v>8.8200000000002721</v>
      </c>
      <c r="U105" s="56">
        <v>-7.9408895833335835</v>
      </c>
      <c r="V105" s="56" cm="1">
        <f t="array" ref="V105:W105">LINEST(F86:F105,D86:D105)</f>
        <v>0.66045112781967463</v>
      </c>
      <c r="W105" s="56">
        <v>-0.41650664160412559</v>
      </c>
      <c r="X105" s="56" cm="1">
        <f t="array" ref="X105:Y105">LINEST(F81:F105,D81:D105)</f>
        <v>-0.60923076923070418</v>
      </c>
      <c r="Y105" s="56">
        <v>0.74855448717942763</v>
      </c>
      <c r="Z105" s="56" cm="1">
        <f t="array" ref="Z105:AA105">LINEST(F76:F105,D76:D105)</f>
        <v>-3.5815795328141933</v>
      </c>
      <c r="AA105" s="56">
        <v>3.4815036707452318</v>
      </c>
      <c r="AB105" s="37" cm="1">
        <f t="array" ref="AB105:AC105">LINEST(G96:G105,D96:D105)</f>
        <v>8.945454545454556</v>
      </c>
      <c r="AC105" s="37">
        <v>-8.1019267676767761</v>
      </c>
      <c r="AD105" s="37" cm="1">
        <f t="array" ref="AD105:AE105">LINEST(G91:G105,D91:D105)</f>
        <v>-4.2685714285713683</v>
      </c>
      <c r="AE105" s="37">
        <v>4.1434101190475632</v>
      </c>
      <c r="AF105" s="37" cm="1">
        <f t="array" ref="AF105:AG105">LINEST(G86:G105,D86:D105)</f>
        <v>-6.4421052631578659</v>
      </c>
      <c r="AG105" s="37">
        <v>6.1509254385964658</v>
      </c>
      <c r="AH105" s="37" cm="1">
        <f t="array" ref="AH105:AI105">LINEST(G81:G105,D81:D105)</f>
        <v>-6.5298461538461376</v>
      </c>
      <c r="AI105" s="37">
        <v>6.2318267307692166</v>
      </c>
      <c r="AJ105" s="37" cm="1">
        <f t="array" ref="AJ105:AK105">LINEST(G76:G105,D76:D105)</f>
        <v>-6.1956840934371442</v>
      </c>
      <c r="AK105" s="37">
        <v>5.9246059325176041</v>
      </c>
    </row>
    <row r="106" spans="1:37" x14ac:dyDescent="0.25">
      <c r="A106" s="61">
        <v>502</v>
      </c>
      <c r="B106" s="14">
        <f t="shared" si="1"/>
        <v>100</v>
      </c>
      <c r="C106" s="15">
        <v>43980</v>
      </c>
      <c r="D106" s="16">
        <v>0.93290509259259258</v>
      </c>
      <c r="E106" s="36">
        <v>20.13</v>
      </c>
      <c r="F106" s="36">
        <v>-0.44</v>
      </c>
      <c r="G106" s="36">
        <v>0.17</v>
      </c>
      <c r="H106" s="56" cm="1">
        <f t="array" ref="H106:I106">LINEST(E97:E106,D97:D106)</f>
        <v>7.1127272727271809</v>
      </c>
      <c r="I106" s="56">
        <v>13.513955050505132</v>
      </c>
      <c r="J106" s="56" cm="1">
        <f t="array" ref="J106:K106">LINEST(E92:E106,D92:D106)</f>
        <v>2.9571428571428213</v>
      </c>
      <c r="K106" s="56">
        <v>17.369349702380987</v>
      </c>
      <c r="L106" s="56" cm="1">
        <f t="array" ref="L106:M106">LINEST(E87:E106,D87:D106)</f>
        <v>2.7609022556390954</v>
      </c>
      <c r="M106" s="56">
        <v>17.550768796992479</v>
      </c>
      <c r="N106" s="56" cm="1">
        <f t="array" ref="N106:O106">LINEST(E82:E106,D82:D106)</f>
        <v>3.0572307692307645</v>
      </c>
      <c r="O106" s="56">
        <v>17.277247692307689</v>
      </c>
      <c r="P106" s="56" cm="1">
        <f t="array" ref="P106:Q106">LINEST(E77:E106,D77:D106)</f>
        <v>2.5708565072302618</v>
      </c>
      <c r="Q106" s="56">
        <v>17.7237423989618</v>
      </c>
      <c r="R106" s="56" cm="1">
        <f t="array" ref="R106:S106">LINEST(F97:F106,D97:D106)</f>
        <v>-7.2872727272711302</v>
      </c>
      <c r="S106" s="56">
        <v>6.959788383836905</v>
      </c>
      <c r="T106" s="56" cm="1">
        <f t="array" ref="T106:U106">LINEST(F92:F106,D92:D106)</f>
        <v>9.0257142857146331</v>
      </c>
      <c r="U106" s="56">
        <v>-8.222384821428891</v>
      </c>
      <c r="V106" s="56" cm="1">
        <f t="array" ref="V106:W106">LINEST(F87:F106,D87:D106)</f>
        <v>4.8667669172933836</v>
      </c>
      <c r="W106" s="56">
        <v>-4.3645173558898627</v>
      </c>
      <c r="X106" s="56" cm="1">
        <f t="array" ref="X106:Y106">LINEST(F82:F106,D82:D106)</f>
        <v>-7.9809230769229895</v>
      </c>
      <c r="Y106" s="56">
        <v>7.4960283974358175</v>
      </c>
      <c r="Z106" s="56" cm="1">
        <f t="array" ref="Z106:AA106">LINEST(F77:F106,D77:D106)</f>
        <v>-5.4300333704115245</v>
      </c>
      <c r="AA106" s="56">
        <v>5.1436842788282879</v>
      </c>
      <c r="AB106" s="37" cm="1">
        <f t="array" ref="AB106:AC106">LINEST(G97:G106,D97:D106)</f>
        <v>7.5490909090909337</v>
      </c>
      <c r="AC106" s="37">
        <v>-6.8184035353535597</v>
      </c>
      <c r="AD106" s="37" cm="1">
        <f t="array" ref="AD106:AE106">LINEST(G92:G106,D92:D106)</f>
        <v>-3.2914285714285128</v>
      </c>
      <c r="AE106" s="37">
        <v>3.2392571428570887</v>
      </c>
      <c r="AF106" s="37" cm="1">
        <f t="array" ref="AF106:AG106">LINEST(G87:G106,D87:D106)</f>
        <v>-5.5759398496240342</v>
      </c>
      <c r="AG106" s="37">
        <v>5.3532512531328083</v>
      </c>
      <c r="AH106" s="37" cm="1">
        <f t="array" ref="AH106:AI106">LINEST(G82:G106,D82:D106)</f>
        <v>-6.6683076923076738</v>
      </c>
      <c r="AI106" s="37">
        <v>6.3617597435897268</v>
      </c>
      <c r="AJ106" s="37" cm="1">
        <f t="array" ref="AJ106:AK106">LINEST(G77:G106,D77:D106)</f>
        <v>-6.1412235817575009</v>
      </c>
      <c r="AK106" s="37">
        <v>5.8761680014831237</v>
      </c>
    </row>
    <row r="107" spans="1:37" x14ac:dyDescent="0.25">
      <c r="A107" s="61">
        <v>502</v>
      </c>
      <c r="B107" s="14">
        <f t="shared" si="1"/>
        <v>101</v>
      </c>
      <c r="C107" s="15">
        <v>43980</v>
      </c>
      <c r="D107" s="16">
        <v>0.93429398148148157</v>
      </c>
      <c r="E107" s="36">
        <v>20.16</v>
      </c>
      <c r="F107" s="36">
        <v>0.94</v>
      </c>
      <c r="G107" s="36">
        <v>0.23</v>
      </c>
      <c r="H107" s="56" cm="1">
        <f t="array" ref="H107:I107">LINEST(E98:E107,D98:D107)</f>
        <v>7.5927272727271919</v>
      </c>
      <c r="I107" s="56">
        <v>13.067615151515223</v>
      </c>
      <c r="J107" s="56" cm="1">
        <f t="array" ref="J107:K107">LINEST(E93:E107,D93:D107)</f>
        <v>4.0628571428571156</v>
      </c>
      <c r="K107" s="56">
        <v>16.346930357142885</v>
      </c>
      <c r="L107" s="56" cm="1">
        <f t="array" ref="L107:M107">LINEST(E88:E107,D88:D107)</f>
        <v>3.2535338345864679</v>
      </c>
      <c r="M107" s="56">
        <v>17.09767149122807</v>
      </c>
      <c r="N107" s="56" cm="1">
        <f t="array" ref="N107:O107">LINEST(E83:E107,D83:D107)</f>
        <v>3.1790769230769151</v>
      </c>
      <c r="O107" s="56">
        <v>17.166792179487185</v>
      </c>
      <c r="P107" s="56" cm="1">
        <f t="array" ref="P107:Q107">LINEST(E78:E107,D78:D107)</f>
        <v>3.9788209121245837</v>
      </c>
      <c r="Q107" s="56">
        <v>16.429407267334067</v>
      </c>
      <c r="R107" s="56" cm="1">
        <f t="array" ref="R107:S107">LINEST(F98:F107,D98:D107)</f>
        <v>21.163636363637838</v>
      </c>
      <c r="S107" s="56">
        <v>-19.359785353536722</v>
      </c>
      <c r="T107" s="56" cm="1">
        <f t="array" ref="T107:U107">LINEST(F93:F107,D93:D107)</f>
        <v>33.840000000000153</v>
      </c>
      <c r="U107" s="56">
        <v>-31.154175000000137</v>
      </c>
      <c r="V107" s="56" cm="1">
        <f t="array" ref="V107:W107">LINEST(F88:F107,D88:D107)</f>
        <v>14.963007518797175</v>
      </c>
      <c r="W107" s="56">
        <v>-13.636419298245784</v>
      </c>
      <c r="X107" s="56" cm="1">
        <f t="array" ref="X107:Y107">LINEST(F83:F107,D83:D107)</f>
        <v>5.4443076923077847</v>
      </c>
      <c r="Y107" s="56">
        <v>-4.8286454487180333</v>
      </c>
      <c r="Z107" s="56" cm="1">
        <f t="array" ref="Z107:AA107">LINEST(F78:F107,D78:D107)</f>
        <v>-1.2750166852057225</v>
      </c>
      <c r="AA107" s="56">
        <v>1.3735629959213378</v>
      </c>
      <c r="AB107" s="37" cm="1">
        <f t="array" ref="AB107:AC107">LINEST(G98:G107,D98:D107)</f>
        <v>8.3345454545454736</v>
      </c>
      <c r="AC107" s="37">
        <v>-7.5498247474747648</v>
      </c>
      <c r="AD107" s="37" cm="1">
        <f t="array" ref="AD107:AE107">LINEST(G93:G107,D93:D107)</f>
        <v>-0.5142857142856696</v>
      </c>
      <c r="AE107" s="37">
        <v>0.67082738095233951</v>
      </c>
      <c r="AF107" s="37" cm="1">
        <f t="array" ref="AF107:AG107">LINEST(G88:G107,D88:D107)</f>
        <v>-3.9897744360901921</v>
      </c>
      <c r="AG107" s="37">
        <v>3.893479385964882</v>
      </c>
      <c r="AH107" s="37" cm="1">
        <f t="array" ref="AH107:AI107">LINEST(G83:G107,D83:D107)</f>
        <v>-5.7489230769230568</v>
      </c>
      <c r="AI107" s="37">
        <v>5.5205688461538278</v>
      </c>
      <c r="AJ107" s="37" cm="1">
        <f t="array" ref="AJ107:AK107">LINEST(G78:G107,D78:D107)</f>
        <v>-5.787230255839809</v>
      </c>
      <c r="AK107" s="37">
        <v>5.5560926770485608</v>
      </c>
    </row>
    <row r="108" spans="1:37" x14ac:dyDescent="0.25">
      <c r="A108" s="61">
        <v>502</v>
      </c>
      <c r="B108" s="14">
        <f t="shared" si="1"/>
        <v>102</v>
      </c>
      <c r="C108" s="15">
        <v>43980</v>
      </c>
      <c r="D108" s="16">
        <v>0.93568287037037035</v>
      </c>
      <c r="E108" s="36">
        <v>20.18</v>
      </c>
      <c r="F108" s="36">
        <v>0.64</v>
      </c>
      <c r="G108" s="36">
        <v>0.27</v>
      </c>
      <c r="H108" s="56" cm="1">
        <f t="array" ref="H108:I108">LINEST(E99:E108,D99:D108)</f>
        <v>9.0327272727271524</v>
      </c>
      <c r="I108" s="56">
        <v>11.727686363636479</v>
      </c>
      <c r="J108" s="56" cm="1">
        <f t="array" ref="J108:K108">LINEST(E94:E108,D94:D108)</f>
        <v>5.3742857142857101</v>
      </c>
      <c r="K108" s="56">
        <v>15.132289583333343</v>
      </c>
      <c r="L108" s="56" cm="1">
        <f t="array" ref="L108:M108">LINEST(E89:E108,D89:D108)</f>
        <v>3.854436090225561</v>
      </c>
      <c r="M108" s="56">
        <v>16.544327318295743</v>
      </c>
      <c r="N108" s="56" cm="1">
        <f t="array" ref="N108:O108">LINEST(E84:E108,D84:D108)</f>
        <v>3.4283076923076892</v>
      </c>
      <c r="O108" s="56">
        <v>16.93932967948718</v>
      </c>
      <c r="P108" s="56" cm="1">
        <f t="array" ref="P108:Q108">LINEST(E79:E108,D79:D108)</f>
        <v>3.8266518353726324</v>
      </c>
      <c r="Q108" s="56">
        <v>16.571531942899515</v>
      </c>
      <c r="R108" s="56" cm="1">
        <f t="array" ref="R108:S108">LINEST(F99:F108,D99:D108)</f>
        <v>44.81454545454649</v>
      </c>
      <c r="S108" s="56">
        <v>-41.355111616162574</v>
      </c>
      <c r="T108" s="56" cm="1">
        <f t="array" ref="T108:U108">LINEST(F94:F108,D94:D108)</f>
        <v>41.040000000000184</v>
      </c>
      <c r="U108" s="56">
        <v>-37.828091666666836</v>
      </c>
      <c r="V108" s="56" cm="1">
        <f t="array" ref="V108:W108">LINEST(F89:F108,D89:D108)</f>
        <v>18.498045112782108</v>
      </c>
      <c r="W108" s="56">
        <v>-16.886732518797139</v>
      </c>
      <c r="X108" s="56" cm="1">
        <f t="array" ref="X108:Y108">LINEST(F84:F108,D84:D108)</f>
        <v>8.6067692307693111</v>
      </c>
      <c r="Y108" s="56">
        <v>-7.7237603846154599</v>
      </c>
      <c r="Z108" s="56" cm="1">
        <f t="array" ref="Z108:AA108">LINEST(F79:F108,D79:D108)</f>
        <v>1.2878309232481076</v>
      </c>
      <c r="AA108" s="56">
        <v>-0.96039918427887805</v>
      </c>
      <c r="AB108" s="37" cm="1">
        <f t="array" ref="AB108:AC108">LINEST(G99:G108,D99:D108)</f>
        <v>11.432727272727245</v>
      </c>
      <c r="AC108" s="37">
        <v>-10.431952525252496</v>
      </c>
      <c r="AD108" s="37" cm="1">
        <f t="array" ref="AD108:AE108">LINEST(G94:G108,D94:D108)</f>
        <v>2.7771428571428847</v>
      </c>
      <c r="AE108" s="37">
        <v>-2.3775250000000256</v>
      </c>
      <c r="AF108" s="37" cm="1">
        <f t="array" ref="AF108:AG108">LINEST(G89:G108,D89:D108)</f>
        <v>-2.1924812030074952</v>
      </c>
      <c r="AG108" s="37">
        <v>2.238038533834565</v>
      </c>
      <c r="AH108" s="37" cm="1">
        <f t="array" ref="AH108:AI108">LINEST(G84:G108,D84:D108)</f>
        <v>-4.613538461538444</v>
      </c>
      <c r="AI108" s="37">
        <v>4.4807166025640877</v>
      </c>
      <c r="AJ108" s="37" cm="1">
        <f t="array" ref="AJ108:AK108">LINEST(G79:G108,D79:D108)</f>
        <v>-5.1993770856507115</v>
      </c>
      <c r="AK108" s="37">
        <v>5.0222583982202345</v>
      </c>
    </row>
    <row r="109" spans="1:37" x14ac:dyDescent="0.25">
      <c r="A109" s="61">
        <v>502</v>
      </c>
      <c r="B109" s="14">
        <f t="shared" si="1"/>
        <v>103</v>
      </c>
      <c r="C109" s="15">
        <v>43980</v>
      </c>
      <c r="D109" s="16">
        <v>0.93707175925925934</v>
      </c>
      <c r="E109" s="36">
        <v>19.96</v>
      </c>
      <c r="F109" s="36">
        <v>0.64</v>
      </c>
      <c r="G109" s="36">
        <v>0.28999999999999998</v>
      </c>
      <c r="H109" s="56" cm="1">
        <f t="array" ref="H109:I109">LINEST(E100:E109,D100:D109)</f>
        <v>-0.87272727272729389</v>
      </c>
      <c r="I109" s="56">
        <v>20.926353535353556</v>
      </c>
      <c r="J109" s="56" cm="1">
        <f t="array" ref="J109:K109">LINEST(E95:E109,D95:D109)</f>
        <v>2.3142857142857158</v>
      </c>
      <c r="K109" s="56">
        <v>17.953848214285713</v>
      </c>
      <c r="L109" s="56" cm="1">
        <f t="array" ref="L109:M109">LINEST(E90:E109,D90:D109)</f>
        <v>1.7323308270676598</v>
      </c>
      <c r="M109" s="56">
        <v>18.4955388471178</v>
      </c>
      <c r="N109" s="56" cm="1">
        <f t="array" ref="N109:O109">LINEST(E85:E109,D85:D109)</f>
        <v>2.1323076923076996</v>
      </c>
      <c r="O109" s="56">
        <v>18.124613141025634</v>
      </c>
      <c r="P109" s="56" cm="1">
        <f t="array" ref="P109:Q109">LINEST(E80:E109,D80:D109)</f>
        <v>2.8207341490545064</v>
      </c>
      <c r="Q109" s="56">
        <v>17.487909473489058</v>
      </c>
      <c r="R109" s="56" cm="1">
        <f t="array" ref="R109:S109">LINEST(F100:F109,D100:D109)</f>
        <v>-7.8109090909081518</v>
      </c>
      <c r="S109" s="56">
        <v>7.7395641414132674</v>
      </c>
      <c r="T109" s="56" cm="1">
        <f t="array" ref="T109:U109">LINEST(F95:F109,D95:D109)</f>
        <v>40.731428571428673</v>
      </c>
      <c r="U109" s="56">
        <v>-37.539604761904855</v>
      </c>
      <c r="V109" s="56" cm="1">
        <f t="array" ref="V109:W109">LINEST(F90:F109,D90:D109)</f>
        <v>13.847819548872332</v>
      </c>
      <c r="W109" s="56">
        <v>-12.551686340852271</v>
      </c>
      <c r="X109" s="56" cm="1">
        <f t="array" ref="X109:Y109">LINEST(F85:F109,D85:D109)</f>
        <v>10.140923076923151</v>
      </c>
      <c r="Y109" s="56">
        <v>-9.1213572435898111</v>
      </c>
      <c r="Z109" s="56" cm="1">
        <f t="array" ref="Z109:AA109">LINEST(F80:F109,D80:D109)</f>
        <v>3.7481646273637907</v>
      </c>
      <c r="AA109" s="56">
        <v>-3.2074820170560372</v>
      </c>
      <c r="AB109" s="37" cm="1">
        <f t="array" ref="AB109:AC109">LINEST(G100:G109,D100:D109)</f>
        <v>9.7309090909090781</v>
      </c>
      <c r="AC109" s="37">
        <v>-8.8427419191919068</v>
      </c>
      <c r="AD109" s="37" cm="1">
        <f t="array" ref="AD109:AE109">LINEST(G95:G109,D95:D109)</f>
        <v>5.6571428571428495</v>
      </c>
      <c r="AE109" s="37">
        <v>-5.0494821428571361</v>
      </c>
      <c r="AF109" s="37" cm="1">
        <f t="array" ref="AF109:AG109">LINEST(G90:G109,D90:D109)</f>
        <v>-0.92030075187967408</v>
      </c>
      <c r="AG109" s="37">
        <v>1.0672449874686485</v>
      </c>
      <c r="AH109" s="37" cm="1">
        <f t="array" ref="AH109:AI109">LINEST(G85:G109,D85:D109)</f>
        <v>-3.5003076923076719</v>
      </c>
      <c r="AI109" s="37">
        <v>3.4601010256410065</v>
      </c>
      <c r="AJ109" s="37" cm="1">
        <f t="array" ref="AJ109:AK109">LINEST(G80:G109,D80:D109)</f>
        <v>-4.5330367074527107</v>
      </c>
      <c r="AK109" s="37">
        <v>4.4158236929922001</v>
      </c>
    </row>
    <row r="110" spans="1:37" x14ac:dyDescent="0.25">
      <c r="A110" s="61">
        <v>502</v>
      </c>
      <c r="B110" s="14">
        <f t="shared" si="1"/>
        <v>104</v>
      </c>
      <c r="C110" s="15">
        <v>43980</v>
      </c>
      <c r="D110" s="16">
        <v>0.93846064814814811</v>
      </c>
      <c r="E110" s="36">
        <v>20.010000000000002</v>
      </c>
      <c r="F110" s="36">
        <v>0.64</v>
      </c>
      <c r="G110" s="36">
        <v>0.32</v>
      </c>
      <c r="H110" s="56" cm="1">
        <f t="array" ref="H110:I110">LINEST(E101:E110,D101:D110)</f>
        <v>-5.6290909090907491</v>
      </c>
      <c r="I110" s="56">
        <v>25.352498484848336</v>
      </c>
      <c r="J110" s="56" cm="1">
        <f t="array" ref="J110:K110">LINEST(E96:E110,D96:D110)</f>
        <v>0.48857142857148184</v>
      </c>
      <c r="K110" s="56">
        <v>19.640911607142804</v>
      </c>
      <c r="L110" s="56" cm="1">
        <f t="array" ref="L110:M110">LINEST(E91:E110,D91:D110)</f>
        <v>0.3248120300752112</v>
      </c>
      <c r="M110" s="56">
        <v>19.793462406015017</v>
      </c>
      <c r="N110" s="56" cm="1">
        <f t="array" ref="N110:O110">LINEST(E86:E110,D86:D110)</f>
        <v>1.1353846153846352</v>
      </c>
      <c r="O110" s="56">
        <v>19.040209294871772</v>
      </c>
      <c r="P110" s="56" cm="1">
        <f t="array" ref="P110:Q110">LINEST(E81:E110,D81:D110)</f>
        <v>2.1031368186874344</v>
      </c>
      <c r="Q110" s="56">
        <v>18.143643696700028</v>
      </c>
      <c r="R110" s="56" cm="1">
        <f t="array" ref="R110:S110">LINEST(F101:F110,D101:D110)</f>
        <v>42.632727272727855</v>
      </c>
      <c r="S110" s="56">
        <v>-39.34768232323286</v>
      </c>
      <c r="T110" s="56" cm="1">
        <f t="array" ref="T110:U110">LINEST(F96:F110,D96:D110)</f>
        <v>45.540000000000184</v>
      </c>
      <c r="U110" s="56">
        <v>-42.026747916666835</v>
      </c>
      <c r="V110" s="56" cm="1">
        <f t="array" ref="V110:W110">LINEST(F91:F110,D91:D110)</f>
        <v>17.691428571428691</v>
      </c>
      <c r="W110" s="56">
        <v>-16.106280952381059</v>
      </c>
      <c r="X110" s="56" cm="1">
        <f t="array" ref="X110:Y110">LINEST(F86:F110,D86:D110)</f>
        <v>9.509538461538547</v>
      </c>
      <c r="Y110" s="56">
        <v>-8.5170353205128997</v>
      </c>
      <c r="Z110" s="56" cm="1">
        <f t="array" ref="Z110:AA110">LINEST(F81:F110,D81:D110)</f>
        <v>6.1059844271413093</v>
      </c>
      <c r="AA110" s="56">
        <v>-5.3672583611420466</v>
      </c>
      <c r="AB110" s="37" cm="1">
        <f t="array" ref="AB110:AC110">LINEST(G101:G110,D101:D110)</f>
        <v>12.174545454545443</v>
      </c>
      <c r="AC110" s="37">
        <v>-11.120240909090898</v>
      </c>
      <c r="AD110" s="37" cm="1">
        <f t="array" ref="AD110:AE110">LINEST(G96:G110,D96:D110)</f>
        <v>8.7685714285714234</v>
      </c>
      <c r="AE110" s="37">
        <v>-7.941709226190472</v>
      </c>
      <c r="AF110" s="37" cm="1">
        <f t="array" ref="AF110:AG110">LINEST(G91:G110,D91:D110)</f>
        <v>0.51428571428572967</v>
      </c>
      <c r="AG110" s="37">
        <v>-0.25535119047620469</v>
      </c>
      <c r="AH110" s="37" cm="1">
        <f t="array" ref="AH110:AI110">LINEST(G86:G110,D86:D110)</f>
        <v>-2.5144615384615236</v>
      </c>
      <c r="AI110" s="37">
        <v>2.5570155128204992</v>
      </c>
      <c r="AJ110" s="37" cm="1">
        <f t="array" ref="AJ110:AK110">LINEST(G81:G110,D81:D110)</f>
        <v>-3.7017130144605006</v>
      </c>
      <c r="AK110" s="37">
        <v>3.6570302743789291</v>
      </c>
    </row>
    <row r="111" spans="1:37" x14ac:dyDescent="0.25">
      <c r="A111" s="61">
        <v>502</v>
      </c>
      <c r="B111" s="14">
        <f t="shared" si="1"/>
        <v>105</v>
      </c>
      <c r="C111" s="15">
        <v>43980</v>
      </c>
      <c r="D111" s="16">
        <v>0.93984953703703711</v>
      </c>
      <c r="E111" s="36">
        <v>19.98</v>
      </c>
      <c r="F111" s="36">
        <v>0.64</v>
      </c>
      <c r="G111" s="36">
        <v>0.35</v>
      </c>
      <c r="H111" s="56" cm="1">
        <f t="array" ref="H111:I111">LINEST(E102:E111,D102:D111)</f>
        <v>-11.738181818181838</v>
      </c>
      <c r="I111" s="56">
        <v>31.053761111111129</v>
      </c>
      <c r="J111" s="56" cm="1">
        <f t="array" ref="J111:K111">LINEST(E97:E111,D97:D111)</f>
        <v>-2.2885714285713834</v>
      </c>
      <c r="K111" s="56">
        <v>22.217996130952336</v>
      </c>
      <c r="L111" s="56" cm="1">
        <f t="array" ref="L111:M111">LINEST(E92:E111,D92:D111)</f>
        <v>-1.0069172932330777</v>
      </c>
      <c r="M111" s="56">
        <v>21.022065037593983</v>
      </c>
      <c r="N111" s="56" cm="1">
        <f t="array" ref="N111:O111">LINEST(E87:E111,D87:D111)</f>
        <v>0.2326153846153958</v>
      </c>
      <c r="O111" s="56">
        <v>19.868853461538453</v>
      </c>
      <c r="P111" s="56" cm="1">
        <f t="array" ref="P111:Q111">LINEST(E82:E111,D82:D111)</f>
        <v>1.190122358175757</v>
      </c>
      <c r="Q111" s="56">
        <v>18.980431794586568</v>
      </c>
      <c r="R111" s="56" cm="1">
        <f t="array" ref="R111:S111">LINEST(F102:F111,D102:D111)</f>
        <v>9.7745454545455726</v>
      </c>
      <c r="S111" s="56">
        <v>-8.6175111111112237</v>
      </c>
      <c r="T111" s="56" cm="1">
        <f t="array" ref="T111:U111">LINEST(F97:F111,D97:D111)</f>
        <v>28.002857142857451</v>
      </c>
      <c r="U111" s="56">
        <v>-25.674888988095528</v>
      </c>
      <c r="V111" s="56" cm="1">
        <f t="array" ref="V111:W111">LINEST(F92:F111,D92:D111)</f>
        <v>27.105563909774553</v>
      </c>
      <c r="W111" s="56">
        <v>-24.860008834586573</v>
      </c>
      <c r="X111" s="56" cm="1">
        <f t="array" ref="X111:Y111">LINEST(F87:F111,D87:D111)</f>
        <v>18.454153846153922</v>
      </c>
      <c r="Y111" s="56">
        <v>-16.807358717948791</v>
      </c>
      <c r="Z111" s="56" cm="1">
        <f t="array" ref="Z111:AA111">LINEST(F82:F111,D82:D111)</f>
        <v>5.5309454949944969</v>
      </c>
      <c r="AA111" s="56">
        <v>-4.8172027994068021</v>
      </c>
      <c r="AB111" s="37" cm="1">
        <f t="array" ref="AB111:AC111">LINEST(G102:G111,D102:D111)</f>
        <v>12.174545454545475</v>
      </c>
      <c r="AC111" s="37">
        <v>-11.115150000000021</v>
      </c>
      <c r="AD111" s="37" cm="1">
        <f t="array" ref="AD111:AE111">LINEST(G97:G111,D97:D111)</f>
        <v>10.362857142857109</v>
      </c>
      <c r="AE111" s="37">
        <v>-9.4234431547618751</v>
      </c>
      <c r="AF111" s="37" cm="1">
        <f t="array" ref="AF111:AG111">LINEST(G92:G111,D92:D111)</f>
        <v>2.6363909774436229</v>
      </c>
      <c r="AG111" s="37">
        <v>-2.2195251253132957</v>
      </c>
      <c r="AH111" s="37" cm="1">
        <f t="array" ref="AH111:AI111">LINEST(G87:G111,D87:D111)</f>
        <v>-0.83630769230767665</v>
      </c>
      <c r="AI111" s="37">
        <v>1.0104649358974216</v>
      </c>
      <c r="AJ111" s="37" cm="1">
        <f t="array" ref="AJ111:AK111">LINEST(G82:G111,D82:D111)</f>
        <v>-2.9632925472747358</v>
      </c>
      <c r="AK111" s="37">
        <v>2.9840383759732907</v>
      </c>
    </row>
    <row r="112" spans="1:37" x14ac:dyDescent="0.25">
      <c r="A112" s="61">
        <v>502</v>
      </c>
      <c r="B112" s="14">
        <f t="shared" si="1"/>
        <v>106</v>
      </c>
      <c r="C112" s="15">
        <v>43980</v>
      </c>
      <c r="D112" s="16">
        <v>0.94123842592592588</v>
      </c>
      <c r="E112" s="36">
        <v>20</v>
      </c>
      <c r="F112" s="36">
        <v>0.49</v>
      </c>
      <c r="G112" s="36">
        <v>0.36</v>
      </c>
      <c r="H112" s="56" cm="1">
        <f t="array" ref="H112:I112">LINEST(E103:E112,D103:D112)</f>
        <v>-15.709090909091078</v>
      </c>
      <c r="I112" s="56">
        <v>34.773818181818342</v>
      </c>
      <c r="J112" s="56" cm="1">
        <f t="array" ref="J112:K112">LINEST(E98:E112,D98:D112)</f>
        <v>-4.2942857142856692</v>
      </c>
      <c r="K112" s="56">
        <v>24.084863392857105</v>
      </c>
      <c r="L112" s="56" cm="1">
        <f t="array" ref="L112:M112">LINEST(E93:E112,D93:D112)</f>
        <v>-1.7972932330826847</v>
      </c>
      <c r="M112" s="56">
        <v>21.75196716791978</v>
      </c>
      <c r="N112" s="56" cm="1">
        <f t="array" ref="N112:O112">LINEST(E88:E112,D88:D112)</f>
        <v>-0.42092307692306297</v>
      </c>
      <c r="O112" s="56">
        <v>20.469973589743578</v>
      </c>
      <c r="P112" s="56" cm="1">
        <f t="array" ref="P112:Q112">LINEST(E83:E112,D83:D112)</f>
        <v>0.5686318131257001</v>
      </c>
      <c r="Q112" s="56">
        <v>19.550566833518722</v>
      </c>
      <c r="R112" s="56" cm="1">
        <f t="array" ref="R112:S112">LINEST(F103:F112,D103:D112)</f>
        <v>-4.7563636363636466</v>
      </c>
      <c r="S112" s="56">
        <v>4.9821449494949599</v>
      </c>
      <c r="T112" s="56" cm="1">
        <f t="array" ref="T112:U112">LINEST(F98:F112,D98:D112)</f>
        <v>26.614285714286144</v>
      </c>
      <c r="U112" s="56">
        <v>-24.400971726190871</v>
      </c>
      <c r="V112" s="56" cm="1">
        <f t="array" ref="V112:W112">LINEST(F93:F112,D93:D112)</f>
        <v>33.276992481203067</v>
      </c>
      <c r="W112" s="56">
        <v>-30.630012593985018</v>
      </c>
      <c r="X112" s="56" cm="1">
        <f t="array" ref="X112:Y112">LINEST(F88:F112,D88:D112)</f>
        <v>20.337230769230846</v>
      </c>
      <c r="Y112" s="56">
        <v>-18.564429230769299</v>
      </c>
      <c r="Z112" s="56" cm="1">
        <f t="array" ref="Z112:AA112">LINEST(F83:F112,D83:D112)</f>
        <v>11.918843159065673</v>
      </c>
      <c r="AA112" s="56">
        <v>-10.737440915832448</v>
      </c>
      <c r="AB112" s="37" cm="1">
        <f t="array" ref="AB112:AC112">LINEST(G103:G112,D103:D112)</f>
        <v>11.12727272727278</v>
      </c>
      <c r="AC112" s="37">
        <v>-10.130871212121264</v>
      </c>
      <c r="AD112" s="37" cm="1">
        <f t="array" ref="AD112:AE112">LINEST(G98:G112,D98:D112)</f>
        <v>11.622857142857137</v>
      </c>
      <c r="AE112" s="37">
        <v>-10.597546428571423</v>
      </c>
      <c r="AF112" s="37" cm="1">
        <f t="array" ref="AF112:AG112">LINEST(G93:G112,D93:D112)</f>
        <v>5.0237593984962343</v>
      </c>
      <c r="AG112" s="37">
        <v>-4.4362696741854588</v>
      </c>
      <c r="AH112" s="37" cm="1">
        <f t="array" ref="AH112:AI112">LINEST(G88:G112,D88:D112)</f>
        <v>0.84738461538462628</v>
      </c>
      <c r="AI112" s="37">
        <v>-0.54506788461539468</v>
      </c>
      <c r="AJ112" s="37" cm="1">
        <f t="array" ref="AJ112:AK112">LINEST(G83:G112,D83:D112)</f>
        <v>-1.790789766407112</v>
      </c>
      <c r="AK112" s="37">
        <v>1.9068289581015878</v>
      </c>
    </row>
    <row r="113" spans="1:37" x14ac:dyDescent="0.25">
      <c r="A113" s="61">
        <v>502</v>
      </c>
      <c r="B113" s="14">
        <f t="shared" si="1"/>
        <v>107</v>
      </c>
      <c r="C113" s="15">
        <v>43980</v>
      </c>
      <c r="D113" s="16">
        <v>0.94262731481481488</v>
      </c>
      <c r="E113" s="36">
        <v>20.02</v>
      </c>
      <c r="F113" s="36">
        <v>0.61</v>
      </c>
      <c r="G113" s="36">
        <v>0.38</v>
      </c>
      <c r="H113" s="56" cm="1">
        <f t="array" ref="H113:I113">LINEST(E104:E113,D104:D113)</f>
        <v>-16.669090909090951</v>
      </c>
      <c r="I113" s="56">
        <v>35.684558585858625</v>
      </c>
      <c r="J113" s="56" cm="1">
        <f t="array" ref="J113:K113">LINEST(E99:E113,D99:D113)</f>
        <v>-5.3485714285713915</v>
      </c>
      <c r="K113" s="56">
        <v>25.069709523809486</v>
      </c>
      <c r="L113" s="56" cm="1">
        <f t="array" ref="L113:M113">LINEST(E94:E113,D94:D113)</f>
        <v>-2.2736842105262851</v>
      </c>
      <c r="M113" s="56">
        <v>22.193236842105236</v>
      </c>
      <c r="N113" s="56" cm="1">
        <f t="array" ref="N113:O113">LINEST(E89:E113,D89:D113)</f>
        <v>-0.902769230769218</v>
      </c>
      <c r="O113" s="56">
        <v>20.914728782051267</v>
      </c>
      <c r="P113" s="56" cm="1">
        <f t="array" ref="P113:Q113">LINEST(E84:E113,D84:D113)</f>
        <v>9.6106785317026655E-2</v>
      </c>
      <c r="Q113" s="56">
        <v>19.985342602892096</v>
      </c>
      <c r="R113" s="56" cm="1">
        <f t="array" ref="R113:S113">LINEST(F104:F113,D104:D113)</f>
        <v>26.749090909090704</v>
      </c>
      <c r="S113" s="56">
        <v>-24.564241919191726</v>
      </c>
      <c r="T113" s="56" cm="1">
        <f t="array" ref="T113:U113">LINEST(F99:F113,D99:D113)</f>
        <v>32.400000000000311</v>
      </c>
      <c r="U113" s="56">
        <v>-29.826791666666953</v>
      </c>
      <c r="V113" s="56" cm="1">
        <f t="array" ref="V113:W113">LINEST(F94:F113,D94:D113)</f>
        <v>34.538345864661721</v>
      </c>
      <c r="W113" s="56">
        <v>-31.820073934837147</v>
      </c>
      <c r="X113" s="56" cm="1">
        <f t="array" ref="X113:Y113">LINEST(F89:F113,D89:D113)</f>
        <v>21.156923076923142</v>
      </c>
      <c r="Y113" s="56">
        <v>-19.327678205128265</v>
      </c>
      <c r="Z113" s="56" cm="1">
        <f t="array" ref="Z113:AA113">LINEST(F84:F113,D84:D113)</f>
        <v>13.280355951056761</v>
      </c>
      <c r="AA113" s="56">
        <v>-11.995307990359688</v>
      </c>
      <c r="AB113" s="37" cm="1">
        <f t="array" ref="AB113:AC113">LINEST(G104:G113,D104:D113)</f>
        <v>12.305454545454548</v>
      </c>
      <c r="AC113" s="37">
        <v>-11.232548484848488</v>
      </c>
      <c r="AD113" s="37" cm="1">
        <f t="array" ref="AD113:AE113">LINEST(G99:G113,D99:D113)</f>
        <v>13.319999999999967</v>
      </c>
      <c r="AE113" s="37">
        <v>-12.183629166666634</v>
      </c>
      <c r="AF113" s="37" cm="1">
        <f t="array" ref="AF113:AG113">LINEST(G94:G113,D94:D113)</f>
        <v>7.3353383458646571</v>
      </c>
      <c r="AG113" s="37">
        <v>-6.5872045739348311</v>
      </c>
      <c r="AH113" s="37" cm="1">
        <f t="array" ref="AH113:AI113">LINEST(G89:G113,D89:D113)</f>
        <v>2.4480000000000053</v>
      </c>
      <c r="AI113" s="37">
        <v>-2.0263516666666712</v>
      </c>
      <c r="AJ113" s="37" cm="1">
        <f t="array" ref="AJ113:AK113">LINEST(G84:G113,D84:D113)</f>
        <v>-0.61187986651834692</v>
      </c>
      <c r="AK113" s="37">
        <v>0.82178542825360879</v>
      </c>
    </row>
    <row r="114" spans="1:37" x14ac:dyDescent="0.25">
      <c r="A114" s="61">
        <v>502</v>
      </c>
      <c r="B114" s="14">
        <f t="shared" si="1"/>
        <v>108</v>
      </c>
      <c r="C114" s="15">
        <v>43980</v>
      </c>
      <c r="D114" s="16">
        <v>0.94401620370370365</v>
      </c>
      <c r="E114" s="36">
        <v>20.02</v>
      </c>
      <c r="F114" s="36">
        <v>0.06</v>
      </c>
      <c r="G114" s="36">
        <v>0.35</v>
      </c>
      <c r="H114" s="56" cm="1">
        <f t="array" ref="H114:I114">LINEST(E105:E114,D105:D114)</f>
        <v>-14.356363636363715</v>
      </c>
      <c r="I114" s="56">
        <v>33.523912626262707</v>
      </c>
      <c r="J114" s="56" cm="1">
        <f t="array" ref="J114:K114">LINEST(E100:E114,D100:D114)</f>
        <v>-7.0457142857142836</v>
      </c>
      <c r="K114" s="56">
        <v>26.660768452380946</v>
      </c>
      <c r="L114" s="56" cm="1">
        <f t="array" ref="L114:M114">LINEST(E95:E114,D95:D114)</f>
        <v>-2.7771428571428287</v>
      </c>
      <c r="M114" s="56">
        <v>22.661524999999973</v>
      </c>
      <c r="N114" s="56" cm="1">
        <f t="array" ref="N114:O114">LINEST(E90:E114,D90:D114)</f>
        <v>-1.572923076923074</v>
      </c>
      <c r="O114" s="56">
        <v>21.536649487179481</v>
      </c>
      <c r="P114" s="56" cm="1">
        <f t="array" ref="P114:Q114">LINEST(E85:E114,D85:D114)</f>
        <v>-0.37321468298107824</v>
      </c>
      <c r="Q114" s="56">
        <v>20.418471245828684</v>
      </c>
      <c r="R114" s="56" cm="1">
        <f t="array" ref="R114:S114">LINEST(F105:F114,D105:D114)</f>
        <v>49.352727272727989</v>
      </c>
      <c r="S114" s="56">
        <v>-45.922319696970369</v>
      </c>
      <c r="T114" s="56" cm="1">
        <f t="array" ref="T114:U114">LINEST(F100:F114,D100:D114)</f>
        <v>-4.1399999999996568</v>
      </c>
      <c r="U114" s="56">
        <v>4.3433104166663457</v>
      </c>
      <c r="V114" s="56" cm="1">
        <f t="array" ref="V114:W114">LINEST(F95:F114,D95:D114)</f>
        <v>26.228571428571577</v>
      </c>
      <c r="W114" s="56">
        <v>-24.117625000000139</v>
      </c>
      <c r="X114" s="56" cm="1">
        <f t="array" ref="X114:Y114">LINEST(F90:F114,D90:D114)</f>
        <v>13.236923076923178</v>
      </c>
      <c r="Y114" s="56">
        <v>-11.984054487179579</v>
      </c>
      <c r="Z114" s="56" cm="1">
        <f t="array" ref="Z114:AA114">LINEST(F85:F114,D85:D114)</f>
        <v>11.002625139043433</v>
      </c>
      <c r="AA114" s="56">
        <v>-9.9067424360400924</v>
      </c>
      <c r="AB114" s="37" cm="1">
        <f t="array" ref="AB114:AC114">LINEST(G105:G114,D105:D114)</f>
        <v>15.14181818181831</v>
      </c>
      <c r="AC114" s="37">
        <v>-13.904485353535476</v>
      </c>
      <c r="AD114" s="37" cm="1">
        <f t="array" ref="AD114:AE114">LINEST(G100:G114,D100:D114)</f>
        <v>11.905714285714298</v>
      </c>
      <c r="AE114" s="37">
        <v>-10.862770535714297</v>
      </c>
      <c r="AF114" s="37" cm="1">
        <f t="array" ref="AF114:AG114">LINEST(G95:G114,D95:D114)</f>
        <v>8.7861654135338174</v>
      </c>
      <c r="AG114" s="37">
        <v>-7.9428539473684054</v>
      </c>
      <c r="AH114" s="37" cm="1">
        <f t="array" ref="AH114:AI114">LINEST(G90:G114,D90:D114)</f>
        <v>3.3175384615384669</v>
      </c>
      <c r="AI114" s="37">
        <v>-2.8325177564102608</v>
      </c>
      <c r="AJ114" s="37" cm="1">
        <f t="array" ref="AJ114:AK114">LINEST(G85:G114,D85:D114)</f>
        <v>0.27870967741936031</v>
      </c>
      <c r="AK114" s="37">
        <v>-1.6021505376850875E-4</v>
      </c>
    </row>
    <row r="115" spans="1:37" x14ac:dyDescent="0.25">
      <c r="A115" s="61">
        <v>502</v>
      </c>
      <c r="B115" s="14">
        <f t="shared" si="1"/>
        <v>109</v>
      </c>
      <c r="C115" s="15">
        <v>43980</v>
      </c>
      <c r="D115" s="16">
        <v>0.94540509259259264</v>
      </c>
      <c r="E115" s="36">
        <v>20.02</v>
      </c>
      <c r="F115" s="36">
        <v>0.13</v>
      </c>
      <c r="G115" s="36">
        <v>0.33</v>
      </c>
      <c r="H115" s="56" cm="1">
        <f t="array" ref="H115:I115">LINEST(E106:E115,D106:D115)</f>
        <v>-11.694545454545521</v>
      </c>
      <c r="I115" s="56">
        <v>31.03099191919199</v>
      </c>
      <c r="J115" s="56" cm="1">
        <f t="array" ref="J115:K115">LINEST(E101:E115,D101:D115)</f>
        <v>-7.637142857142833</v>
      </c>
      <c r="K115" s="56">
        <v>27.218610416666642</v>
      </c>
      <c r="L115" s="56" cm="1">
        <f t="array" ref="L115:M115">LINEST(E96:E115,D96:D115)</f>
        <v>-3.2048120300751695</v>
      </c>
      <c r="M115" s="56">
        <v>23.060559899749354</v>
      </c>
      <c r="N115" s="56" cm="1">
        <f t="array" ref="N115:O115">LINEST(E91:E115,D91:D115)</f>
        <v>-2.1599999999999921</v>
      </c>
      <c r="O115" s="56">
        <v>22.082874999999991</v>
      </c>
      <c r="P115" s="56" cm="1">
        <f t="array" ref="P115:Q115">LINEST(E86:E115,D86:D115)</f>
        <v>-0.88898776418241721</v>
      </c>
      <c r="Q115" s="56">
        <v>20.896217000370772</v>
      </c>
      <c r="R115" s="56" cm="1">
        <f t="array" ref="R115:S115">LINEST(F106:F115,D106:D115)</f>
        <v>-7.1127272727267021</v>
      </c>
      <c r="S115" s="56">
        <v>7.1149540404035045</v>
      </c>
      <c r="T115" s="56" cm="1">
        <f t="array" ref="T115:U115">LINEST(F101:F115,D101:D115)</f>
        <v>8.2542857142860075</v>
      </c>
      <c r="U115" s="56">
        <v>-7.3313937500002728</v>
      </c>
      <c r="V115" s="56" cm="1">
        <f t="array" ref="V115:W115">LINEST(F96:F115,D96:D115)</f>
        <v>22.395789473684367</v>
      </c>
      <c r="W115" s="56">
        <v>-20.58009342105278</v>
      </c>
      <c r="X115" s="56" cm="1">
        <f t="array" ref="X115:Y115">LINEST(F91:F115,D91:D115)</f>
        <v>11.652923076923162</v>
      </c>
      <c r="Y115" s="56">
        <v>-10.534917435897514</v>
      </c>
      <c r="Z115" s="56" cm="1">
        <f t="array" ref="Z115:AA115">LINEST(F86:F115,D86:D115)</f>
        <v>7.7830478309233024</v>
      </c>
      <c r="AA115" s="56">
        <v>-6.9297244530960844</v>
      </c>
      <c r="AB115" s="37" cm="1">
        <f t="array" ref="AB115:AC115">LINEST(G106:G115,D106:D115)</f>
        <v>13.396363636363656</v>
      </c>
      <c r="AC115" s="37">
        <v>-12.276263131313151</v>
      </c>
      <c r="AD115" s="37" cm="1">
        <f t="array" ref="AD115:AE115">LINEST(G101:G115,D101:D115)</f>
        <v>11.494285714285718</v>
      </c>
      <c r="AE115" s="37">
        <v>-10.484339583333336</v>
      </c>
      <c r="AF115" s="37" cm="1">
        <f t="array" ref="AF115:AG115">LINEST(G96:G115,D96:D115)</f>
        <v>9.809323308270665</v>
      </c>
      <c r="AG115" s="37">
        <v>-8.9043556390977336</v>
      </c>
      <c r="AH115" s="37" cm="1">
        <f t="array" ref="AH115:AI115">LINEST(G91:G115,D91:D115)</f>
        <v>3.9323076923076927</v>
      </c>
      <c r="AI115" s="37">
        <v>-3.4048852564102563</v>
      </c>
      <c r="AJ115" s="37" cm="1">
        <f t="array" ref="AJ115:AK115">LINEST(G86:G115,D86:D115)</f>
        <v>0.82812013348165048</v>
      </c>
      <c r="AK115" s="37">
        <v>-0.50789823878383777</v>
      </c>
    </row>
    <row r="116" spans="1:37" x14ac:dyDescent="0.25">
      <c r="A116" s="61">
        <v>502</v>
      </c>
      <c r="B116" s="14">
        <f t="shared" si="1"/>
        <v>110</v>
      </c>
      <c r="C116" s="15">
        <v>43980</v>
      </c>
      <c r="D116" s="16">
        <v>0.94679398148148142</v>
      </c>
      <c r="E116" s="36">
        <v>20.05</v>
      </c>
      <c r="F116" s="36">
        <v>0.65</v>
      </c>
      <c r="G116" s="36">
        <v>0.36</v>
      </c>
      <c r="H116" s="56" cm="1">
        <f t="array" ref="H116:I116">LINEST(E107:E116,D107:D116)</f>
        <v>-7.6800000000001454</v>
      </c>
      <c r="I116" s="56">
        <v>27.263377777777919</v>
      </c>
      <c r="J116" s="56" cm="1">
        <f t="array" ref="J116:K116">LINEST(E102:E116,D102:D116)</f>
        <v>-7.894285714285771</v>
      </c>
      <c r="K116" s="56">
        <v>27.468178869047673</v>
      </c>
      <c r="L116" s="56" cm="1">
        <f t="array" ref="L116:M116">LINEST(E97:E116,D97:D116)</f>
        <v>-3.5891729323308175</v>
      </c>
      <c r="M116" s="56">
        <v>23.423350187969916</v>
      </c>
      <c r="N116" s="56" cm="1">
        <f t="array" ref="N116:O116">LINEST(E92:E116,D92:D116)</f>
        <v>-2.3150769230769264</v>
      </c>
      <c r="O116" s="56">
        <v>22.228916282051284</v>
      </c>
      <c r="P116" s="56" cm="1">
        <f t="array" ref="P116:Q116">LINEST(E87:E116,D87:D116)</f>
        <v>-1.0667853170189057</v>
      </c>
      <c r="Q116" s="56">
        <v>21.061875380051898</v>
      </c>
      <c r="R116" s="56" cm="1">
        <f t="array" ref="R116:S116">LINEST(F107:F116,D107:D116)</f>
        <v>-40.669090909091068</v>
      </c>
      <c r="S116" s="56">
        <v>38.795068686868838</v>
      </c>
      <c r="T116" s="56" cm="1">
        <f t="array" ref="T116:U116">LINEST(F102:F116,D102:D116)</f>
        <v>-5.245714285714266</v>
      </c>
      <c r="U116" s="56">
        <v>5.3836107142856964</v>
      </c>
      <c r="V116" s="56" cm="1">
        <f t="array" ref="V116:W116">LINEST(F97:F116,D97:D116)</f>
        <v>12.294135338346075</v>
      </c>
      <c r="W116" s="56">
        <v>-11.102299060150573</v>
      </c>
      <c r="X116" s="56" cm="1">
        <f t="array" ref="X116:Y116">LINEST(F92:F116,D92:D116)</f>
        <v>17.390769230769315</v>
      </c>
      <c r="Y116" s="56">
        <v>-15.892029487179567</v>
      </c>
      <c r="Z116" s="56" cm="1">
        <f t="array" ref="Z116:AA116">LINEST(F87:F116,D87:D116)</f>
        <v>13.802536151279256</v>
      </c>
      <c r="AA116" s="56">
        <v>-12.534523748609619</v>
      </c>
      <c r="AB116" s="37" cm="1">
        <f t="array" ref="AB116:AC116">LINEST(G107:G116,D107:D116)</f>
        <v>9.0763636363636824</v>
      </c>
      <c r="AC116" s="37">
        <v>-8.2127191919192359</v>
      </c>
      <c r="AD116" s="37" cm="1">
        <f t="array" ref="AD116:AE116">LINEST(G102:G116,D102:D116)</f>
        <v>10.208571428571469</v>
      </c>
      <c r="AE116" s="37">
        <v>-9.2801639880952767</v>
      </c>
      <c r="AF116" s="37" cm="1">
        <f t="array" ref="AF116:AG116">LINEST(G97:G116,D97:D116)</f>
        <v>10.020451127819548</v>
      </c>
      <c r="AG116" s="37">
        <v>-9.1045885338345869</v>
      </c>
      <c r="AH116" s="37" cm="1">
        <f t="array" ref="AH116:AI116">LINEST(G92:G116,D92:D116)</f>
        <v>4.9901538461538477</v>
      </c>
      <c r="AI116" s="37">
        <v>-4.3914783974358986</v>
      </c>
      <c r="AJ116" s="37" cm="1">
        <f t="array" ref="AJ116:AK116">LINEST(G87:G116,D87:D116)</f>
        <v>1.8548609566184695</v>
      </c>
      <c r="AK116" s="37">
        <v>-1.4608163515016728</v>
      </c>
    </row>
    <row r="117" spans="1:37" x14ac:dyDescent="0.25">
      <c r="A117" s="61">
        <v>502</v>
      </c>
      <c r="B117" s="14">
        <f t="shared" si="1"/>
        <v>111</v>
      </c>
      <c r="C117" s="15">
        <v>43980</v>
      </c>
      <c r="D117" s="16">
        <v>0.94818287037037041</v>
      </c>
      <c r="E117" s="36">
        <v>20.079999999999998</v>
      </c>
      <c r="F117" s="36">
        <v>0.97</v>
      </c>
      <c r="G117" s="36">
        <v>0.41</v>
      </c>
      <c r="H117" s="56" cm="1">
        <f t="array" ref="H117:I117">LINEST(E108:E117,D108:D117)</f>
        <v>-0.34909090909109347</v>
      </c>
      <c r="I117" s="56">
        <v>20.360820202020378</v>
      </c>
      <c r="J117" s="56" cm="1">
        <f t="array" ref="J117:K117">LINEST(E103:E117,D103:D117)</f>
        <v>-7.328571428571518</v>
      </c>
      <c r="K117" s="56">
        <v>26.947575892857227</v>
      </c>
      <c r="L117" s="56" cm="1">
        <f t="array" ref="L117:M117">LINEST(E98:E117,D98:D117)</f>
        <v>-3.5404511278195607</v>
      </c>
      <c r="M117" s="56">
        <v>23.383280827067679</v>
      </c>
      <c r="N117" s="56" cm="1">
        <f t="array" ref="N117:O117">LINEST(E93:E117,D93:D117)</f>
        <v>-2.1101538461538514</v>
      </c>
      <c r="O117" s="56">
        <v>22.040442500000001</v>
      </c>
      <c r="P117" s="56" cm="1">
        <f t="array" ref="P117:Q117">LINEST(E88:E117,D88:D117)</f>
        <v>-1.0523692992213607</v>
      </c>
      <c r="Q117" s="56">
        <v>21.050311661104931</v>
      </c>
      <c r="R117" s="56" cm="1">
        <f t="array" ref="R117:S117">LINEST(F108:F117,D108:D117)</f>
        <v>-4.9309090909088997</v>
      </c>
      <c r="S117" s="56">
        <v>5.1915853535351744</v>
      </c>
      <c r="T117" s="56" cm="1">
        <f t="array" ref="T117:U117">LINEST(F103:F117,D103:D117)</f>
        <v>-1.3114285714285114</v>
      </c>
      <c r="U117" s="56">
        <v>1.7487241071428008</v>
      </c>
      <c r="V117" s="56" cm="1">
        <f t="array" ref="V117:W117">LINEST(F98:F117,D98:D117)</f>
        <v>16.413834586466407</v>
      </c>
      <c r="W117" s="56">
        <v>-14.932745363408747</v>
      </c>
      <c r="X117" s="56" cm="1">
        <f t="array" ref="X117:Y117">LINEST(F93:F117,D93:D117)</f>
        <v>24.158769230769291</v>
      </c>
      <c r="Y117" s="56">
        <v>-22.20548500000006</v>
      </c>
      <c r="Z117" s="56" cm="1">
        <f t="array" ref="Z117:AA117">LINEST(F88:F117,D88:D117)</f>
        <v>17.092591768631866</v>
      </c>
      <c r="AA117" s="56">
        <v>-15.583010252132047</v>
      </c>
      <c r="AB117" s="37" cm="1">
        <f t="array" ref="AB117:AC117">LINEST(G108:G117,D108:D117)</f>
        <v>7.9418181818182036</v>
      </c>
      <c r="AC117" s="37">
        <v>-7.1386595959596182</v>
      </c>
      <c r="AD117" s="37" cm="1">
        <f t="array" ref="AD117:AE117">LINEST(G103:G117,D103:D117)</f>
        <v>9.4371428571428879</v>
      </c>
      <c r="AE117" s="37">
        <v>-8.5523872023809808</v>
      </c>
      <c r="AF117" s="37" cm="1">
        <f t="array" ref="AF117:AG117">LINEST(G98:G117,D98:D117)</f>
        <v>10.518496240601507</v>
      </c>
      <c r="AG117" s="37">
        <v>-9.5711722431077728</v>
      </c>
      <c r="AH117" s="37" cm="1">
        <f t="array" ref="AH117:AI117">LINEST(G93:G117,D93:D117)</f>
        <v>6.4855384615384555</v>
      </c>
      <c r="AI117" s="37">
        <v>-5.7873841666666621</v>
      </c>
      <c r="AJ117" s="37" cm="1">
        <f t="array" ref="AJ117:AK117">LINEST(G88:G117,D88:D117)</f>
        <v>3.0674082313681916</v>
      </c>
      <c r="AK117" s="37">
        <v>-2.5870230812013393</v>
      </c>
    </row>
    <row r="118" spans="1:37" x14ac:dyDescent="0.25">
      <c r="A118" s="61">
        <v>502</v>
      </c>
      <c r="B118" s="14">
        <f t="shared" si="1"/>
        <v>112</v>
      </c>
      <c r="C118" s="15">
        <v>43980</v>
      </c>
      <c r="D118" s="16">
        <v>0.9495717592592593</v>
      </c>
      <c r="E118" s="36">
        <v>20.079999999999998</v>
      </c>
      <c r="F118" s="36">
        <v>-0.04</v>
      </c>
      <c r="G118" s="36">
        <v>0.37</v>
      </c>
      <c r="H118" s="56" cm="1">
        <f t="array" ref="H118:I118">LINEST(E109:E118,D109:D118)</f>
        <v>8.6399999999998034</v>
      </c>
      <c r="I118" s="56">
        <v>11.871700000000185</v>
      </c>
      <c r="J118" s="56" cm="1">
        <f t="array" ref="J118:K118">LINEST(E104:E118,D104:D118)</f>
        <v>-6.1200000000000809</v>
      </c>
      <c r="K118" s="56">
        <v>25.819212500000077</v>
      </c>
      <c r="L118" s="56" cm="1">
        <f t="array" ref="L118:M118">LINEST(E99:E118,D99:D118)</f>
        <v>-3.2751879699248412</v>
      </c>
      <c r="M118" s="56">
        <v>23.139311716792005</v>
      </c>
      <c r="N118" s="56" cm="1">
        <f t="array" ref="N118:O118">LINEST(E94:E118,D94:D118)</f>
        <v>-1.8941538461538534</v>
      </c>
      <c r="O118" s="56">
        <v>21.841065769230774</v>
      </c>
      <c r="P118" s="56" cm="1">
        <f t="array" ref="P118:Q118">LINEST(E89:E118,D89:D118)</f>
        <v>-1.0411568409343808</v>
      </c>
      <c r="Q118" s="56">
        <v>21.041685391175392</v>
      </c>
      <c r="R118" s="56" cm="1">
        <f t="array" ref="R118:S118">LINEST(F109:F118,D109:D118)</f>
        <v>-23.51999999999995</v>
      </c>
      <c r="S118" s="56">
        <v>22.665927777777725</v>
      </c>
      <c r="T118" s="56" cm="1">
        <f t="array" ref="T118:U118">LINEST(F104:F118,D104:D118)</f>
        <v>1.2342857142856556</v>
      </c>
      <c r="U118" s="56">
        <v>-0.72004285714280203</v>
      </c>
      <c r="V118" s="56" cm="1">
        <f t="array" ref="V118:W118">LINEST(F99:F118,D99:D118)</f>
        <v>12.494436090225779</v>
      </c>
      <c r="W118" s="56">
        <v>-11.311506516290928</v>
      </c>
      <c r="X118" s="56" cm="1">
        <f t="array" ref="X118:Y118">LINEST(F94:F118,D94:D118)</f>
        <v>20.043692307692375</v>
      </c>
      <c r="Y118" s="56">
        <v>-18.403262628205191</v>
      </c>
      <c r="Z118" s="56" cm="1">
        <f t="array" ref="Z118:AA118">LINEST(F89:F118,D89:D118)</f>
        <v>14.268654060066781</v>
      </c>
      <c r="AA118" s="56">
        <v>-12.983756099369707</v>
      </c>
      <c r="AB118" s="37" cm="1">
        <f t="array" ref="AB118:AC118">LINEST(G109:G118,D109:D118)</f>
        <v>5.5854545454545574</v>
      </c>
      <c r="AC118" s="37">
        <v>-4.9168808080808182</v>
      </c>
      <c r="AD118" s="37" cm="1">
        <f t="array" ref="AD118:AE118">LINEST(G104:G118,D104:D118)</f>
        <v>8.6914285714285846</v>
      </c>
      <c r="AE118" s="37">
        <v>-7.8539684523809656</v>
      </c>
      <c r="AF118" s="37" cm="1">
        <f t="array" ref="AF118:AG118">LINEST(G99:G118,D99:D118)</f>
        <v>10.664661654135337</v>
      </c>
      <c r="AG118" s="37">
        <v>-9.7131472431077679</v>
      </c>
      <c r="AH118" s="37" cm="1">
        <f t="array" ref="AH118:AI118">LINEST(G94:G118,D94:D118)</f>
        <v>7.5156923076923023</v>
      </c>
      <c r="AI118" s="37">
        <v>-6.7542276282051228</v>
      </c>
      <c r="AJ118" s="37" cm="1">
        <f t="array" ref="AJ118:AK118">LINEST(G89:G118,D89:D118)</f>
        <v>3.9291657397107884</v>
      </c>
      <c r="AK118" s="37">
        <v>-3.3908957916203173</v>
      </c>
    </row>
    <row r="119" spans="1:37" x14ac:dyDescent="0.25">
      <c r="A119" s="61">
        <v>502</v>
      </c>
      <c r="B119" s="14">
        <f t="shared" si="1"/>
        <v>113</v>
      </c>
      <c r="C119" s="15">
        <v>43980</v>
      </c>
      <c r="D119" s="16">
        <v>0.95096064814814818</v>
      </c>
      <c r="E119" s="36">
        <v>20.09</v>
      </c>
      <c r="F119" s="36">
        <v>0.53</v>
      </c>
      <c r="G119" s="36">
        <v>0.38</v>
      </c>
      <c r="H119" s="56" cm="1">
        <f t="array" ref="H119:I119">LINEST(E110:E119,D110:D119)</f>
        <v>8.3345454545452728</v>
      </c>
      <c r="I119" s="56">
        <v>12.161266161616332</v>
      </c>
      <c r="J119" s="56" cm="1">
        <f t="array" ref="J119:K119">LINEST(E105:E119,D105:D119)</f>
        <v>-3.6000000000000276</v>
      </c>
      <c r="K119" s="56">
        <v>23.450458333333362</v>
      </c>
      <c r="L119" s="56" cm="1">
        <f t="array" ref="L119:M119">LINEST(E100:E119,D100:D119)</f>
        <v>-3.350977443609052</v>
      </c>
      <c r="M119" s="56">
        <v>23.216933395989997</v>
      </c>
      <c r="N119" s="56" cm="1">
        <f t="array" ref="N119:O119">LINEST(E95:E119,D95:D119)</f>
        <v>-1.6726153846153926</v>
      </c>
      <c r="O119" s="56">
        <v>21.636714487179493</v>
      </c>
      <c r="P119" s="56" cm="1">
        <f t="array" ref="P119:Q119">LINEST(E90:E119,D90:D119)</f>
        <v>-1.1356618464961212</v>
      </c>
      <c r="Q119" s="56">
        <v>21.132765424545806</v>
      </c>
      <c r="R119" s="56" cm="1">
        <f t="array" ref="R119:S119">LINEST(F110:F119,D110:D119)</f>
        <v>-13.789090909090776</v>
      </c>
      <c r="S119" s="56">
        <v>13.494701010100885</v>
      </c>
      <c r="T119" s="56" cm="1">
        <f t="array" ref="T119:U119">LINEST(F105:F119,D105:D119)</f>
        <v>20.545714285714347</v>
      </c>
      <c r="U119" s="56">
        <v>-18.949749107142917</v>
      </c>
      <c r="V119" s="56" cm="1">
        <f t="array" ref="V119:W119">LINEST(F100:F119,D100:D119)</f>
        <v>-2.7338345864660312</v>
      </c>
      <c r="W119" s="56">
        <v>3.032197681704135</v>
      </c>
      <c r="X119" s="56" cm="1">
        <f t="array" ref="X119:Y119">LINEST(F95:F119,D95:D119)</f>
        <v>17.673230769230845</v>
      </c>
      <c r="Y119" s="56">
        <v>-16.185193141025714</v>
      </c>
      <c r="Z119" s="56" cm="1">
        <f t="array" ref="Z119:AA119">LINEST(F90:F119,D90:D119)</f>
        <v>10.831234705228081</v>
      </c>
      <c r="AA119" s="56">
        <v>-9.7646156099370121</v>
      </c>
      <c r="AB119" s="37" cm="1">
        <f t="array" ref="AB119:AC119">LINEST(G110:G119,D110:D119)</f>
        <v>3.709090909090917</v>
      </c>
      <c r="AC119" s="37">
        <v>-3.1430176767676841</v>
      </c>
      <c r="AD119" s="37" cm="1">
        <f t="array" ref="AD119:AE119">LINEST(G105:G119,D105:D119)</f>
        <v>9.5657142857143036</v>
      </c>
      <c r="AE119" s="37">
        <v>-8.6836178571428739</v>
      </c>
      <c r="AF119" s="37" cm="1">
        <f t="array" ref="AF119:AG119">LINEST(G100:G119,D100:D119)</f>
        <v>9.571127819548872</v>
      </c>
      <c r="AG119" s="37">
        <v>-8.6874802005012537</v>
      </c>
      <c r="AH119" s="37" cm="1">
        <f t="array" ref="AH119:AI119">LINEST(G95:G119,D95:D119)</f>
        <v>8.2799999999999905</v>
      </c>
      <c r="AI119" s="37">
        <v>-7.4735541666666583</v>
      </c>
      <c r="AJ119" s="37" cm="1">
        <f t="array" ref="AJ119:AK119">LINEST(G90:G119,D90:D119)</f>
        <v>4.4769744160177982</v>
      </c>
      <c r="AK119" s="37">
        <v>-3.9022652020763817</v>
      </c>
    </row>
    <row r="120" spans="1:37" x14ac:dyDescent="0.25">
      <c r="A120" s="61">
        <v>502</v>
      </c>
      <c r="B120" s="14">
        <f t="shared" si="1"/>
        <v>114</v>
      </c>
      <c r="C120" s="15">
        <v>43980</v>
      </c>
      <c r="D120" s="16">
        <v>0.95234953703703706</v>
      </c>
      <c r="E120" s="36">
        <v>20.12</v>
      </c>
      <c r="F120" s="36">
        <v>0.66</v>
      </c>
      <c r="G120" s="36">
        <v>0.41</v>
      </c>
      <c r="H120" s="56" cm="1">
        <f t="array" ref="H120:I120">LINEST(E111:E120,D111:D120)</f>
        <v>10.472727272727246</v>
      </c>
      <c r="I120" s="56">
        <v>10.1377575757576</v>
      </c>
      <c r="J120" s="56" cm="1">
        <f t="array" ref="J120:K120">LINEST(E106:E120,D106:D120)</f>
        <v>-0.74571428571431497</v>
      </c>
      <c r="K120" s="56">
        <v>20.762930654761934</v>
      </c>
      <c r="L120" s="56" cm="1">
        <f t="array" ref="L120:M120">LINEST(E101:E120,D101:D120)</f>
        <v>-2.5930827067669191</v>
      </c>
      <c r="M120" s="56">
        <v>22.510806829573934</v>
      </c>
      <c r="N120" s="56" cm="1">
        <f t="array" ref="N120:O120">LINEST(E96:E120,D96:D120)</f>
        <v>-1.2516923076923103</v>
      </c>
      <c r="O120" s="56">
        <v>21.246387051282049</v>
      </c>
      <c r="P120" s="56" cm="1">
        <f t="array" ref="P120:Q120">LINEST(E91:E120,D91:D120)</f>
        <v>-1.057174638487212</v>
      </c>
      <c r="Q120" s="56">
        <v>21.063509454949948</v>
      </c>
      <c r="R120" s="56" cm="1">
        <f t="array" ref="R120:S120">LINEST(F111:F120,D111:D120)</f>
        <v>2.0072727272728628</v>
      </c>
      <c r="S120" s="56">
        <v>-1.4290797979799263</v>
      </c>
      <c r="T120" s="56" cm="1">
        <f t="array" ref="T120:U120">LINEST(F106:F120,D106:D120)</f>
        <v>4.4742857142858625</v>
      </c>
      <c r="U120" s="56">
        <v>-3.7429172619049016</v>
      </c>
      <c r="V120" s="56" cm="1">
        <f t="array" ref="V120:W120">LINEST(F101:F120,D101:D120)</f>
        <v>9.5981954887219221</v>
      </c>
      <c r="W120" s="56">
        <v>-8.5816941729324405</v>
      </c>
      <c r="X120" s="56" cm="1">
        <f t="array" ref="X120:Y120">LINEST(F96:F120,D96:D120)</f>
        <v>18.326769230769312</v>
      </c>
      <c r="Y120" s="56">
        <v>-16.799244038461612</v>
      </c>
      <c r="Z120" s="56" cm="1">
        <f t="array" ref="Z120:AA120">LINEST(F91:F120,D91:D120)</f>
        <v>11.939666295884358</v>
      </c>
      <c r="AA120" s="56">
        <v>-10.798284056358954</v>
      </c>
      <c r="AB120" s="37" cm="1">
        <f t="array" ref="AB120:AC120">LINEST(G111:G120,D111:D120)</f>
        <v>3.6654545454545544</v>
      </c>
      <c r="AC120" s="37">
        <v>-3.0978848484848571</v>
      </c>
      <c r="AD120" s="37" cm="1">
        <f t="array" ref="AD120:AE120">LINEST(G106:G120,D106:D120)</f>
        <v>9.3342857142857163</v>
      </c>
      <c r="AE120" s="37">
        <v>-8.4667526785714298</v>
      </c>
      <c r="AF120" s="37" cm="1">
        <f t="array" ref="AF120:AG120">LINEST(G101:G120,D101:D120)</f>
        <v>9.5981954887218048</v>
      </c>
      <c r="AG120" s="37">
        <v>-8.7146941729323295</v>
      </c>
      <c r="AH120" s="37" cm="1">
        <f t="array" ref="AH120:AI120">LINEST(G96:G120,D96:D120)</f>
        <v>9.0996923076922993</v>
      </c>
      <c r="AI120" s="37">
        <v>-8.2452262179487104</v>
      </c>
      <c r="AJ120" s="37" cm="1">
        <f t="array" ref="AJ120:AK120">LINEST(G91:G120,D91:D120)</f>
        <v>5.0760400444938787</v>
      </c>
      <c r="AK120" s="37">
        <v>-4.4616052465702598</v>
      </c>
    </row>
    <row r="121" spans="1:37" x14ac:dyDescent="0.25">
      <c r="A121" s="61">
        <v>502</v>
      </c>
      <c r="B121" s="14">
        <f t="shared" si="1"/>
        <v>115</v>
      </c>
      <c r="C121" s="15">
        <v>43980</v>
      </c>
      <c r="D121" s="16">
        <v>0.95373842592592595</v>
      </c>
      <c r="E121" s="36">
        <v>20.11</v>
      </c>
      <c r="F121" s="36">
        <v>-0.19</v>
      </c>
      <c r="G121" s="36">
        <v>0.36</v>
      </c>
      <c r="H121" s="56" cm="1">
        <f t="array" ref="H121:I121">LINEST(E112:E121,D112:D121)</f>
        <v>9.8181818181817828</v>
      </c>
      <c r="I121" s="56">
        <v>10.756386363636395</v>
      </c>
      <c r="J121" s="56" cm="1">
        <f t="array" ref="J121:K121">LINEST(E107:E121,D107:D121)</f>
        <v>1.5942857142856666</v>
      </c>
      <c r="K121" s="56">
        <v>18.553635119047666</v>
      </c>
      <c r="L121" s="56" cm="1">
        <f t="array" ref="L121:M121">LINEST(E102:E121,D102:D121)</f>
        <v>-2.1870676691729631</v>
      </c>
      <c r="M121" s="56">
        <v>22.13403333333336</v>
      </c>
      <c r="N121" s="56" cm="1">
        <f t="array" ref="N121:O121">LINEST(E97:E121,D97:D121)</f>
        <v>-1.1298461538461682</v>
      </c>
      <c r="O121" s="56">
        <v>21.135946923076929</v>
      </c>
      <c r="P121" s="56" cm="1">
        <f t="array" ref="P121:Q121">LINEST(E92:E121,D92:D121)</f>
        <v>-0.89859844271414335</v>
      </c>
      <c r="Q121" s="56">
        <v>20.917931090100129</v>
      </c>
      <c r="R121" s="56" cm="1">
        <f t="array" ref="R121:S121">LINEST(F112:F121,D112:D121)</f>
        <v>-15.752727272727125</v>
      </c>
      <c r="S121" s="56">
        <v>15.312526767676626</v>
      </c>
      <c r="T121" s="56" cm="1">
        <f t="array" ref="T121:U121">LINEST(F107:F121,D107:D121)</f>
        <v>-26.305714285714227</v>
      </c>
      <c r="U121" s="56">
        <v>25.324353869047567</v>
      </c>
      <c r="V121" s="56" cm="1">
        <f t="array" ref="V121:W121">LINEST(F102:F121,D102:D121)</f>
        <v>-7.2920300751879594</v>
      </c>
      <c r="W121" s="56">
        <v>7.3059749999999903</v>
      </c>
      <c r="X121" s="56" cm="1">
        <f t="array" ref="X121:Y121">LINEST(F97:F121,D97:D121)</f>
        <v>5.6824615384616521</v>
      </c>
      <c r="Y121" s="56">
        <v>-4.947274230769338</v>
      </c>
      <c r="Z121" s="56" cm="1">
        <f t="array" ref="Z121:AA121">LINEST(F92:F121,D92:D121)</f>
        <v>11.59047830923253</v>
      </c>
      <c r="AA121" s="56">
        <v>-10.520198516870643</v>
      </c>
      <c r="AB121" s="37" cm="1">
        <f t="array" ref="AB121:AC121">LINEST(G112:G121,D112:D121)</f>
        <v>2.3127272727272765</v>
      </c>
      <c r="AC121" s="37">
        <v>-1.8202823232323269</v>
      </c>
      <c r="AD121" s="37" cm="1">
        <f t="array" ref="AD121:AE121">LINEST(G107:G121,D107:D121)</f>
        <v>6.5057142857142827</v>
      </c>
      <c r="AE121" s="37">
        <v>-5.7968330357142825</v>
      </c>
      <c r="AF121" s="37" cm="1">
        <f t="array" ref="AF121:AG121">LINEST(G102:G121,D102:D121)</f>
        <v>8.2935338345864782</v>
      </c>
      <c r="AG121" s="37">
        <v>-7.4894333333333449</v>
      </c>
      <c r="AH121" s="37" cm="1">
        <f t="array" ref="AH121:AI121">LINEST(G97:G121,D97:D121)</f>
        <v>8.8449230769230685</v>
      </c>
      <c r="AI121" s="37">
        <v>-8.010727628205121</v>
      </c>
      <c r="AJ121" s="37" cm="1">
        <f t="array" ref="AJ121:AK121">LINEST(G92:G121,D92:D121)</f>
        <v>5.590211345939931</v>
      </c>
      <c r="AK121" s="37">
        <v>-4.9463520578420441</v>
      </c>
    </row>
    <row r="122" spans="1:37" x14ac:dyDescent="0.25">
      <c r="A122" s="61">
        <v>502</v>
      </c>
      <c r="B122" s="14">
        <f t="shared" si="1"/>
        <v>116</v>
      </c>
      <c r="C122" s="15">
        <v>43980</v>
      </c>
      <c r="D122" s="16">
        <v>0.95512731481481483</v>
      </c>
      <c r="E122" s="36">
        <v>20.12</v>
      </c>
      <c r="F122" s="36">
        <v>0.33</v>
      </c>
      <c r="G122" s="36">
        <v>0.36</v>
      </c>
      <c r="H122" s="56" cm="1">
        <f t="array" ref="H122:I122">LINEST(E113:E122,D113:D122)</f>
        <v>9.3818181818182449</v>
      </c>
      <c r="I122" s="56">
        <v>11.168805555555494</v>
      </c>
      <c r="J122" s="56" cm="1">
        <f t="array" ref="J122:K122">LINEST(E108:E122,D108:D122)</f>
        <v>4.782857142857095</v>
      </c>
      <c r="K122" s="56">
        <v>15.534262500000047</v>
      </c>
      <c r="L122" s="56" cm="1">
        <f t="array" ref="L122:M122">LINEST(E103:E122,D103:D122)</f>
        <v>-1.5969924812030303</v>
      </c>
      <c r="M122" s="56">
        <v>21.582759711779467</v>
      </c>
      <c r="N122" s="56" cm="1">
        <f t="array" ref="N122:O122">LINEST(E98:E122,D98:D122)</f>
        <v>-0.8972307692307766</v>
      </c>
      <c r="O122" s="56">
        <v>20.921215769230777</v>
      </c>
      <c r="P122" s="56" cm="1">
        <f t="array" ref="P122:Q122">LINEST(E93:E122,D93:D122)</f>
        <v>-0.60387096774194104</v>
      </c>
      <c r="Q122" s="56">
        <v>20.644279032258069</v>
      </c>
      <c r="R122" s="56" cm="1">
        <f t="array" ref="R122:S122">LINEST(F113:F122,D113:D122)</f>
        <v>-13.047272727272617</v>
      </c>
      <c r="S122" s="56">
        <v>12.751261111111008</v>
      </c>
      <c r="T122" s="56" cm="1">
        <f t="array" ref="T122:U122">LINEST(F108:F122,D108:D122)</f>
        <v>-19.979999999999947</v>
      </c>
      <c r="U122" s="56">
        <v>19.339860416666617</v>
      </c>
      <c r="V122" s="56" cm="1">
        <f t="array" ref="V122:W122">LINEST(F103:F122,D103:D122)</f>
        <v>-11.086917293233094</v>
      </c>
      <c r="W122" s="56">
        <v>10.896131829573944</v>
      </c>
      <c r="X122" s="56" cm="1">
        <f t="array" ref="X122:Y122">LINEST(F98:F122,D98:D122)</f>
        <v>4.0873846153847389</v>
      </c>
      <c r="Y122" s="56">
        <v>-3.4530496153847312</v>
      </c>
      <c r="Z122" s="56" cm="1">
        <f t="array" ref="Z122:AA122">LINEST(F93:F122,D93:D122)</f>
        <v>13.163426028921062</v>
      </c>
      <c r="AA122" s="56">
        <v>-12.015650982573268</v>
      </c>
      <c r="AB122" s="37" cm="1">
        <f t="array" ref="AB122:AC122">LINEST(G113:G122,D113:D122)</f>
        <v>1.3527272727272859</v>
      </c>
      <c r="AC122" s="37">
        <v>-0.91257222222223477</v>
      </c>
      <c r="AD122" s="37" cm="1">
        <f t="array" ref="AD122:AE122">LINEST(G108:G122,D108:D122)</f>
        <v>4.4228571428571417</v>
      </c>
      <c r="AE122" s="37">
        <v>-3.828058333333332</v>
      </c>
      <c r="AF122" s="37" cm="1">
        <f t="array" ref="AF122:AG122">LINEST(G103:G122,D103:D122)</f>
        <v>6.8535338345864734</v>
      </c>
      <c r="AG122" s="37">
        <v>-6.1335687969924875</v>
      </c>
      <c r="AH122" s="37" cm="1">
        <f t="array" ref="AH122:AI122">LINEST(G98:G122,D98:D122)</f>
        <v>8.4738461538461554</v>
      </c>
      <c r="AI122" s="37">
        <v>-7.6663711538461552</v>
      </c>
      <c r="AJ122" s="37" cm="1">
        <f t="array" ref="AJ122:AK122">LINEST(G93:G122,D93:D122)</f>
        <v>6.1812680756395926</v>
      </c>
      <c r="AK122" s="37">
        <v>-5.5050807749351067</v>
      </c>
    </row>
    <row r="123" spans="1:37" x14ac:dyDescent="0.25">
      <c r="A123" s="61">
        <v>502</v>
      </c>
      <c r="B123" s="14">
        <f t="shared" si="1"/>
        <v>117</v>
      </c>
      <c r="C123" s="15">
        <v>43980</v>
      </c>
      <c r="D123" s="16">
        <v>0.95651620370370372</v>
      </c>
      <c r="E123" s="36">
        <v>20.13</v>
      </c>
      <c r="F123" s="36">
        <v>0.27</v>
      </c>
      <c r="G123" s="36">
        <v>0.35</v>
      </c>
      <c r="H123" s="56" cm="1">
        <f t="array" ref="H123:I123">LINEST(E114:E123,D114:D123)</f>
        <v>9.2509090909091007</v>
      </c>
      <c r="I123" s="56">
        <v>11.291173737373729</v>
      </c>
      <c r="J123" s="56" cm="1">
        <f t="array" ref="J123:K123">LINEST(E109:E123,D109:D123)</f>
        <v>8.6657142857142304</v>
      </c>
      <c r="K123" s="56">
        <v>11.848020535714337</v>
      </c>
      <c r="L123" s="56" cm="1">
        <f t="array" ref="L123:M123">LINEST(E104:E123,D104:D123)</f>
        <v>-0.59548872180453105</v>
      </c>
      <c r="M123" s="56">
        <v>20.640737468671698</v>
      </c>
      <c r="N123" s="56" cm="1">
        <f t="array" ref="N123:O123">LINEST(E99:E123,D99:D123)</f>
        <v>-0.48184615384617091</v>
      </c>
      <c r="O123" s="56">
        <v>20.533662884615396</v>
      </c>
      <c r="P123" s="56" cm="1">
        <f t="array" ref="P123:Q123">LINEST(E94:E123,D94:D123)</f>
        <v>-0.26909899888765632</v>
      </c>
      <c r="Q123" s="56">
        <v>20.332644864664445</v>
      </c>
      <c r="R123" s="56" cm="1">
        <f t="array" ref="R123:S123">LINEST(F114:F123,D114:D123)</f>
        <v>-5.5418181818181536</v>
      </c>
      <c r="S123" s="56">
        <v>5.603202525252498</v>
      </c>
      <c r="T123" s="56" cm="1">
        <f t="array" ref="T123:U123">LINEST(F109:F123,D109:D123)</f>
        <v>-19.337142857142819</v>
      </c>
      <c r="U123" s="56">
        <v>18.734290476190434</v>
      </c>
      <c r="V123" s="56" cm="1">
        <f t="array" ref="V123:W123">LINEST(F104:F123,D104:D123)</f>
        <v>-5.2727819548872503</v>
      </c>
      <c r="W123" s="56">
        <v>5.3839299498747177</v>
      </c>
      <c r="X123" s="56" cm="1">
        <f t="array" ref="X123:Y123">LINEST(F99:F123,D99:D123)</f>
        <v>4.0375384615385768</v>
      </c>
      <c r="Y123" s="56">
        <v>-3.4202786538462617</v>
      </c>
      <c r="Z123" s="56" cm="1">
        <f t="array" ref="Z123:AA123">LINEST(F94:F123,D94:D123)</f>
        <v>11.809922135706387</v>
      </c>
      <c r="AA123" s="56">
        <v>-10.758876510938121</v>
      </c>
      <c r="AB123" s="37" cm="1">
        <f t="array" ref="AB123:AC123">LINEST(G114:G123,D114:D123)</f>
        <v>0.96000000000000885</v>
      </c>
      <c r="AC123" s="37">
        <v>-0.54425555555556404</v>
      </c>
      <c r="AD123" s="37" cm="1">
        <f t="array" ref="AD123:AE123">LINEST(G109:G123,D109:D123)</f>
        <v>2.6485714285714286</v>
      </c>
      <c r="AE123" s="37">
        <v>-2.1489848214285709</v>
      </c>
      <c r="AF123" s="37" cm="1">
        <f t="array" ref="AF123:AG123">LINEST(G104:G123,D104:D123)</f>
        <v>5.8682706766917292</v>
      </c>
      <c r="AG123" s="37">
        <v>-5.2066674185463668</v>
      </c>
      <c r="AH123" s="37" cm="1">
        <f t="array" ref="AH123:AI123">LINEST(G99:G123,D99:D123)</f>
        <v>8.1359999999999992</v>
      </c>
      <c r="AI123" s="37">
        <v>-7.353815833333333</v>
      </c>
      <c r="AJ123" s="37" cm="1">
        <f t="array" ref="AJ123:AK123">LINEST(G94:G123,D94:D123)</f>
        <v>6.6105450500556131</v>
      </c>
      <c r="AK123" s="37">
        <v>-5.9136310901001066</v>
      </c>
    </row>
    <row r="124" spans="1:37" x14ac:dyDescent="0.25">
      <c r="A124" s="61">
        <v>502</v>
      </c>
      <c r="B124" s="14">
        <f t="shared" si="1"/>
        <v>118</v>
      </c>
      <c r="C124" s="15">
        <v>43980</v>
      </c>
      <c r="D124" s="16">
        <v>0.9579050925925926</v>
      </c>
      <c r="E124" s="36">
        <v>20.13</v>
      </c>
      <c r="F124" s="36">
        <v>-0.1</v>
      </c>
      <c r="G124" s="36">
        <v>0.32</v>
      </c>
      <c r="H124" s="56" cm="1">
        <f t="array" ref="H124:I124">LINEST(E115:E124,D115:D124)</f>
        <v>8.1600000000000108</v>
      </c>
      <c r="I124" s="56">
        <v>12.327494444444433</v>
      </c>
      <c r="J124" s="56" cm="1">
        <f t="array" ref="J124:K124">LINEST(E110:E124,D110:D124)</f>
        <v>8.1514285714285108</v>
      </c>
      <c r="K124" s="56">
        <v>12.334955059523868</v>
      </c>
      <c r="L124" s="56" cm="1">
        <f t="array" ref="L124:M124">LINEST(E105:E124,D105:D124)</f>
        <v>0.96360902255638592</v>
      </c>
      <c r="M124" s="56">
        <v>19.166668295739356</v>
      </c>
      <c r="N124" s="56" cm="1">
        <f t="array" ref="N124:O124">LINEST(E100:E124,D100:D124)</f>
        <v>-0.37661538461540395</v>
      </c>
      <c r="O124" s="56">
        <v>20.438484871794888</v>
      </c>
      <c r="P124" s="56" cm="1">
        <f t="array" ref="P124:Q124">LINEST(E95:E124,D95:D124)</f>
        <v>6.4071190211258903E-3</v>
      </c>
      <c r="Q124" s="56">
        <v>20.075991620318877</v>
      </c>
      <c r="R124" s="56" cm="1">
        <f t="array" ref="R124:S124">LINEST(F115:F124,D115:D124)</f>
        <v>-36.000000000000121</v>
      </c>
      <c r="S124" s="56">
        <v>34.58058333333345</v>
      </c>
      <c r="T124" s="56" cm="1">
        <f t="array" ref="T124:U124">LINEST(F110:F124,D110:D124)</f>
        <v>-24.402857142857069</v>
      </c>
      <c r="U124" s="56">
        <v>23.515037797618977</v>
      </c>
      <c r="V124" s="56" cm="1">
        <f t="array" ref="V124:W124">LINEST(F105:F124,D105:D124)</f>
        <v>-0.40060150375939407</v>
      </c>
      <c r="W124" s="56">
        <v>0.71845250626566004</v>
      </c>
      <c r="X124" s="56" cm="1">
        <f t="array" ref="X124:Y124">LINEST(F100:F124,D100:D124)</f>
        <v>-9.587076923076868</v>
      </c>
      <c r="Y124" s="56">
        <v>9.4373251923076413</v>
      </c>
      <c r="Z124" s="56" cm="1">
        <f t="array" ref="Z124:AA124">LINEST(F95:F124,D95:D124)</f>
        <v>7.2240266963293198</v>
      </c>
      <c r="AA124" s="56">
        <v>-6.4697814238042879</v>
      </c>
      <c r="AB124" s="37" cm="1">
        <f t="array" ref="AB124:AC124">LINEST(G115:G124,D115:D124)</f>
        <v>-1.7890909090909004</v>
      </c>
      <c r="AC124" s="37">
        <v>2.0675974747474664</v>
      </c>
      <c r="AD124" s="37" cm="1">
        <f t="array" ref="AD124:AE124">LINEST(G110:G124,D110:D124)</f>
        <v>0.54000000000000725</v>
      </c>
      <c r="AE124" s="37">
        <v>-0.15135208333334016</v>
      </c>
      <c r="AF124" s="37" cm="1">
        <f t="array" ref="AF124:AG124">LINEST(G105:G124,D105:D124)</f>
        <v>5.4460150375939875</v>
      </c>
      <c r="AG124" s="37">
        <v>-4.8149083959899777</v>
      </c>
      <c r="AH124" s="37" cm="1">
        <f t="array" ref="AH124:AI124">LINEST(G100:G124,D100:D124)</f>
        <v>6.7846153846153854</v>
      </c>
      <c r="AI124" s="37">
        <v>-6.0835407051282058</v>
      </c>
      <c r="AJ124" s="37" cm="1">
        <f t="array" ref="AJ124:AK124">LINEST(G95:G124,D95:D124)</f>
        <v>6.6826251390433766</v>
      </c>
      <c r="AK124" s="37">
        <v>-5.9880733407489757</v>
      </c>
    </row>
    <row r="125" spans="1:37" x14ac:dyDescent="0.25">
      <c r="A125" s="61">
        <v>502</v>
      </c>
      <c r="B125" s="14">
        <f t="shared" si="1"/>
        <v>119</v>
      </c>
      <c r="C125" s="15">
        <v>43980</v>
      </c>
      <c r="D125" s="16">
        <v>0.95929398148148148</v>
      </c>
      <c r="E125" s="36">
        <v>20.13</v>
      </c>
      <c r="F125" s="36">
        <v>0.21</v>
      </c>
      <c r="G125" s="36">
        <v>0.31</v>
      </c>
      <c r="H125" s="56" cm="1">
        <f t="array" ref="H125:I125">LINEST(E116:E125,D116:D125)</f>
        <v>6.1090909090908943</v>
      </c>
      <c r="I125" s="56">
        <v>14.281767676767689</v>
      </c>
      <c r="J125" s="56" cm="1">
        <f t="array" ref="J125:K125">LINEST(E111:E125,D111:D125)</f>
        <v>8.2285714285714011</v>
      </c>
      <c r="K125" s="56">
        <v>12.258380952380978</v>
      </c>
      <c r="L125" s="56" cm="1">
        <f t="array" ref="L125:M125">LINEST(E106:E125,D106:D125)</f>
        <v>2.3386466165413222</v>
      </c>
      <c r="M125" s="56">
        <v>17.863407518797022</v>
      </c>
      <c r="N125" s="56" cm="1">
        <f t="array" ref="N125:O125">LINEST(E101:E125,D101:D125)</f>
        <v>4.4307692307676901E-2</v>
      </c>
      <c r="O125" s="56">
        <v>20.04343435897437</v>
      </c>
      <c r="P125" s="56" cm="1">
        <f t="array" ref="P125:Q125">LINEST(E96:E125,D96:D125)</f>
        <v>0.26909899888763922</v>
      </c>
      <c r="Q125" s="56">
        <v>19.830607638116433</v>
      </c>
      <c r="R125" s="56" cm="1">
        <f t="array" ref="R125:S125">LINEST(F116:F125,D116:D125)</f>
        <v>-49.527272727272681</v>
      </c>
      <c r="S125" s="56">
        <v>47.530669191919152</v>
      </c>
      <c r="T125" s="56" cm="1">
        <f t="array" ref="T125:U125">LINEST(F111:F125,D111:D125)</f>
        <v>-21.985714285714245</v>
      </c>
      <c r="U125" s="56">
        <v>21.225013392857104</v>
      </c>
      <c r="V125" s="56" cm="1">
        <f t="array" ref="V125:W125">LINEST(F106:F125,D106:D125)</f>
        <v>-12.765112781954821</v>
      </c>
      <c r="W125" s="56">
        <v>12.459067293233019</v>
      </c>
      <c r="X125" s="56" cm="1">
        <f t="array" ref="X125:Y125">LINEST(F101:F125,D101:D125)</f>
        <v>-3.9821538461537869</v>
      </c>
      <c r="Y125" s="56">
        <v>4.1204869871794312</v>
      </c>
      <c r="Z125" s="56" cm="1">
        <f t="array" ref="Z125:AA125">LINEST(F96:F125,D96:D125)</f>
        <v>5.8176640711902756</v>
      </c>
      <c r="AA125" s="56">
        <v>-5.1556888394513027</v>
      </c>
      <c r="AB125" s="37" cm="1">
        <f t="array" ref="AB125:AC125">LINEST(G116:G125,D116:D125)</f>
        <v>-5.6290909090908761</v>
      </c>
      <c r="AC125" s="37">
        <v>5.7277712121211817</v>
      </c>
      <c r="AD125" s="37" cm="1">
        <f t="array" ref="AD125:AE125">LINEST(G111:G125,D111:D125)</f>
        <v>-1.2085714285714224</v>
      </c>
      <c r="AE125" s="37">
        <v>1.5076252976190418</v>
      </c>
      <c r="AF125" s="37" cm="1">
        <f t="array" ref="AF125:AG125">LINEST(G106:G125,D106:D125)</f>
        <v>4.1034586466165459</v>
      </c>
      <c r="AG125" s="37">
        <v>-3.5482803258145403</v>
      </c>
      <c r="AH125" s="37" cm="1">
        <f t="array" ref="AH125:AI125">LINEST(G101:G125,D101:D125)</f>
        <v>5.9538461538461585</v>
      </c>
      <c r="AI125" s="37">
        <v>-5.3046580128205161</v>
      </c>
      <c r="AJ125" s="37" cm="1">
        <f t="array" ref="AJ125:AK125">LINEST(G96:G125,D96:D125)</f>
        <v>6.6361735261401567</v>
      </c>
      <c r="AK125" s="37">
        <v>-5.9513961624026708</v>
      </c>
    </row>
    <row r="126" spans="1:37" x14ac:dyDescent="0.25">
      <c r="A126" s="61">
        <v>502</v>
      </c>
      <c r="B126" s="14">
        <f t="shared" si="1"/>
        <v>120</v>
      </c>
      <c r="C126" s="15">
        <v>43980</v>
      </c>
      <c r="D126" s="16">
        <v>0.96068287037037037</v>
      </c>
      <c r="E126" s="36">
        <v>20.13</v>
      </c>
      <c r="F126" s="36">
        <v>-0.12</v>
      </c>
      <c r="G126" s="36">
        <v>0.27</v>
      </c>
      <c r="H126" s="56" cm="1">
        <f t="array" ref="H126:I126">LINEST(E117:E126,D117:D126)</f>
        <v>4.5381818181818456</v>
      </c>
      <c r="I126" s="56">
        <v>15.780610101010076</v>
      </c>
      <c r="J126" s="56" cm="1">
        <f t="array" ref="J126:K126">LINEST(E112:E126,D112:D126)</f>
        <v>7.379999999999975</v>
      </c>
      <c r="K126" s="56">
        <v>13.063910416666687</v>
      </c>
      <c r="L126" s="56" cm="1">
        <f t="array" ref="L126:M126">LINEST(E107:E126,D107:D126)</f>
        <v>3.5079699248119858</v>
      </c>
      <c r="M126" s="56">
        <v>16.752239097744404</v>
      </c>
      <c r="N126" s="56" cm="1">
        <f t="array" ref="N126:O126">LINEST(E102:E126,D102:D126)</f>
        <v>0.30461538461535315</v>
      </c>
      <c r="O126" s="56">
        <v>19.799638141025671</v>
      </c>
      <c r="P126" s="56" cm="1">
        <f t="array" ref="P126:Q126">LINEST(E97:E126,D97:D126)</f>
        <v>0.37001112347049886</v>
      </c>
      <c r="Q126" s="56">
        <v>19.737654931405281</v>
      </c>
      <c r="R126" s="56" cm="1">
        <f t="array" ref="R126:S126">LINEST(F117:F126,D117:D126)</f>
        <v>-51.752727272727455</v>
      </c>
      <c r="S126" s="56">
        <v>49.646504040404217</v>
      </c>
      <c r="T126" s="56" cm="1">
        <f t="array" ref="T126:U126">LINEST(F112:F126,D112:D126)</f>
        <v>-24.402857142857084</v>
      </c>
      <c r="U126" s="56">
        <v>23.503490178571376</v>
      </c>
      <c r="V126" s="56" cm="1">
        <f t="array" ref="V126:W126">LINEST(F107:F126,D107:D126)</f>
        <v>-27.273383458646613</v>
      </c>
      <c r="W126" s="56">
        <v>26.239215162907264</v>
      </c>
      <c r="X126" s="56" cm="1">
        <f t="array" ref="X126:Y126">LINEST(F102:F126,D102:D126)</f>
        <v>-13.386461538461539</v>
      </c>
      <c r="Y126" s="56">
        <v>13.018636602564102</v>
      </c>
      <c r="Z126" s="56" cm="1">
        <f t="array" ref="Z126:AA126">LINEST(F97:F126,D97:D126)</f>
        <v>-2.218464961067772</v>
      </c>
      <c r="AA126" s="56">
        <v>2.4208972005931755</v>
      </c>
      <c r="AB126" s="37" cm="1">
        <f t="array" ref="AB126:AC126">LINEST(G117:G126,D117:D126)</f>
        <v>-9.4254545454545759</v>
      </c>
      <c r="AC126" s="37">
        <v>9.3499636363636647</v>
      </c>
      <c r="AD126" s="37" cm="1">
        <f t="array" ref="AD126:AE126">LINEST(G112:G126,D112:D126)</f>
        <v>-3.0342857142856996</v>
      </c>
      <c r="AE126" s="37">
        <v>3.2401529761904624</v>
      </c>
      <c r="AF126" s="37" cm="1">
        <f t="array" ref="AF126:AG126">LINEST(G107:G126,D107:D126)</f>
        <v>1.5807518796992484</v>
      </c>
      <c r="AG126" s="37">
        <v>-1.1587441102756895</v>
      </c>
      <c r="AH126" s="37" cm="1">
        <f t="array" ref="AH126:AI126">LINEST(G102:G126,D102:D126)</f>
        <v>4.4252307692307724</v>
      </c>
      <c r="AI126" s="37">
        <v>-3.8642895512820541</v>
      </c>
      <c r="AJ126" s="37" cm="1">
        <f t="array" ref="AJ126:AK126">LINEST(G97:G126,D97:D126)</f>
        <v>5.9345939933259206</v>
      </c>
      <c r="AK126" s="37">
        <v>-5.2967466629588458</v>
      </c>
    </row>
    <row r="127" spans="1:37" x14ac:dyDescent="0.25">
      <c r="A127" s="61">
        <v>502</v>
      </c>
      <c r="B127" s="14">
        <f t="shared" si="1"/>
        <v>121</v>
      </c>
      <c r="C127" s="15">
        <v>43980</v>
      </c>
      <c r="D127" s="16">
        <v>0.96207175925925925</v>
      </c>
      <c r="E127" s="36">
        <v>20.14</v>
      </c>
      <c r="F127" s="36">
        <v>0.45</v>
      </c>
      <c r="G127" s="36">
        <v>0.28999999999999998</v>
      </c>
      <c r="H127" s="56" cm="1">
        <f t="array" ref="H127:I127">LINEST(E118:E127,D118:D127)</f>
        <v>4.101818181818202</v>
      </c>
      <c r="I127" s="56">
        <v>16.197392929292914</v>
      </c>
      <c r="J127" s="56" cm="1">
        <f t="array" ref="J127:K127">LINEST(E113:E127,D113:D127)</f>
        <v>6.7371428571428691</v>
      </c>
      <c r="K127" s="56">
        <v>13.675218452380939</v>
      </c>
      <c r="L127" s="56" cm="1">
        <f t="array" ref="L127:M127">LINEST(E108:E127,D108:D127)</f>
        <v>5.1212030075187567</v>
      </c>
      <c r="M127" s="56">
        <v>15.215606641604047</v>
      </c>
      <c r="N127" s="56" cm="1">
        <f t="array" ref="N127:O127">LINEST(E103:E127,D103:D127)</f>
        <v>0.67569230769228306</v>
      </c>
      <c r="O127" s="56">
        <v>19.450397051282074</v>
      </c>
      <c r="P127" s="56" cm="1">
        <f t="array" ref="P127:Q127">LINEST(E98:E127,D98:D127)</f>
        <v>0.54460511679642132</v>
      </c>
      <c r="Q127" s="56">
        <v>19.575018539117558</v>
      </c>
      <c r="R127" s="56" cm="1">
        <f t="array" ref="R127:S127">LINEST(F118:F127,D118:D127)</f>
        <v>-9.5127272727273091</v>
      </c>
      <c r="S127" s="56">
        <v>9.2924717171717521</v>
      </c>
      <c r="T127" s="56" cm="1">
        <f t="array" ref="T127:U127">LINEST(F113:F127,D113:D127)</f>
        <v>-17.691428571428553</v>
      </c>
      <c r="U127" s="56">
        <v>17.143090476190459</v>
      </c>
      <c r="V127" s="56" cm="1">
        <f t="array" ref="V127:W127">LINEST(F108:F127,D108:D127)</f>
        <v>-20.576842105263157</v>
      </c>
      <c r="W127" s="56">
        <v>19.898398684210527</v>
      </c>
      <c r="X127" s="56" cm="1">
        <f t="array" ref="X127:Y127">LINEST(F103:F127,D103:D127)</f>
        <v>-14.09538461538464</v>
      </c>
      <c r="Y127" s="56">
        <v>13.71664839743592</v>
      </c>
      <c r="Z127" s="56" cm="1">
        <f t="array" ref="Z127:AA127">LINEST(F98:F127,D98:D127)</f>
        <v>-2.348209121245751</v>
      </c>
      <c r="AA127" s="56">
        <v>2.5545220244715616</v>
      </c>
      <c r="AB127" s="37" cm="1">
        <f t="array" ref="AB127:AC127">LINEST(G118:G127,D118:D127)</f>
        <v>-9.2509090909091238</v>
      </c>
      <c r="AC127" s="37">
        <v>9.184220202020235</v>
      </c>
      <c r="AD127" s="37" cm="1">
        <f t="array" ref="AD127:AE127">LINEST(G113:G127,D113:D127)</f>
        <v>-4.0885714285714219</v>
      </c>
      <c r="AE127" s="37">
        <v>4.2437491071428504</v>
      </c>
      <c r="AF127" s="37" cm="1">
        <f t="array" ref="AF127:AG127">LINEST(G108:G127,D108:D127)</f>
        <v>-0.16240601503758936</v>
      </c>
      <c r="AG127" s="37">
        <v>0.49610338345864224</v>
      </c>
      <c r="AH127" s="37" cm="1">
        <f t="array" ref="AH127:AI127">LINEST(G103:G127,D103:D127)</f>
        <v>3.0240000000000027</v>
      </c>
      <c r="AI127" s="37">
        <v>-2.5397050000000023</v>
      </c>
      <c r="AJ127" s="37" cm="1">
        <f t="array" ref="AJ127:AK127">LINEST(G98:G127,D98:D127)</f>
        <v>5.287474972191327</v>
      </c>
      <c r="AK127" s="37">
        <v>-4.6907798109010042</v>
      </c>
    </row>
    <row r="128" spans="1:37" x14ac:dyDescent="0.25">
      <c r="A128" s="61">
        <v>502</v>
      </c>
      <c r="B128" s="14">
        <f t="shared" si="1"/>
        <v>122</v>
      </c>
      <c r="C128" s="15">
        <v>43980</v>
      </c>
      <c r="D128" s="16">
        <v>0.96346064814814814</v>
      </c>
      <c r="E128" s="36">
        <v>20.18</v>
      </c>
      <c r="F128" s="36">
        <v>0.97</v>
      </c>
      <c r="G128" s="36">
        <v>0.34</v>
      </c>
      <c r="H128" s="56" cm="1">
        <f t="array" ref="H128:I128">LINEST(E119:E128,D119:D128)</f>
        <v>4.7127272727272347</v>
      </c>
      <c r="I128" s="56">
        <v>15.616927272727306</v>
      </c>
      <c r="J128" s="56" cm="1">
        <f t="array" ref="J128:K128">LINEST(E114:E128,D114:D128)</f>
        <v>6.8657142857142954</v>
      </c>
      <c r="K128" s="56">
        <v>13.553904464285701</v>
      </c>
      <c r="L128" s="56" cm="1">
        <f t="array" ref="L128:M128">LINEST(E109:E128,D109:D128)</f>
        <v>7.3948872180450778</v>
      </c>
      <c r="M128" s="56">
        <v>13.047888596491257</v>
      </c>
      <c r="N128" s="56" cm="1">
        <f t="array" ref="N128:O128">LINEST(E104:E128,D104:D128)</f>
        <v>1.5009230769230568</v>
      </c>
      <c r="O128" s="56">
        <v>18.670535064102584</v>
      </c>
      <c r="P128" s="56" cm="1">
        <f t="array" ref="P128:Q128">LINEST(E99:E128,D99:D128)</f>
        <v>0.98189098998885582</v>
      </c>
      <c r="Q128" s="56">
        <v>19.164760863922893</v>
      </c>
      <c r="R128" s="56" cm="1">
        <f t="array" ref="R128:S128">LINEST(F119:F128,D119:D128)</f>
        <v>9.207272727272759</v>
      </c>
      <c r="S128" s="56">
        <v>-8.5122994949495254</v>
      </c>
      <c r="T128" s="56" cm="1">
        <f t="array" ref="T128:U128">LINEST(F114:F128,D114:D128)</f>
        <v>0.95142857142855142</v>
      </c>
      <c r="U128" s="56">
        <v>-0.58874732142855235</v>
      </c>
      <c r="V128" s="56" cm="1">
        <f t="array" ref="V128:W128">LINEST(F109:F128,D109:D128)</f>
        <v>-11.411729323308272</v>
      </c>
      <c r="W128" s="56">
        <v>11.234180701754388</v>
      </c>
      <c r="X128" s="56" cm="1">
        <f t="array" ref="X128:Y128">LINEST(F104:F128,D104:D128)</f>
        <v>-4.9236923076923356</v>
      </c>
      <c r="Y128" s="56">
        <v>5.0461222435897701</v>
      </c>
      <c r="Z128" s="56" cm="1">
        <f t="array" ref="Z128:AA128">LINEST(F99:F128,D99:D128)</f>
        <v>1.2477864293660261</v>
      </c>
      <c r="AA128" s="56">
        <v>-0.81806408972938915</v>
      </c>
      <c r="AB128" s="37" cm="1">
        <f t="array" ref="AB128:AC128">LINEST(G119:G128,D119:D128)</f>
        <v>-7.9854545454545702</v>
      </c>
      <c r="AC128" s="37">
        <v>7.9827621212121453</v>
      </c>
      <c r="AD128" s="37" cm="1">
        <f t="array" ref="AD128:AE128">LINEST(G114:G128,D114:D128)</f>
        <v>-3.6514285714285624</v>
      </c>
      <c r="AE128" s="37">
        <v>3.8298410714285627</v>
      </c>
      <c r="AF128" s="37" cm="1">
        <f t="array" ref="AF128:AG128">LINEST(G109:G128,D109:D128)</f>
        <v>-1.0015037593984943</v>
      </c>
      <c r="AG128" s="37">
        <v>1.2971951754385946</v>
      </c>
      <c r="AH128" s="37" cm="1">
        <f t="array" ref="AH128:AI128">LINEST(G104:G128,D104:D128)</f>
        <v>2.3760000000000034</v>
      </c>
      <c r="AI128" s="37">
        <v>-1.9251825000000033</v>
      </c>
      <c r="AJ128" s="37" cm="1">
        <f t="array" ref="AJ128:AK128">LINEST(G99:G128,D99:D128)</f>
        <v>4.9767296996663042</v>
      </c>
      <c r="AK128" s="37">
        <v>-4.399657415647023</v>
      </c>
    </row>
    <row r="129" spans="1:37" x14ac:dyDescent="0.25">
      <c r="A129" s="61">
        <v>502</v>
      </c>
      <c r="B129" s="14">
        <f t="shared" si="1"/>
        <v>123</v>
      </c>
      <c r="C129" s="15">
        <v>43980</v>
      </c>
      <c r="D129" s="16">
        <v>0.96484953703703702</v>
      </c>
      <c r="E129" s="36">
        <v>20</v>
      </c>
      <c r="F129" s="36">
        <v>0.97</v>
      </c>
      <c r="G129" s="36">
        <v>0.39</v>
      </c>
      <c r="H129" s="56" cm="1">
        <f t="array" ref="H129:I129">LINEST(E120:E129,D120:D129)</f>
        <v>-2.1381818181818644</v>
      </c>
      <c r="I129" s="56">
        <v>22.168660101010143</v>
      </c>
      <c r="J129" s="56" cm="1">
        <f t="array" ref="J129:K129">LINEST(E115:E129,D115:D129)</f>
        <v>3.3428571428571643</v>
      </c>
      <c r="K129" s="56">
        <v>16.907812499999977</v>
      </c>
      <c r="L129" s="56" cm="1">
        <f t="array" ref="L129:M129">LINEST(E110:E129,D110:D129)</f>
        <v>5.3160902255638911</v>
      </c>
      <c r="M129" s="56">
        <v>15.017915664160416</v>
      </c>
      <c r="N129" s="56" cm="1">
        <f t="array" ref="N129:O129">LINEST(E105:E129,D105:D129)</f>
        <v>1.4566153846153824</v>
      </c>
      <c r="O129" s="56">
        <v>18.703662243589747</v>
      </c>
      <c r="P129" s="56" cm="1">
        <f t="array" ref="P129:Q129">LINEST(E100:E129,D100:D129)</f>
        <v>0.35559510567295416</v>
      </c>
      <c r="Q129" s="56">
        <v>19.753398850574722</v>
      </c>
      <c r="R129" s="56" cm="1">
        <f t="array" ref="R129:S129">LINEST(F120:F129,D120:D129)</f>
        <v>46.472727272727433</v>
      </c>
      <c r="S129" s="56">
        <v>-44.203734848484999</v>
      </c>
      <c r="T129" s="56" cm="1">
        <f t="array" ref="T129:U129">LINEST(F115:F129,D115:D129)</f>
        <v>7.3542857142856528</v>
      </c>
      <c r="U129" s="56">
        <v>-6.6449458333332752</v>
      </c>
      <c r="V129" s="56" cm="1">
        <f t="array" ref="V129:W129">LINEST(F110:F129,D110:D129)</f>
        <v>-2.6039097744361048</v>
      </c>
      <c r="W129" s="56">
        <v>2.8845239974937482</v>
      </c>
      <c r="X129" s="56" cm="1">
        <f t="array" ref="X129:Y129">LINEST(F105:F129,D105:D129)</f>
        <v>5.5606153846153923</v>
      </c>
      <c r="Y129" s="56">
        <v>-4.9012802564102635</v>
      </c>
      <c r="Z129" s="56" cm="1">
        <f t="array" ref="Z129:AA129">LINEST(F100:F129,D100:D129)</f>
        <v>-3.0593993325917399</v>
      </c>
      <c r="AA129" s="56">
        <v>3.3175804597700878</v>
      </c>
      <c r="AB129" s="37" cm="1">
        <f t="array" ref="AB129:AC129">LINEST(G120:G129,D120:D129)</f>
        <v>-4.0145454545454662</v>
      </c>
      <c r="AC129" s="37">
        <v>4.1883414141414246</v>
      </c>
      <c r="AD129" s="37" cm="1">
        <f t="array" ref="AD129:AE129">LINEST(G115:G129,D115:D129)</f>
        <v>-2.8285714285714318</v>
      </c>
      <c r="AE129" s="37">
        <v>3.0516458333333367</v>
      </c>
      <c r="AF129" s="37" cm="1">
        <f t="array" ref="AF129:AG129">LINEST(G110:G129,D110:D129)</f>
        <v>-1.1747368421052586</v>
      </c>
      <c r="AG129" s="37">
        <v>1.4684442982456098</v>
      </c>
      <c r="AH129" s="37" cm="1">
        <f t="array" ref="AH129:AI129">LINEST(G105:G129,D105:D129)</f>
        <v>2.6363076923076965</v>
      </c>
      <c r="AI129" s="37">
        <v>-2.1717017948717992</v>
      </c>
      <c r="AJ129" s="37" cm="1">
        <f t="array" ref="AJ129:AK129">LINEST(G100:G129,D100:D129)</f>
        <v>4.3504338153503941</v>
      </c>
      <c r="AK129" s="37">
        <v>-3.804567816091958</v>
      </c>
    </row>
    <row r="130" spans="1:37" x14ac:dyDescent="0.25">
      <c r="A130" s="61">
        <v>502</v>
      </c>
      <c r="B130" s="14">
        <f t="shared" si="1"/>
        <v>124</v>
      </c>
      <c r="C130" s="15">
        <v>43980</v>
      </c>
      <c r="D130" s="16">
        <v>0.9662384259259259</v>
      </c>
      <c r="E130" s="36">
        <v>20.02</v>
      </c>
      <c r="F130" s="36">
        <v>0.97</v>
      </c>
      <c r="G130" s="36">
        <v>0.44</v>
      </c>
      <c r="H130" s="56" cm="1">
        <f t="array" ref="H130:I130">LINEST(E121:E130,D121:D130)</f>
        <v>-5.9781818181818283</v>
      </c>
      <c r="I130" s="56">
        <v>25.847985353535364</v>
      </c>
      <c r="J130" s="56" cm="1">
        <f t="array" ref="J130:K130">LINEST(E116:E130,D116:D130)</f>
        <v>0.2314285714285908</v>
      </c>
      <c r="K130" s="56">
        <v>19.879301488095219</v>
      </c>
      <c r="L130" s="56" cm="1">
        <f t="array" ref="L130:M130">LINEST(E111:E130,D111:D130)</f>
        <v>3.9681203007518842</v>
      </c>
      <c r="M130" s="56">
        <v>16.295706829573927</v>
      </c>
      <c r="N130" s="56" cm="1">
        <f t="array" ref="N130:O130">LINEST(E106:E130,D106:D130)</f>
        <v>1.4953846153846011</v>
      </c>
      <c r="O130" s="56">
        <v>18.659625000000013</v>
      </c>
      <c r="P130" s="56" cm="1">
        <f t="array" ref="P130:Q130">LINEST(E101:E130,D101:D130)</f>
        <v>8.6496106785308044E-2</v>
      </c>
      <c r="Q130" s="56">
        <v>20.004832740081575</v>
      </c>
      <c r="R130" s="56" cm="1">
        <f t="array" ref="R130:S130">LINEST(F121:F130,D121:D130)</f>
        <v>86.138181818182133</v>
      </c>
      <c r="S130" s="56">
        <v>-82.315657575757868</v>
      </c>
      <c r="T130" s="56" cm="1">
        <f t="array" ref="T130:U130">LINEST(F116:F130,D116:D130)</f>
        <v>12.857142857142808</v>
      </c>
      <c r="U130" s="56">
        <v>-11.862732142857094</v>
      </c>
      <c r="V130" s="56" cm="1">
        <f t="array" ref="V130:W130">LINEST(F111:F130,D111:D130)</f>
        <v>5.8466165413533835</v>
      </c>
      <c r="W130" s="56">
        <v>-5.1490827067669178</v>
      </c>
      <c r="X130" s="56" cm="1">
        <f t="array" ref="X130:Y130">LINEST(F106:F130,D106:D130)</f>
        <v>2.3316923076923275</v>
      </c>
      <c r="Y130" s="56">
        <v>-1.7789091666666854</v>
      </c>
      <c r="Z130" s="56" cm="1">
        <f t="array" ref="Z130:AA130">LINEST(F101:F130,D101:D130)</f>
        <v>4.1918576195773403</v>
      </c>
      <c r="AA130" s="56">
        <v>-3.5522478865406306</v>
      </c>
      <c r="AB130" s="37" cm="1">
        <f t="array" ref="AB130:AC130">LINEST(G121:G130,D121:D130)</f>
        <v>3.2727272727272867</v>
      </c>
      <c r="AC130" s="37">
        <v>-2.7987803030303167</v>
      </c>
      <c r="AD130" s="37" cm="1">
        <f t="array" ref="AD130:AE130">LINEST(G116:G130,D116:D130)</f>
        <v>-1.6199999999999981</v>
      </c>
      <c r="AE130" s="37">
        <v>1.9068895833333315</v>
      </c>
      <c r="AF130" s="37" cm="1">
        <f t="array" ref="AF130:AG130">LINEST(G111:G130,D111:D130)</f>
        <v>-0.60090225563909605</v>
      </c>
      <c r="AG130" s="37">
        <v>0.92918627819548716</v>
      </c>
      <c r="AH130" s="37" cm="1">
        <f t="array" ref="AH130:AI130">LINEST(G106:G130,D106:D130)</f>
        <v>2.675076923076928</v>
      </c>
      <c r="AI130" s="37">
        <v>-2.2037775000000046</v>
      </c>
      <c r="AJ130" s="37" cm="1">
        <f t="array" ref="AJ130:AK130">LINEST(G101:G130,D101:D130)</f>
        <v>4.3536373748609636</v>
      </c>
      <c r="AK130" s="37">
        <v>-3.8049743047830988</v>
      </c>
    </row>
    <row r="131" spans="1:37" x14ac:dyDescent="0.25">
      <c r="A131" s="61">
        <v>502</v>
      </c>
      <c r="B131" s="14">
        <f t="shared" si="1"/>
        <v>125</v>
      </c>
      <c r="C131" s="15">
        <v>43980</v>
      </c>
      <c r="D131" s="16">
        <v>0.96762731481481479</v>
      </c>
      <c r="E131" s="36">
        <v>20.010000000000002</v>
      </c>
      <c r="F131" s="36">
        <v>0.97</v>
      </c>
      <c r="G131" s="36">
        <v>0.48</v>
      </c>
      <c r="H131" s="56" cm="1">
        <f t="array" ref="H131:I131">LINEST(E122:E131,D122:D131)</f>
        <v>-9.8181818181817739</v>
      </c>
      <c r="I131" s="56">
        <v>29.537977272727225</v>
      </c>
      <c r="J131" s="56" cm="1">
        <f t="array" ref="J131:K131">LINEST(E117:E131,D117:D131)</f>
        <v>-2.4428571428570858</v>
      </c>
      <c r="K131" s="56">
        <v>22.438025297618992</v>
      </c>
      <c r="L131" s="56" cm="1">
        <f t="array" ref="L131:M131">LINEST(E112:E131,D112:D131)</f>
        <v>2.1654135338346174</v>
      </c>
      <c r="M131" s="56">
        <v>18.012258145363376</v>
      </c>
      <c r="N131" s="56" cm="1">
        <f t="array" ref="N131:O131">LINEST(E107:E131,D107:D131)</f>
        <v>1.3956923076923018</v>
      </c>
      <c r="O131" s="56">
        <v>18.74755153846154</v>
      </c>
      <c r="P131" s="56" cm="1">
        <f t="array" ref="P131:Q131">LINEST(E102:E131,D102:D131)</f>
        <v>-0.3027363737486185</v>
      </c>
      <c r="Q131" s="56">
        <v>20.371172543566932</v>
      </c>
      <c r="R131" s="56" cm="1">
        <f t="array" ref="R131:S131">LINEST(F122:F131,D122:D131)</f>
        <v>82.298181818182087</v>
      </c>
      <c r="S131" s="56">
        <v>-78.627605050505309</v>
      </c>
      <c r="T131" s="56" cm="1">
        <f t="array" ref="T131:U131">LINEST(F117:F131,D117:D131)</f>
        <v>26.897142857142953</v>
      </c>
      <c r="U131" s="56">
        <v>-25.308243452381046</v>
      </c>
      <c r="V131" s="56" cm="1">
        <f t="array" ref="V131:W131">LINEST(F112:F131,D112:D131)</f>
        <v>13.939849624060129</v>
      </c>
      <c r="W131" s="56">
        <v>-12.865150689223038</v>
      </c>
      <c r="X131" s="56" cm="1">
        <f t="array" ref="X131:Y131">LINEST(F107:F131,D107:D131)</f>
        <v>-0.41538461538461829</v>
      </c>
      <c r="Y131" s="56">
        <v>0.88661442307692617</v>
      </c>
      <c r="Z131" s="56" cm="1">
        <f t="array" ref="Z131:AA131">LINEST(F102:F131,D102:D131)</f>
        <v>2.2889432703003387</v>
      </c>
      <c r="AA131" s="56">
        <v>-1.7064139228772759</v>
      </c>
      <c r="AB131" s="37" cm="1">
        <f t="array" ref="AB131:AC131">LINEST(G122:G131,D122:D131)</f>
        <v>9.4690909090909425</v>
      </c>
      <c r="AC131" s="37">
        <v>-8.7483691919192239</v>
      </c>
      <c r="AD131" s="37" cm="1">
        <f t="array" ref="AD131:AE131">LINEST(G117:G131,D117:D131)</f>
        <v>0.6428571428571469</v>
      </c>
      <c r="AE131" s="37">
        <v>-0.25046279761905149</v>
      </c>
      <c r="AF131" s="37" cm="1">
        <f t="array" ref="AF131:AG131">LINEST(G112:G131,D112:D131)</f>
        <v>0.59548872180451229</v>
      </c>
      <c r="AG131" s="37">
        <v>-0.2053540100250637</v>
      </c>
      <c r="AH131" s="37" cm="1">
        <f t="array" ref="AH131:AI131">LINEST(G107:G131,D107:D131)</f>
        <v>2.431384615384617</v>
      </c>
      <c r="AI131" s="37">
        <v>-1.9633510897435917</v>
      </c>
      <c r="AJ131" s="37" cm="1">
        <f t="array" ref="AJ131:AK131">LINEST(G102:G131,D102:D131)</f>
        <v>4.2110789766407173</v>
      </c>
      <c r="AK131" s="37">
        <v>-3.6642819243604055</v>
      </c>
    </row>
    <row r="132" spans="1:37" x14ac:dyDescent="0.25">
      <c r="A132" s="61">
        <v>502</v>
      </c>
      <c r="B132" s="14">
        <f t="shared" si="1"/>
        <v>126</v>
      </c>
      <c r="C132" s="15">
        <v>43980</v>
      </c>
      <c r="D132" s="16">
        <v>0.96901620370370367</v>
      </c>
      <c r="E132" s="36">
        <v>20.03</v>
      </c>
      <c r="F132" s="36">
        <v>0.63</v>
      </c>
      <c r="G132" s="36">
        <v>0.49</v>
      </c>
      <c r="H132" s="56" cm="1">
        <f t="array" ref="H132:I132">LINEST(E123:E132,D123:D132)</f>
        <v>-11.519999999999854</v>
      </c>
      <c r="I132" s="56">
        <v>31.181066666666524</v>
      </c>
      <c r="J132" s="56" cm="1">
        <f t="array" ref="J132:K132">LINEST(E118:E132,D118:D132)</f>
        <v>-4.0371428571428085</v>
      </c>
      <c r="K132" s="56">
        <v>23.967473511904714</v>
      </c>
      <c r="L132" s="56" cm="1">
        <f t="array" ref="L132:M132">LINEST(E113:E132,D113:D132)</f>
        <v>0.76330827067673845</v>
      </c>
      <c r="M132" s="56">
        <v>19.350913345864612</v>
      </c>
      <c r="N132" s="56" cm="1">
        <f t="array" ref="N132:O132">LINEST(E108:E132,D108:D132)</f>
        <v>1.7113846153846168</v>
      </c>
      <c r="O132" s="56">
        <v>18.439763653846153</v>
      </c>
      <c r="P132" s="56" cm="1">
        <f t="array" ref="P132:Q132">LINEST(E103:E132,D103:D132)</f>
        <v>-0.52698553948832538</v>
      </c>
      <c r="Q132" s="56">
        <v>20.582377956989248</v>
      </c>
      <c r="R132" s="56" cm="1">
        <f t="array" ref="R132:S132">LINEST(F123:F132,D123:D132)</f>
        <v>79.941818181818434</v>
      </c>
      <c r="S132" s="56">
        <v>-76.443280808081042</v>
      </c>
      <c r="T132" s="56" cm="1">
        <f t="array" ref="T132:U132">LINEST(F118:F132,D118:D132)</f>
        <v>40.577142857143002</v>
      </c>
      <c r="U132" s="56">
        <v>-38.491408928571573</v>
      </c>
      <c r="V132" s="56" cm="1">
        <f t="array" ref="V132:W132">LINEST(F113:F132,D113:D132)</f>
        <v>16.473383458646641</v>
      </c>
      <c r="W132" s="56">
        <v>-15.299118358396013</v>
      </c>
      <c r="X132" s="56" cm="1">
        <f t="array" ref="X132:Y132">LINEST(F108:F132,D108:D132)</f>
        <v>3.7329230769230684</v>
      </c>
      <c r="Y132" s="56">
        <v>-3.0758475641025558</v>
      </c>
      <c r="Z132" s="56" cm="1">
        <f t="array" ref="Z132:AA132">LINEST(F103:F132,D103:D132)</f>
        <v>1.8644716351501653</v>
      </c>
      <c r="AA132" s="56">
        <v>-1.2931548387096758</v>
      </c>
      <c r="AB132" s="37" cm="1">
        <f t="array" ref="AB132:AC132">LINEST(G123:G132,D123:D132)</f>
        <v>15.010909090909147</v>
      </c>
      <c r="AC132" s="37">
        <v>-14.083995959596013</v>
      </c>
      <c r="AD132" s="37" cm="1">
        <f t="array" ref="AD132:AE132">LINEST(G118:G132,D118:D132)</f>
        <v>3.8057142857142994</v>
      </c>
      <c r="AE132" s="37">
        <v>-3.2801321428571559</v>
      </c>
      <c r="AF132" s="37" cm="1">
        <f t="array" ref="AF132:AG132">LINEST(G113:G132,D113:D132)</f>
        <v>1.867669172932334</v>
      </c>
      <c r="AG132" s="37">
        <v>-1.4156588345864694</v>
      </c>
      <c r="AH132" s="37" cm="1">
        <f t="array" ref="AH132:AI132">LINEST(G108:G132,D108:D132)</f>
        <v>2.5144615384615419</v>
      </c>
      <c r="AI132" s="37">
        <v>-2.0354462820512853</v>
      </c>
      <c r="AJ132" s="37" cm="1">
        <f t="array" ref="AJ132:AK132">LINEST(G103:G132,D103:D132)</f>
        <v>4.0525027808676359</v>
      </c>
      <c r="AK132" s="37">
        <v>-3.507994623655919</v>
      </c>
    </row>
    <row r="133" spans="1:37" x14ac:dyDescent="0.25">
      <c r="A133" s="61">
        <v>502</v>
      </c>
      <c r="B133" s="14">
        <f t="shared" si="1"/>
        <v>127</v>
      </c>
      <c r="C133" s="15">
        <v>43980</v>
      </c>
      <c r="D133" s="16">
        <v>0.97040509259259267</v>
      </c>
      <c r="E133" s="36">
        <v>20.04</v>
      </c>
      <c r="F133" s="36">
        <v>0.45</v>
      </c>
      <c r="G133" s="36">
        <v>0.49</v>
      </c>
      <c r="H133" s="56" cm="1">
        <f t="array" ref="H133:I133">LINEST(E124:E133,D124:D133)</f>
        <v>-11.563636363636219</v>
      </c>
      <c r="I133" s="56">
        <v>31.230138888888749</v>
      </c>
      <c r="J133" s="56" cm="1">
        <f t="array" ref="J133:K133">LINEST(E119:E133,D119:D133)</f>
        <v>-5.3228571428571332</v>
      </c>
      <c r="K133" s="56">
        <v>25.205577678571423</v>
      </c>
      <c r="L133" s="56" cm="1">
        <f t="array" ref="L133:M133">LINEST(E114:E133,D114:D133)</f>
        <v>-0.34105263157891264</v>
      </c>
      <c r="M133" s="56">
        <v>20.407959210526283</v>
      </c>
      <c r="N133" s="56" cm="1">
        <f t="array" ref="N133:O133">LINEST(E109:E133,D109:D133)</f>
        <v>2.3095384615384571</v>
      </c>
      <c r="O133" s="56">
        <v>17.861304423076927</v>
      </c>
      <c r="P133" s="56" cm="1">
        <f t="array" ref="P133:Q133">LINEST(E104:E133,D104:D133)</f>
        <v>-0.53659621802002511</v>
      </c>
      <c r="Q133" s="56">
        <v>20.589575917686314</v>
      </c>
      <c r="R133" s="56" cm="1">
        <f t="array" ref="R133:S133">LINEST(F124:F133,D124:D133)</f>
        <v>65.018181818181404</v>
      </c>
      <c r="S133" s="56">
        <v>-62.14761111111072</v>
      </c>
      <c r="T133" s="56" cm="1">
        <f t="array" ref="T133:U133">LINEST(F119:F133,D119:D133)</f>
        <v>31.114285714285696</v>
      </c>
      <c r="U133" s="56">
        <v>-29.424294642857127</v>
      </c>
      <c r="V133" s="56" cm="1">
        <f t="array" ref="V133:W133">LINEST(F114:F133,D114:D133)</f>
        <v>18.368120300751844</v>
      </c>
      <c r="W133" s="56">
        <v>-17.143660338345828</v>
      </c>
      <c r="X133" s="56" cm="1">
        <f t="array" ref="X133:Y133">LINEST(F109:F133,D109:D133)</f>
        <v>4.6966153846153782</v>
      </c>
      <c r="Y133" s="56">
        <v>-4.0077425641025579</v>
      </c>
      <c r="Z133" s="56" cm="1">
        <f t="array" ref="Z133:AA133">LINEST(F104:F133,D104:D133)</f>
        <v>4.9911457174638372</v>
      </c>
      <c r="AA133" s="56">
        <v>-4.2895837597330262</v>
      </c>
      <c r="AB133" s="37" cm="1">
        <f t="array" ref="AB133:AC133">LINEST(G124:G133,D124:D133)</f>
        <v>18.938181818181793</v>
      </c>
      <c r="AC133" s="37">
        <v>-17.877344444444422</v>
      </c>
      <c r="AD133" s="37" cm="1">
        <f t="array" ref="AD133:AE133">LINEST(G119:G133,D119:D133)</f>
        <v>5.9400000000000208</v>
      </c>
      <c r="AE133" s="37">
        <v>-5.3277895833333533</v>
      </c>
      <c r="AF133" s="37" cm="1">
        <f t="array" ref="AF133:AG133">LINEST(G114:G133,D114:D133)</f>
        <v>3.2264661654135387</v>
      </c>
      <c r="AG133" s="37">
        <v>-2.7134077694235637</v>
      </c>
      <c r="AH133" s="37" cm="1">
        <f t="array" ref="AH133:AI133">LINEST(G109:G133,D109:D133)</f>
        <v>2.7415384615384664</v>
      </c>
      <c r="AI133" s="37">
        <v>-2.2467105769230815</v>
      </c>
      <c r="AJ133" s="37" cm="1">
        <f t="array" ref="AJ133:AK133">LINEST(G104:G133,D104:D133)</f>
        <v>4.1293882091212506</v>
      </c>
      <c r="AK133" s="37">
        <v>-3.5773513904338201</v>
      </c>
    </row>
    <row r="134" spans="1:37" x14ac:dyDescent="0.25">
      <c r="A134" s="61">
        <v>502</v>
      </c>
      <c r="B134" s="14">
        <f t="shared" si="1"/>
        <v>128</v>
      </c>
      <c r="C134" s="15">
        <v>43980</v>
      </c>
      <c r="D134" s="16">
        <v>0.97179398148148144</v>
      </c>
      <c r="E134" s="36">
        <v>20.04</v>
      </c>
      <c r="F134" s="36">
        <v>-0.19</v>
      </c>
      <c r="G134" s="36">
        <v>0.43</v>
      </c>
      <c r="H134" s="56" cm="1">
        <f t="array" ref="H134:I134">LINEST(E125:E134,D125:D134)</f>
        <v>-10.821818181818125</v>
      </c>
      <c r="I134" s="56">
        <v>30.520941414141355</v>
      </c>
      <c r="J134" s="56" cm="1">
        <f t="array" ref="J134:K134">LINEST(E120:E134,D120:D134)</f>
        <v>-6.3000000000000114</v>
      </c>
      <c r="K134" s="56">
        <v>26.149718750000012</v>
      </c>
      <c r="L134" s="56" cm="1">
        <f t="array" ref="L134:M134">LINEST(E115:E134,D115:D134)</f>
        <v>-1.4670676691729119</v>
      </c>
      <c r="M134" s="56">
        <v>21.488830388471158</v>
      </c>
      <c r="N134" s="56" cm="1">
        <f t="array" ref="N134:O134">LINEST(E110:E134,D110:D134)</f>
        <v>1.4012307692307675</v>
      </c>
      <c r="O134" s="56">
        <v>18.728846217948718</v>
      </c>
      <c r="P134" s="56" cm="1">
        <f t="array" ref="P134:Q134">LINEST(E105:E134,D105:D134)</f>
        <v>-0.2723025583982171</v>
      </c>
      <c r="Q134" s="56">
        <v>20.334471449758986</v>
      </c>
      <c r="R134" s="56" cm="1">
        <f t="array" ref="R134:S134">LINEST(F125:F134,D125:D134)</f>
        <v>5.6290909090908396</v>
      </c>
      <c r="S134" s="56">
        <v>-4.904134848484782</v>
      </c>
      <c r="T134" s="56" cm="1">
        <f t="array" ref="T134:U134">LINEST(F120:F134,D120:D134)</f>
        <v>20.597142857142863</v>
      </c>
      <c r="U134" s="56">
        <v>-19.397262797619053</v>
      </c>
      <c r="V134" s="56" cm="1">
        <f t="array" ref="V134:W134">LINEST(F115:F134,D115:D134)</f>
        <v>7.6006015037593784</v>
      </c>
      <c r="W134" s="56">
        <v>-6.859933082706748</v>
      </c>
      <c r="X134" s="56" cm="1">
        <f t="array" ref="X134:Y134">LINEST(F110:F134,D110:D134)</f>
        <v>1.5119999999999929</v>
      </c>
      <c r="Y134" s="56">
        <v>-1.0057524999999934</v>
      </c>
      <c r="Z134" s="56" cm="1">
        <f t="array" ref="Z134:AA134">LINEST(F105:F134,D105:D134)</f>
        <v>6.2068965517241423</v>
      </c>
      <c r="AA134" s="56">
        <v>-5.5031580459770151</v>
      </c>
      <c r="AB134" s="37" cm="1">
        <f t="array" ref="AB134:AC134">LINEST(G125:G134,D125:D134)</f>
        <v>17.847272727272735</v>
      </c>
      <c r="AC134" s="37">
        <v>-16.839326767676773</v>
      </c>
      <c r="AD134" s="37" cm="1">
        <f t="array" ref="AD134:AE134">LINEST(G120:G134,D120:D134)</f>
        <v>6.8914285714285972</v>
      </c>
      <c r="AE134" s="37">
        <v>-6.2480488095238345</v>
      </c>
      <c r="AF134" s="37" cm="1">
        <f t="array" ref="AF134:AG134">LINEST(G115:G134,D115:D134)</f>
        <v>3.5079699248120395</v>
      </c>
      <c r="AG134" s="37">
        <v>-2.9837383458646709</v>
      </c>
      <c r="AH134" s="37" cm="1">
        <f t="array" ref="AH134:AI134">LINEST(G110:G134,D110:D134)</f>
        <v>2.5920000000000036</v>
      </c>
      <c r="AI134" s="37">
        <v>-2.1020900000000036</v>
      </c>
      <c r="AJ134" s="37" cm="1">
        <f t="array" ref="AJ134:AK134">LINEST(G105:G134,D105:D134)</f>
        <v>4.2847608453837651</v>
      </c>
      <c r="AK134" s="37">
        <v>-3.7266144790508022</v>
      </c>
    </row>
    <row r="135" spans="1:37" x14ac:dyDescent="0.25">
      <c r="A135" s="61">
        <v>502</v>
      </c>
      <c r="B135" s="14">
        <f t="shared" si="1"/>
        <v>129</v>
      </c>
      <c r="C135" s="15">
        <v>43980</v>
      </c>
      <c r="D135" s="16">
        <v>0.97318287037037043</v>
      </c>
      <c r="E135" s="36">
        <v>20.059999999999999</v>
      </c>
      <c r="F135" s="36">
        <v>0.73</v>
      </c>
      <c r="G135" s="36">
        <v>0.46</v>
      </c>
      <c r="H135" s="56" cm="1">
        <f t="array" ref="H135:I135">LINEST(E126:E135,D126:D135)</f>
        <v>-8.5090909090908866</v>
      </c>
      <c r="I135" s="56">
        <v>28.292719696969673</v>
      </c>
      <c r="J135" s="56" cm="1">
        <f t="array" ref="J135:K135">LINEST(E121:E135,D121:D135)</f>
        <v>-6.1714285714285628</v>
      </c>
      <c r="K135" s="56">
        <v>26.030595238095234</v>
      </c>
      <c r="L135" s="56" cm="1">
        <f t="array" ref="L135:M135">LINEST(E116:E135,D116:D135)</f>
        <v>-2.409022556390966</v>
      </c>
      <c r="M135" s="56">
        <v>22.397133771929813</v>
      </c>
      <c r="N135" s="56" cm="1">
        <f t="array" ref="N135:O135">LINEST(E111:E135,D111:D135)</f>
        <v>0.94153846153846343</v>
      </c>
      <c r="O135" s="56">
        <v>19.168603205128203</v>
      </c>
      <c r="P135" s="56" cm="1">
        <f t="array" ref="P135:Q135">LINEST(E106:E135,D106:D135)</f>
        <v>2.7230255839813547E-2</v>
      </c>
      <c r="Q135" s="56">
        <v>20.046381701890994</v>
      </c>
      <c r="R135" s="56" cm="1">
        <f t="array" ref="R135:S135">LINEST(F126:F135,D126:D135)</f>
        <v>-1.9636363636363374</v>
      </c>
      <c r="S135" s="56">
        <v>2.4817045454545203</v>
      </c>
      <c r="T135" s="56" cm="1">
        <f t="array" ref="T135:U135">LINEST(F121:F135,D121:D135)</f>
        <v>31.165714285714241</v>
      </c>
      <c r="U135" s="56">
        <v>-29.60360595238091</v>
      </c>
      <c r="V135" s="56" cm="1">
        <f t="array" ref="V135:W135">LINEST(F116:F135,D116:D135)</f>
        <v>7.3624060150375819</v>
      </c>
      <c r="W135" s="56">
        <v>-6.6118245614034965</v>
      </c>
      <c r="X135" s="56" cm="1">
        <f t="array" ref="X135:Y135">LINEST(F111:F135,D111:D135)</f>
        <v>4.9015384615384674</v>
      </c>
      <c r="Y135" s="56">
        <v>-4.2464009615384679</v>
      </c>
      <c r="Z135" s="56" cm="1">
        <f t="array" ref="Z135:AA135">LINEST(F106:F135,D106:D135)</f>
        <v>2.5900778642936766</v>
      </c>
      <c r="AA135" s="56">
        <v>-2.019458120133498</v>
      </c>
      <c r="AB135" s="37" cm="1">
        <f t="array" ref="AB135:AC135">LINEST(G126:G135,D126:D135)</f>
        <v>16.494545454545385</v>
      </c>
      <c r="AC135" s="37">
        <v>-15.541118181818115</v>
      </c>
      <c r="AD135" s="37" cm="1">
        <f t="array" ref="AD135:AE135">LINEST(G121:G135,D121:D135)</f>
        <v>8.871428571428579</v>
      </c>
      <c r="AE135" s="37">
        <v>-8.1619389880952458</v>
      </c>
      <c r="AF135" s="37" cm="1">
        <f t="array" ref="AF135:AG135">LINEST(G116:G135,D116:D135)</f>
        <v>3.7840601503759488</v>
      </c>
      <c r="AG135" s="37">
        <v>-3.2471539473684299</v>
      </c>
      <c r="AH135" s="37" cm="1">
        <f t="array" ref="AH135:AI135">LINEST(G111:G135,D111:D135)</f>
        <v>2.7803076923076975</v>
      </c>
      <c r="AI135" s="37">
        <v>-2.2802093589743642</v>
      </c>
      <c r="AJ135" s="37" cm="1">
        <f t="array" ref="AJ135:AK135">LINEST(G106:G135,D106:D135)</f>
        <v>4.1902558398220275</v>
      </c>
      <c r="AK135" s="37">
        <v>-3.6348314423433474</v>
      </c>
    </row>
    <row r="136" spans="1:37" x14ac:dyDescent="0.25">
      <c r="A136" s="61">
        <v>502</v>
      </c>
      <c r="B136" s="14">
        <f t="shared" si="1"/>
        <v>130</v>
      </c>
      <c r="C136" s="15">
        <v>43980</v>
      </c>
      <c r="D136" s="16">
        <v>0.97457175925925921</v>
      </c>
      <c r="E136" s="36">
        <v>20.04</v>
      </c>
      <c r="F136" s="36">
        <v>-0.55000000000000004</v>
      </c>
      <c r="G136" s="36">
        <v>0.38</v>
      </c>
      <c r="H136" s="56" cm="1">
        <f t="array" ref="H136:I136">LINEST(E127:E136,D127:D136)</f>
        <v>-6.370909090909171</v>
      </c>
      <c r="I136" s="56">
        <v>26.225089898989978</v>
      </c>
      <c r="J136" s="56" cm="1">
        <f t="array" ref="J136:K136">LINEST(E122:E136,D122:D136)</f>
        <v>-6.4542857142857244</v>
      </c>
      <c r="K136" s="56">
        <v>26.30741458333334</v>
      </c>
      <c r="L136" s="56" cm="1">
        <f t="array" ref="L136:M136">LINEST(E117:E136,D117:D136)</f>
        <v>-3.2589473684210435</v>
      </c>
      <c r="M136" s="56">
        <v>23.217078070175432</v>
      </c>
      <c r="N136" s="56" cm="1">
        <f t="array" ref="N136:O136">LINEST(E112:E136,D112:D136)</f>
        <v>0.10523076923077455</v>
      </c>
      <c r="O136" s="56">
        <v>19.970798910256406</v>
      </c>
      <c r="P136" s="56" cm="1">
        <f t="array" ref="P136:Q136">LINEST(E107:E136,D107:D136)</f>
        <v>0.16338153503891675</v>
      </c>
      <c r="Q136" s="56">
        <v>19.913396625880615</v>
      </c>
      <c r="R136" s="56" cm="1">
        <f t="array" ref="R136:S136">LINEST(F127:F136,D127:D136)</f>
        <v>-80.203636363635766</v>
      </c>
      <c r="S136" s="56">
        <v>78.202926262625695</v>
      </c>
      <c r="T136" s="56" cm="1">
        <f t="array" ref="T136:U136">LINEST(F122:F136,D122:D136)</f>
        <v>1.0285714285715022</v>
      </c>
      <c r="U136" s="56">
        <v>-0.59308333333340446</v>
      </c>
      <c r="V136" s="56" cm="1">
        <f t="array" ref="V136:W136">LINEST(F117:F136,D117:D136)</f>
        <v>-0.77954887218041602</v>
      </c>
      <c r="W136" s="56">
        <v>1.1454406015037255</v>
      </c>
      <c r="X136" s="56" cm="1">
        <f t="array" ref="X136:Y136">LINEST(F112:F136,D112:D136)</f>
        <v>-0.26584615384613552</v>
      </c>
      <c r="Y136" s="56">
        <v>0.64905538461536705</v>
      </c>
      <c r="Z136" s="56" cm="1">
        <f t="array" ref="Z136:AA136">LINEST(F107:F136,D107:D136)</f>
        <v>-6.4647830923247955</v>
      </c>
      <c r="AA136" s="56">
        <v>6.615534816462727</v>
      </c>
      <c r="AB136" s="37" cm="1">
        <f t="array" ref="AB136:AC136">LINEST(G127:G136,D127:D136)</f>
        <v>8.7709090909091163</v>
      </c>
      <c r="AC136" s="37">
        <v>-8.0740621212121457</v>
      </c>
      <c r="AD136" s="37" cm="1">
        <f t="array" ref="AD136:AE136">LINEST(G122:G136,D122:D136)</f>
        <v>8.2542857142857375</v>
      </c>
      <c r="AE136" s="37">
        <v>-7.5774770833333553</v>
      </c>
      <c r="AF136" s="37" cm="1">
        <f t="array" ref="AF136:AG136">LINEST(G117:G136,D117:D136)</f>
        <v>3.437593984962422</v>
      </c>
      <c r="AG136" s="37">
        <v>-2.9183248746867321</v>
      </c>
      <c r="AH136" s="37" cm="1">
        <f t="array" ref="AH136:AI136">LINEST(G112:G136,D112:D136)</f>
        <v>2.5753846153846203</v>
      </c>
      <c r="AI136" s="37">
        <v>-2.086574038461543</v>
      </c>
      <c r="AJ136" s="37" cm="1">
        <f t="array" ref="AJ136:AK136">LINEST(G107:G136,D107:D136)</f>
        <v>3.352525027808682</v>
      </c>
      <c r="AK136" s="37">
        <v>-2.8340934186132793</v>
      </c>
    </row>
    <row r="137" spans="1:37" x14ac:dyDescent="0.25">
      <c r="A137" s="61">
        <v>502</v>
      </c>
      <c r="B137" s="14">
        <f t="shared" ref="B137:B200" si="2">B136+1</f>
        <v>131</v>
      </c>
      <c r="C137" s="15">
        <v>43980</v>
      </c>
      <c r="D137" s="16">
        <v>0.9759606481481482</v>
      </c>
      <c r="E137" s="36">
        <v>20.079999999999998</v>
      </c>
      <c r="F137" s="36">
        <v>0.95</v>
      </c>
      <c r="G137" s="36">
        <v>0.42</v>
      </c>
      <c r="H137" s="56" cm="1">
        <f t="array" ref="H137:I137">LINEST(E128:E137,D128:D137)</f>
        <v>-1.3963636363637411</v>
      </c>
      <c r="I137" s="56">
        <v>21.40406868686879</v>
      </c>
      <c r="J137" s="56" cm="1">
        <f t="array" ref="J137:K137">LINEST(E123:E137,D123:D137)</f>
        <v>-5.6314285714285681</v>
      </c>
      <c r="K137" s="56">
        <v>25.518636011904757</v>
      </c>
      <c r="L137" s="56" cm="1">
        <f t="array" ref="L137:M137">LINEST(E118:E137,D118:D137)</f>
        <v>-3.3455639097744521</v>
      </c>
      <c r="M137" s="56">
        <v>23.30499586466167</v>
      </c>
      <c r="N137" s="56" cm="1">
        <f t="array" ref="N137:O137">LINEST(E113:E137,D113:D137)</f>
        <v>-0.35446153846154221</v>
      </c>
      <c r="O137" s="56">
        <v>20.414832820512821</v>
      </c>
      <c r="P137" s="56" cm="1">
        <f t="array" ref="P137:Q137">LINEST(E108:E137,D108:D137)</f>
        <v>0.66313681868740859</v>
      </c>
      <c r="Q137" s="56">
        <v>19.432826065999276</v>
      </c>
      <c r="R137" s="56" cm="1">
        <f t="array" ref="R137:S137">LINEST(F128:F137,D128:D137)</f>
        <v>-68.421818181817173</v>
      </c>
      <c r="S137" s="56">
        <v>66.939365656564675</v>
      </c>
      <c r="T137" s="56" cm="1">
        <f t="array" ref="T137:U137">LINEST(F123:F137,D123:D137)</f>
        <v>9.5142857142858297</v>
      </c>
      <c r="U137" s="56">
        <v>-8.7524017857143974</v>
      </c>
      <c r="V137" s="56" cm="1">
        <f t="array" ref="V137:W137">LINEST(F118:F137,D118:D137)</f>
        <v>11.444210526315844</v>
      </c>
      <c r="W137" s="56">
        <v>-10.623099122807071</v>
      </c>
      <c r="X137" s="56" cm="1">
        <f t="array" ref="X137:Y137">LINEST(F113:F137,D113:D137)</f>
        <v>4.1150769230769573</v>
      </c>
      <c r="Y137" s="56">
        <v>-3.5347685256410588</v>
      </c>
      <c r="Z137" s="56" cm="1">
        <f t="array" ref="Z137:AA137">LINEST(F108:F137,D108:D137)</f>
        <v>-1.6642491657396921</v>
      </c>
      <c r="AA137" s="56">
        <v>2.0363922321097339</v>
      </c>
      <c r="AB137" s="37" cm="1">
        <f t="array" ref="AB137:AC137">LINEST(G128:G137,D128:D137)</f>
        <v>2.6181818181818408</v>
      </c>
      <c r="AC137" s="37">
        <v>-2.1068787878788093</v>
      </c>
      <c r="AD137" s="37" cm="1">
        <f t="array" ref="AD137:AE137">LINEST(G123:G137,D123:D137)</f>
        <v>8.3057142857142878</v>
      </c>
      <c r="AE137" s="37">
        <v>-7.6346336309523846</v>
      </c>
      <c r="AF137" s="37" cm="1">
        <f t="array" ref="AF137:AG137">LINEST(G118:G137,D118:D137)</f>
        <v>4.0493233082706865</v>
      </c>
      <c r="AG137" s="37">
        <v>-3.5115516290726911</v>
      </c>
      <c r="AH137" s="37" cm="1">
        <f t="array" ref="AH137:AI137">LINEST(G113:G137,D113:D137)</f>
        <v>2.6916923076923132</v>
      </c>
      <c r="AI137" s="37">
        <v>-2.199324230769236</v>
      </c>
      <c r="AJ137" s="37" cm="1">
        <f t="array" ref="AJ137:AK137">LINEST(G108:G137,D108:D137)</f>
        <v>2.9312569521690794</v>
      </c>
      <c r="AK137" s="37">
        <v>-2.4297591768631843</v>
      </c>
    </row>
    <row r="138" spans="1:37" x14ac:dyDescent="0.25">
      <c r="A138" s="61">
        <v>502</v>
      </c>
      <c r="B138" s="14">
        <f t="shared" si="2"/>
        <v>132</v>
      </c>
      <c r="C138" s="15">
        <v>43980</v>
      </c>
      <c r="D138" s="16">
        <v>0.97734953703703698</v>
      </c>
      <c r="E138" s="36">
        <v>20.03</v>
      </c>
      <c r="F138" s="36">
        <v>0.95</v>
      </c>
      <c r="G138" s="36">
        <v>0.46</v>
      </c>
      <c r="H138" s="56" cm="1">
        <f t="array" ref="H138:I138">LINEST(E129:E138,D129:D138)</f>
        <v>4.0581818181817706</v>
      </c>
      <c r="I138" s="56">
        <v>16.094101515151561</v>
      </c>
      <c r="J138" s="56" cm="1">
        <f t="array" ref="J138:K138">LINEST(E124:E138,D124:D138)</f>
        <v>-5.3999999999999808</v>
      </c>
      <c r="K138" s="56">
        <v>25.295854166666647</v>
      </c>
      <c r="L138" s="56" cm="1">
        <f t="array" ref="L138:M138">LINEST(E119:E138,D119:D138)</f>
        <v>-3.94646616541355</v>
      </c>
      <c r="M138" s="56">
        <v>23.886505451127839</v>
      </c>
      <c r="N138" s="56" cm="1">
        <f t="array" ref="N138:O138">LINEST(E114:E138,D114:D138)</f>
        <v>-1.0467692307692227</v>
      </c>
      <c r="O138" s="56">
        <v>21.080813269230759</v>
      </c>
      <c r="P138" s="56" cm="1">
        <f t="array" ref="P138:Q138">LINEST(E109:E138,D109:D138)</f>
        <v>1.0555728587319111</v>
      </c>
      <c r="Q138" s="56">
        <v>19.051261086392298</v>
      </c>
      <c r="R138" s="56" cm="1">
        <f t="array" ref="R138:S138">LINEST(F129:F138,D129:D138)</f>
        <v>-36.043636363635933</v>
      </c>
      <c r="S138" s="56">
        <v>35.58995858585817</v>
      </c>
      <c r="T138" s="56" cm="1">
        <f t="array" ref="T138:U138">LINEST(F124:F138,D124:D138)</f>
        <v>15.17142857142866</v>
      </c>
      <c r="U138" s="56">
        <v>-14.194288690476277</v>
      </c>
      <c r="V138" s="56" cm="1">
        <f t="array" ref="V138:W138">LINEST(F119:F138,D119:D138)</f>
        <v>12.20751879699254</v>
      </c>
      <c r="W138" s="56">
        <v>-11.325441416040155</v>
      </c>
      <c r="X138" s="56" cm="1">
        <f t="array" ref="X138:Y138">LINEST(F114:F138,D114:D138)</f>
        <v>9.1052307692307917</v>
      </c>
      <c r="Y138" s="56">
        <v>-8.3208392307692538</v>
      </c>
      <c r="Z138" s="56" cm="1">
        <f t="array" ref="Z138:AA138">LINEST(F109:F138,D109:D138)</f>
        <v>1.6434260289210378</v>
      </c>
      <c r="AA138" s="56">
        <v>-1.1171048943270439</v>
      </c>
      <c r="AB138" s="37" cm="1">
        <f t="array" ref="AB138:AC138">LINEST(G129:G138,D129:D138)</f>
        <v>-0.69818181818178704</v>
      </c>
      <c r="AC138" s="37">
        <v>1.1220040404040104</v>
      </c>
      <c r="AD138" s="37" cm="1">
        <f t="array" ref="AD138:AE138">LINEST(G124:G138,D124:D138)</f>
        <v>8.7171428571428642</v>
      </c>
      <c r="AE138" s="37">
        <v>-8.0369455357142936</v>
      </c>
      <c r="AF138" s="37" cm="1">
        <f t="array" ref="AF138:AG138">LINEST(G119:G138,D119:D138)</f>
        <v>4.6069172932330948</v>
      </c>
      <c r="AG138" s="37">
        <v>-4.0502827694235704</v>
      </c>
      <c r="AH138" s="37" cm="1">
        <f t="array" ref="AH138:AI138">LINEST(G114:G138,D114:D138)</f>
        <v>3.1846153846153893</v>
      </c>
      <c r="AI138" s="37">
        <v>-2.6734054487179533</v>
      </c>
      <c r="AJ138" s="37" cm="1">
        <f t="array" ref="AJ138:AK138">LINEST(G109:G138,D109:D138)</f>
        <v>2.8335483870967781</v>
      </c>
      <c r="AK138" s="37">
        <v>-2.3339693548387133</v>
      </c>
    </row>
    <row r="139" spans="1:37" x14ac:dyDescent="0.25">
      <c r="A139" s="61">
        <v>502</v>
      </c>
      <c r="B139" s="14">
        <f t="shared" si="2"/>
        <v>133</v>
      </c>
      <c r="C139" s="15">
        <v>43980</v>
      </c>
      <c r="D139" s="16">
        <v>0.97873842592592597</v>
      </c>
      <c r="E139" s="36">
        <v>23.3</v>
      </c>
      <c r="F139" s="36">
        <v>0.95</v>
      </c>
      <c r="G139" s="36">
        <v>0.5</v>
      </c>
      <c r="H139" s="56" cm="1">
        <f t="array" ref="H139:I139">LINEST(E130:E139,D130:D139)</f>
        <v>130.60363636363672</v>
      </c>
      <c r="I139" s="56">
        <v>-106.64552474747509</v>
      </c>
      <c r="J139" s="56" cm="1">
        <f t="array" ref="J139:K139">LINEST(E125:E139,D125:D139)</f>
        <v>53.948571428571611</v>
      </c>
      <c r="K139" s="56">
        <v>-31.995039880952568</v>
      </c>
      <c r="L139" s="56" cm="1">
        <f t="array" ref="L139:M139">LINEST(E120:E139,D120:D139)</f>
        <v>29.254736842105391</v>
      </c>
      <c r="M139" s="56">
        <v>-8.0047350877194177</v>
      </c>
      <c r="N139" s="56" cm="1">
        <f t="array" ref="N139:O139">LINEST(E115:E139,D115:D139)</f>
        <v>19.988307692307782</v>
      </c>
      <c r="O139" s="56">
        <v>0.97621365384607017</v>
      </c>
      <c r="P139" s="56" cm="1">
        <f t="array" ref="P139:Q139">LINEST(E110:E139,D110:D139)</f>
        <v>15.593325917686355</v>
      </c>
      <c r="Q139" s="56">
        <v>5.2252449944382242</v>
      </c>
      <c r="R139" s="56" cm="1">
        <f t="array" ref="R139:S139">LINEST(F130:F139,D130:D139)</f>
        <v>-3.4909090909085494</v>
      </c>
      <c r="S139" s="56">
        <v>3.9808686868681598</v>
      </c>
      <c r="T139" s="56" cm="1">
        <f t="array" ref="T139:U139">LINEST(F125:F139,D125:D139)</f>
        <v>11.468571428571535</v>
      </c>
      <c r="U139" s="56">
        <v>-10.557231547619152</v>
      </c>
      <c r="V139" s="56" cm="1">
        <f t="array" ref="V139:W139">LINEST(F120:F139,D120:D139)</f>
        <v>18.37894736842112</v>
      </c>
      <c r="W139" s="56">
        <v>-17.280182017543925</v>
      </c>
      <c r="X139" s="56" cm="1">
        <f t="array" ref="X139:Y139">LINEST(F115:F139,D115:D139)</f>
        <v>9.9470769230769474</v>
      </c>
      <c r="Y139" s="56">
        <v>-9.1078017948718184</v>
      </c>
      <c r="Z139" s="56" cm="1">
        <f t="array" ref="Z139:AA139">LINEST(F110:F139,D110:D139)</f>
        <v>4.8517908787541888</v>
      </c>
      <c r="AA139" s="56">
        <v>-4.1845911568409511</v>
      </c>
      <c r="AB139" s="37" cm="1">
        <f t="array" ref="AB139:AC139">LINEST(G130:G139,D130:D139)</f>
        <v>-1.0909090909090458</v>
      </c>
      <c r="AC139" s="37">
        <v>1.5158964646464206</v>
      </c>
      <c r="AD139" s="37" cm="1">
        <f t="array" ref="AD139:AE139">LINEST(G125:G139,D125:D139)</f>
        <v>8.9485714285714284</v>
      </c>
      <c r="AE139" s="37">
        <v>-8.261310714285715</v>
      </c>
      <c r="AF139" s="37" cm="1">
        <f t="array" ref="AF139:AG139">LINEST(G120:G139,D120:D139)</f>
        <v>5.5921804511278275</v>
      </c>
      <c r="AG139" s="37">
        <v>-5.0019961779448696</v>
      </c>
      <c r="AH139" s="37" cm="1">
        <f t="array" ref="AH139:AI139">LINEST(G115:G139,D115:D139)</f>
        <v>3.6830769230769302</v>
      </c>
      <c r="AI139" s="37">
        <v>-3.1513842948718018</v>
      </c>
      <c r="AJ139" s="37" cm="1">
        <f t="array" ref="AJ139:AK139">LINEST(G110:G139,D110:D139)</f>
        <v>2.9600889877641867</v>
      </c>
      <c r="AK139" s="37">
        <v>-2.4522065999258476</v>
      </c>
    </row>
    <row r="140" spans="1:37" x14ac:dyDescent="0.25">
      <c r="A140" s="61">
        <v>502</v>
      </c>
      <c r="B140" s="14">
        <f t="shared" si="2"/>
        <v>134</v>
      </c>
      <c r="C140" s="15">
        <v>43980</v>
      </c>
      <c r="D140" s="16">
        <v>0.98012731481481474</v>
      </c>
      <c r="E140" s="36">
        <v>19.89</v>
      </c>
      <c r="F140" s="36">
        <v>0.95</v>
      </c>
      <c r="G140" s="36">
        <v>0.54</v>
      </c>
      <c r="H140" s="56" cm="1">
        <f t="array" ref="H140:I140">LINEST(E131:E140,D131:D140)</f>
        <v>95.389090909092332</v>
      </c>
      <c r="I140" s="56">
        <v>-72.545271717173108</v>
      </c>
      <c r="J140" s="56" cm="1">
        <f t="array" ref="J140:K140">LINEST(E126:E140,D126:D140)</f>
        <v>43.765714285714658</v>
      </c>
      <c r="K140" s="56">
        <v>-22.204472023809885</v>
      </c>
      <c r="L140" s="56" cm="1">
        <f t="array" ref="L140:M140">LINEST(E121:E140,D121:D140)</f>
        <v>24.247218045112973</v>
      </c>
      <c r="M140" s="56">
        <v>-3.2149321428573252</v>
      </c>
      <c r="N140" s="56" cm="1">
        <f t="array" ref="N140:O140">LINEST(E116:E140,D116:D140)</f>
        <v>16.543384615384724</v>
      </c>
      <c r="O140" s="56">
        <v>4.2622999358973317</v>
      </c>
      <c r="P140" s="56" cm="1">
        <f t="array" ref="P140:Q140">LINEST(E111:E140,D111:D140)</f>
        <v>13.469365962180268</v>
      </c>
      <c r="Q140" s="56">
        <v>7.2385645717463163</v>
      </c>
      <c r="R140" s="56" cm="1">
        <f t="array" ref="R140:S140">LINEST(F131:F140,D131:D140)</f>
        <v>29.236363636364146</v>
      </c>
      <c r="S140" s="56">
        <v>-27.888631313131814</v>
      </c>
      <c r="T140" s="56" cm="1">
        <f t="array" ref="T140:U140">LINEST(F126:F140,D126:D140)</f>
        <v>11.442857142857237</v>
      </c>
      <c r="U140" s="56">
        <v>-10.498873511904852</v>
      </c>
      <c r="V140" s="56" cm="1">
        <f t="array" ref="V140:W140">LINEST(F121:F140,D121:D140)</f>
        <v>25.573533834586517</v>
      </c>
      <c r="W140" s="56">
        <v>-24.247890476190523</v>
      </c>
      <c r="X140" s="56" cm="1">
        <f t="array" ref="X140:Y140">LINEST(F116:F140,D116:D140)</f>
        <v>10.800000000000018</v>
      </c>
      <c r="Y140" s="56">
        <v>-9.9105750000000175</v>
      </c>
      <c r="Z140" s="56" cm="1">
        <f t="array" ref="Z140:AA140">LINEST(F111:F140,D111:D140)</f>
        <v>7.9608453837597537</v>
      </c>
      <c r="AA140" s="56">
        <v>-7.1656527623285342</v>
      </c>
      <c r="AB140" s="37" cm="1">
        <f t="array" ref="AB140:AC140">LINEST(G131:G140,D131:D140)</f>
        <v>1.5272727272727369</v>
      </c>
      <c r="AC140" s="37">
        <v>-1.0223762626262722</v>
      </c>
      <c r="AD140" s="37" cm="1">
        <f t="array" ref="AD140:AE140">LINEST(G126:G140,D126:D140)</f>
        <v>9.2314285714285766</v>
      </c>
      <c r="AE140" s="37">
        <v>-8.5328919642857191</v>
      </c>
      <c r="AF140" s="37" cm="1">
        <f t="array" ref="AF140:AG140">LINEST(G121:G140,D121:D140)</f>
        <v>7.2000000000000091</v>
      </c>
      <c r="AG140" s="37">
        <v>-6.5579166666666753</v>
      </c>
      <c r="AH140" s="37" cm="1">
        <f t="array" ref="AH140:AI140">LINEST(G116:G140,D116:D140)</f>
        <v>4.2203076923076974</v>
      </c>
      <c r="AI140" s="37">
        <v>-3.6657003846153895</v>
      </c>
      <c r="AJ140" s="37" cm="1">
        <f t="array" ref="AJ140:AK140">LINEST(G111:G140,D111:D140)</f>
        <v>3.354126807563965</v>
      </c>
      <c r="AK140" s="37">
        <v>-2.8272562476826151</v>
      </c>
    </row>
    <row r="141" spans="1:37" x14ac:dyDescent="0.25">
      <c r="A141" s="61">
        <v>502</v>
      </c>
      <c r="B141" s="14">
        <f t="shared" si="2"/>
        <v>135</v>
      </c>
      <c r="C141" s="15">
        <v>43980</v>
      </c>
      <c r="D141" s="16">
        <v>0.98151620370370374</v>
      </c>
      <c r="E141" s="36">
        <v>19.93</v>
      </c>
      <c r="F141" s="36">
        <v>0.95</v>
      </c>
      <c r="G141" s="36">
        <v>0.56999999999999995</v>
      </c>
      <c r="H141" s="56" cm="1">
        <f t="array" ref="H141:I141">LINEST(E132:E141,D132:D141)</f>
        <v>62.400000000001143</v>
      </c>
      <c r="I141" s="56">
        <v>-40.512611111112228</v>
      </c>
      <c r="J141" s="56" cm="1">
        <f t="array" ref="J141:K141">LINEST(E127:E141,D127:D141)</f>
        <v>34.92000000000025</v>
      </c>
      <c r="K141" s="56">
        <v>-13.682379166666912</v>
      </c>
      <c r="L141" s="56" cm="1">
        <f t="array" ref="L141:M141">LINEST(E122:E141,D122:D141)</f>
        <v>19.786466165413689</v>
      </c>
      <c r="M141" s="56">
        <v>1.0618342731828108</v>
      </c>
      <c r="N141" s="56" cm="1">
        <f t="array" ref="N141:O141">LINEST(E117:E141,D117:D141)</f>
        <v>13.652307692307801</v>
      </c>
      <c r="O141" s="56">
        <v>7.0239772435896448</v>
      </c>
      <c r="P141" s="56" cm="1">
        <f t="array" ref="P141:Q141">LINEST(E112:E141,D112:D141)</f>
        <v>11.420689655172463</v>
      </c>
      <c r="Q141" s="56">
        <v>9.1877413793102924</v>
      </c>
      <c r="R141" s="56" cm="1">
        <f t="array" ref="R141:S141">LINEST(F132:F141,D132:D141)</f>
        <v>62.138181818182531</v>
      </c>
      <c r="S141" s="56">
        <v>-60.019268686869388</v>
      </c>
      <c r="T141" s="56" cm="1">
        <f t="array" ref="T141:U141">LINEST(F127:F141,D127:D141)</f>
        <v>2.725714285714397</v>
      </c>
      <c r="U141" s="56">
        <v>-1.9721660714286797</v>
      </c>
      <c r="V141" s="56" cm="1">
        <f t="array" ref="V141:W141">LINEST(F122:F141,D122:D141)</f>
        <v>22.790977443609066</v>
      </c>
      <c r="W141" s="56">
        <v>-21.531999373433624</v>
      </c>
      <c r="X141" s="56" cm="1">
        <f t="array" ref="X141:Y141">LINEST(F117:F141,D117:D141)</f>
        <v>14.942769230769287</v>
      </c>
      <c r="Y141" s="56">
        <v>-13.910723974359026</v>
      </c>
      <c r="Z141" s="56" cm="1">
        <f t="array" ref="Z141:AA141">LINEST(F112:F141,D112:D141)</f>
        <v>10.970589543937718</v>
      </c>
      <c r="AA141" s="56">
        <v>-10.059875917686327</v>
      </c>
      <c r="AB141" s="37" cm="1">
        <f t="array" ref="AB141:AC141">LINEST(G132:G141,D132:D141)</f>
        <v>6.3709090909091319</v>
      </c>
      <c r="AC141" s="37">
        <v>-5.7393323232323636</v>
      </c>
      <c r="AD141" s="37" cm="1">
        <f t="array" ref="AD141:AE141">LINEST(G127:G141,D127:D141)</f>
        <v>8.64</v>
      </c>
      <c r="AE141" s="37">
        <v>-7.950966666666667</v>
      </c>
      <c r="AF141" s="37" cm="1">
        <f t="array" ref="AF141:AG141">LINEST(G122:G141,D122:D141)</f>
        <v>8.4072180451127903</v>
      </c>
      <c r="AG141" s="37">
        <v>-7.7263921679198067</v>
      </c>
      <c r="AH141" s="37" cm="1">
        <f t="array" ref="AH141:AI141">LINEST(G117:G141,D117:D141)</f>
        <v>5.0566153846153945</v>
      </c>
      <c r="AI141" s="37">
        <v>-4.4700730128205217</v>
      </c>
      <c r="AJ141" s="37" cm="1">
        <f t="array" ref="AJ141:AK141">LINEST(G112:G141,D112:D141)</f>
        <v>3.9660066740823172</v>
      </c>
      <c r="AK141" s="37">
        <v>-3.4128288468668924</v>
      </c>
    </row>
    <row r="142" spans="1:37" x14ac:dyDescent="0.25">
      <c r="A142" s="61">
        <v>502</v>
      </c>
      <c r="B142" s="14">
        <f t="shared" si="2"/>
        <v>136</v>
      </c>
      <c r="C142" s="15">
        <v>43980</v>
      </c>
      <c r="D142" s="16">
        <v>0.98290509259259251</v>
      </c>
      <c r="E142" s="36">
        <v>20.239999999999998</v>
      </c>
      <c r="F142" s="36">
        <v>0.95</v>
      </c>
      <c r="G142" s="36">
        <v>0.6</v>
      </c>
      <c r="H142" s="56" cm="1">
        <f t="array" ref="H142:I142">LINEST(E133:E142,D133:D142)</f>
        <v>43.243636363637904</v>
      </c>
      <c r="I142" s="56">
        <v>-21.869117676769179</v>
      </c>
      <c r="J142" s="56" cm="1">
        <f t="array" ref="J142:K142">LINEST(E128:E142,D128:D142)</f>
        <v>32.374285714286039</v>
      </c>
      <c r="K142" s="56">
        <v>-11.246766964286024</v>
      </c>
      <c r="L142" s="56" cm="1">
        <f t="array" ref="L142:M142">LINEST(E123:E142,D123:D142)</f>
        <v>18.822857142857323</v>
      </c>
      <c r="M142" s="56">
        <v>1.9747749999998234</v>
      </c>
      <c r="N142" s="56" cm="1">
        <f t="array" ref="N142:O142">LINEST(E118:E142,D118:D142)</f>
        <v>13.1040000000001</v>
      </c>
      <c r="O142" s="56">
        <v>7.5412116666665732</v>
      </c>
      <c r="P142" s="56" cm="1">
        <f t="array" ref="P142:Q142">LINEST(E113:E142,D113:D142)</f>
        <v>10.927341490545111</v>
      </c>
      <c r="Q142" s="56">
        <v>9.6548582499072442</v>
      </c>
      <c r="R142" s="56" cm="1">
        <f t="array" ref="R142:S142">LINEST(F133:F142,D133:D142)</f>
        <v>78.894545454546801</v>
      </c>
      <c r="S142" s="56">
        <v>-76.438759595960917</v>
      </c>
      <c r="T142" s="56" cm="1">
        <f t="array" ref="T142:U142">LINEST(F128:F142,D128:D142)</f>
        <v>2.9828571428572381</v>
      </c>
      <c r="U142" s="56">
        <v>-2.1928654761905686</v>
      </c>
      <c r="V142" s="56" cm="1">
        <f t="array" ref="V142:W142">LINEST(F123:F142,D123:D142)</f>
        <v>24.68571428571434</v>
      </c>
      <c r="W142" s="56">
        <v>-23.370000000000054</v>
      </c>
      <c r="X142" s="56" cm="1">
        <f t="array" ref="X142:Y142">LINEST(F118:F142,D118:D142)</f>
        <v>21.223384615384667</v>
      </c>
      <c r="Y142" s="56">
        <v>-20.000849743589793</v>
      </c>
      <c r="Z142" s="56" cm="1">
        <f t="array" ref="Z142:AA142">LINEST(F113:F142,D113:D142)</f>
        <v>13.136195773081226</v>
      </c>
      <c r="AA142" s="56">
        <v>-12.144752002224719</v>
      </c>
      <c r="AB142" s="37" cm="1">
        <f t="array" ref="AB142:AC142">LINEST(G133:G142,D133:D142)</f>
        <v>12.087272727272838</v>
      </c>
      <c r="AC142" s="37">
        <v>-11.320096464646573</v>
      </c>
      <c r="AD142" s="37" cm="1">
        <f t="array" ref="AD142:AE142">LINEST(G128:G142,D128:D142)</f>
        <v>8.2285714285714349</v>
      </c>
      <c r="AE142" s="37">
        <v>-7.5419047619047683</v>
      </c>
      <c r="AF142" s="37" cm="1">
        <f t="array" ref="AF142:AG142">LINEST(G123:G142,D123:D142)</f>
        <v>9.6956390977443654</v>
      </c>
      <c r="AG142" s="37">
        <v>-8.9754644736842142</v>
      </c>
      <c r="AH142" s="37" cm="1">
        <f t="array" ref="AH142:AI142">LINEST(G118:G142,D118:D142)</f>
        <v>6.336000000000011</v>
      </c>
      <c r="AI142" s="37">
        <v>-5.7056866666666766</v>
      </c>
      <c r="AJ142" s="37" cm="1">
        <f t="array" ref="AJ142:AK142">LINEST(G113:G142,D113:D142)</f>
        <v>4.6964182424916636</v>
      </c>
      <c r="AK142" s="37">
        <v>-4.1135527623285189</v>
      </c>
    </row>
    <row r="143" spans="1:37" x14ac:dyDescent="0.25">
      <c r="A143" s="61">
        <v>502</v>
      </c>
      <c r="B143" s="14">
        <f t="shared" si="2"/>
        <v>137</v>
      </c>
      <c r="C143" s="15">
        <v>43980</v>
      </c>
      <c r="D143" s="16">
        <v>0.98429398148148151</v>
      </c>
      <c r="E143" s="36">
        <v>20.25</v>
      </c>
      <c r="F143" s="36">
        <v>0.23</v>
      </c>
      <c r="G143" s="36">
        <v>0.56999999999999995</v>
      </c>
      <c r="H143" s="56" cm="1">
        <f t="array" ref="H143:I143">LINEST(E134:E143,D134:D143)</f>
        <v>23.127272727273933</v>
      </c>
      <c r="I143" s="56">
        <v>-2.2334898989910776</v>
      </c>
      <c r="J143" s="56" cm="1">
        <f t="array" ref="J143:K143">LINEST(E129:E143,D129:D143)</f>
        <v>30.574285714286013</v>
      </c>
      <c r="K143" s="56">
        <v>-9.5328354166669556</v>
      </c>
      <c r="L143" s="56" cm="1">
        <f t="array" ref="L143:M143">LINEST(E124:E143,D124:D143)</f>
        <v>17.945864661654287</v>
      </c>
      <c r="M143" s="56">
        <v>2.8062791353381975</v>
      </c>
      <c r="N143" s="56" cm="1">
        <f t="array" ref="N143:O143">LINEST(E119:E143,D119:D143)</f>
        <v>12.533538461538546</v>
      </c>
      <c r="O143" s="56">
        <v>8.0818058333332594</v>
      </c>
      <c r="P143" s="56" cm="1">
        <f t="array" ref="P143:Q143">LINEST(E114:E143,D114:D143)</f>
        <v>10.502869855394934</v>
      </c>
      <c r="Q143" s="56">
        <v>10.056604542083743</v>
      </c>
      <c r="R143" s="56" cm="1">
        <f t="array" ref="R143:S143">LINEST(F134:F143,D134:D143)</f>
        <v>55.941818181818704</v>
      </c>
      <c r="S143" s="56">
        <v>-54.121558585859106</v>
      </c>
      <c r="T143" s="56" cm="1">
        <f t="array" ref="T143:U143">LINEST(F129:F143,D129:D143)</f>
        <v>-0.30857142857136804</v>
      </c>
      <c r="U143" s="56">
        <v>0.96139166666660758</v>
      </c>
      <c r="V143" s="56" cm="1">
        <f t="array" ref="V143:W143">LINEST(F124:F143,D124:D143)</f>
        <v>17.821353383458671</v>
      </c>
      <c r="W143" s="56">
        <v>-16.740308020050151</v>
      </c>
      <c r="X143" s="56" cm="1">
        <f t="array" ref="X143:Y143">LINEST(F119:F143,D119:D143)</f>
        <v>15.457846153846182</v>
      </c>
      <c r="Y143" s="56">
        <v>-14.440634166666692</v>
      </c>
      <c r="Z143" s="56" cm="1">
        <f t="array" ref="Z143:AA143">LINEST(F114:F143,D114:D143)</f>
        <v>12.405784204671864</v>
      </c>
      <c r="AA143" s="56">
        <v>-11.471433351872458</v>
      </c>
      <c r="AB143" s="37" cm="1">
        <f t="array" ref="AB143:AC143">LINEST(G134:G143,D134:D143)</f>
        <v>15.665454545454564</v>
      </c>
      <c r="AC143" s="37">
        <v>-14.828503535353555</v>
      </c>
      <c r="AD143" s="37" cm="1">
        <f t="array" ref="AD143:AE143">LINEST(G129:G143,D129:D143)</f>
        <v>7.5085714285714271</v>
      </c>
      <c r="AE143" s="37">
        <v>-6.8363083333333323</v>
      </c>
      <c r="AF143" s="37" cm="1">
        <f t="array" ref="AF143:AG143">LINEST(G124:G143,D124:D143)</f>
        <v>10.30195488721805</v>
      </c>
      <c r="AG143" s="37">
        <v>-9.5667236215538889</v>
      </c>
      <c r="AH143" s="37" cm="1">
        <f t="array" ref="AH143:AI143">LINEST(G119:G143,D119:D143)</f>
        <v>7.0227692307692413</v>
      </c>
      <c r="AI143" s="37">
        <v>-6.3710233333333424</v>
      </c>
      <c r="AJ143" s="37" cm="1">
        <f t="array" ref="AJ143:AK143">LINEST(G114:G143,D114:D143)</f>
        <v>5.3098998887652966</v>
      </c>
      <c r="AK143" s="37">
        <v>-4.7052336855765686</v>
      </c>
    </row>
    <row r="144" spans="1:37" x14ac:dyDescent="0.25">
      <c r="A144" s="61">
        <v>502</v>
      </c>
      <c r="B144" s="14">
        <f t="shared" si="2"/>
        <v>138</v>
      </c>
      <c r="C144" s="15">
        <v>43980</v>
      </c>
      <c r="D144" s="16">
        <v>0.98568287037037028</v>
      </c>
      <c r="E144" s="36">
        <v>20.27</v>
      </c>
      <c r="F144" s="36">
        <v>0.66</v>
      </c>
      <c r="G144" s="36">
        <v>0.57999999999999996</v>
      </c>
      <c r="H144" s="56" cm="1">
        <f t="array" ref="H144:I144">LINEST(E135:E144,D135:D144)</f>
        <v>1.9636363636375211</v>
      </c>
      <c r="I144" s="56">
        <v>18.485749999998866</v>
      </c>
      <c r="J144" s="56" cm="1">
        <f t="array" ref="J144:K144">LINEST(E130:E144,D130:D144)</f>
        <v>25.251428571428953</v>
      </c>
      <c r="K144" s="56">
        <v>-4.3624005952384657</v>
      </c>
      <c r="L144" s="56" cm="1">
        <f t="array" ref="L144:M144">LINEST(E125:E144,D125:D144)</f>
        <v>17.144661654135501</v>
      </c>
      <c r="M144" s="56">
        <v>3.5675149749371791</v>
      </c>
      <c r="N144" s="56" cm="1">
        <f t="array" ref="N144:O144">LINEST(E120:E144,D120:D144)</f>
        <v>12.073846153846235</v>
      </c>
      <c r="O144" s="56">
        <v>8.5170474358973607</v>
      </c>
      <c r="P144" s="56" cm="1">
        <f t="array" ref="P144:Q144">LINEST(E115:E144,D115:D144)</f>
        <v>10.09761957730818</v>
      </c>
      <c r="Q144" s="56">
        <v>10.441637523173839</v>
      </c>
      <c r="R144" s="56" cm="1">
        <f t="array" ref="R144:S144">LINEST(F135:F144,D135:D144)</f>
        <v>21.07636363636411</v>
      </c>
      <c r="S144" s="56">
        <v>-19.965883333333796</v>
      </c>
      <c r="T144" s="56" cm="1">
        <f t="array" ref="T144:U144">LINEST(F130:F144,D130:D144)</f>
        <v>6.0428571428572342</v>
      </c>
      <c r="U144" s="56">
        <v>-5.2575907738096124</v>
      </c>
      <c r="V144" s="56" cm="1">
        <f t="array" ref="V144:W144">LINEST(F125:F144,D125:D144)</f>
        <v>11.216842105263204</v>
      </c>
      <c r="W144" s="56">
        <v>-10.304249122807065</v>
      </c>
      <c r="X144" s="56" cm="1">
        <f t="array" ref="X144:Y144">LINEST(F120:F144,D120:D144)</f>
        <v>16.504615384615416</v>
      </c>
      <c r="Y144" s="56">
        <v>-15.471239743589773</v>
      </c>
      <c r="Z144" s="56" cm="1">
        <f t="array" ref="Z144:AA144">LINEST(F115:F144,D115:D144)</f>
        <v>11.063492769744174</v>
      </c>
      <c r="AA144" s="56">
        <v>-10.172622191323708</v>
      </c>
      <c r="AB144" s="37" cm="1">
        <f t="array" ref="AB144:AC144">LINEST(G135:G144,D135:D144)</f>
        <v>16.058181818181932</v>
      </c>
      <c r="AC144" s="37">
        <v>-15.219911111111223</v>
      </c>
      <c r="AD144" s="37" cm="1">
        <f t="array" ref="AD144:AE144">LINEST(G130:G144,D130:D144)</f>
        <v>7.4057142857142955</v>
      </c>
      <c r="AE144" s="37">
        <v>-6.7336857142857234</v>
      </c>
      <c r="AF144" s="37" cm="1">
        <f t="array" ref="AF144:AG144">LINEST(G125:G144,D125:D144)</f>
        <v>10.431879699248132</v>
      </c>
      <c r="AG144" s="37">
        <v>-9.6943822681704397</v>
      </c>
      <c r="AH144" s="37" cm="1">
        <f t="array" ref="AH144:AI144">LINEST(G120:G144,D120:D144)</f>
        <v>7.737230769230778</v>
      </c>
      <c r="AI144" s="37">
        <v>-7.0651019871794949</v>
      </c>
      <c r="AJ144" s="37" cm="1">
        <f t="array" ref="AJ144:AK144">LINEST(G115:G144,D115:D144)</f>
        <v>5.7600000000000069</v>
      </c>
      <c r="AK144" s="37">
        <v>-5.1395333333333406</v>
      </c>
    </row>
    <row r="145" spans="1:37" x14ac:dyDescent="0.25">
      <c r="A145" s="61">
        <v>502</v>
      </c>
      <c r="B145" s="14">
        <f t="shared" si="2"/>
        <v>139</v>
      </c>
      <c r="C145" s="15">
        <v>43980</v>
      </c>
      <c r="D145" s="16">
        <v>0.98707175925925927</v>
      </c>
      <c r="E145" s="36">
        <v>20.27</v>
      </c>
      <c r="F145" s="36">
        <v>0.08</v>
      </c>
      <c r="G145" s="36">
        <v>0.54</v>
      </c>
      <c r="H145" s="56" cm="1">
        <f t="array" ref="H145:I145">LINEST(E136:E145,D136:D145)</f>
        <v>-20.247272727271525</v>
      </c>
      <c r="I145" s="56">
        <v>40.288965656564478</v>
      </c>
      <c r="J145" s="56" cm="1">
        <f t="array" ref="J145:K145">LINEST(E131:E145,D131:D145)</f>
        <v>19.645714285714615</v>
      </c>
      <c r="K145" s="56">
        <v>1.0979369047615819</v>
      </c>
      <c r="L145" s="56" cm="1">
        <f t="array" ref="L145:M145">LINEST(E126:E145,D126:D145)</f>
        <v>16.191879699248258</v>
      </c>
      <c r="M145" s="56">
        <v>4.478595676691592</v>
      </c>
      <c r="N145" s="56" cm="1">
        <f t="array" ref="N145:O145">LINEST(E121:E145,D121:D145)</f>
        <v>11.730461538461622</v>
      </c>
      <c r="O145" s="56">
        <v>8.8395003846153077</v>
      </c>
      <c r="P145" s="56" cm="1">
        <f t="array" ref="P145:Q145">LINEST(E116:E145,D116:D145)</f>
        <v>9.6122803114572299</v>
      </c>
      <c r="Q145" s="56">
        <v>10.905236874304729</v>
      </c>
      <c r="R145" s="56" cm="1">
        <f t="array" ref="R145:S145">LINEST(F136:F145,D136:D145)</f>
        <v>0.17454545454551648</v>
      </c>
      <c r="S145" s="56">
        <v>0.44080202020195958</v>
      </c>
      <c r="T145" s="56" cm="1">
        <f t="array" ref="T145:U145">LINEST(F131:F145,D131:D145)</f>
        <v>2.7514285714286282</v>
      </c>
      <c r="U145" s="56">
        <v>-2.1084407738095798</v>
      </c>
      <c r="V145" s="56" cm="1">
        <f t="array" ref="V145:W145">LINEST(F126:F145,D126:D145)</f>
        <v>1.3479699248120405</v>
      </c>
      <c r="W145" s="56">
        <v>-0.71525733082707776</v>
      </c>
      <c r="X145" s="56" cm="1">
        <f t="array" ref="X145:Y145">LINEST(F121:F145,D121:D145)</f>
        <v>14.560615384615396</v>
      </c>
      <c r="Y145" s="56">
        <v>-13.630895320512831</v>
      </c>
      <c r="Z145" s="56" cm="1">
        <f t="array" ref="Z145:AA145">LINEST(F116:F145,D116:D145)</f>
        <v>7.1823804226918808</v>
      </c>
      <c r="AA145" s="56">
        <v>-6.4368797182054154</v>
      </c>
      <c r="AB145" s="37" cm="1">
        <f t="array" ref="AB145:AC145">LINEST(G136:G145,D136:D145)</f>
        <v>15.010909090909083</v>
      </c>
      <c r="AC145" s="37">
        <v>-14.207026262626252</v>
      </c>
      <c r="AD145" s="37" cm="1">
        <f t="array" ref="AD145:AE145">LINEST(G131:G145,D131:D145)</f>
        <v>7.1228571428571481</v>
      </c>
      <c r="AE145" s="37">
        <v>-6.4608544642857204</v>
      </c>
      <c r="AF145" s="37" cm="1">
        <f t="array" ref="AF145:AG145">LINEST(G126:G145,D126:D145)</f>
        <v>9.7551879699248154</v>
      </c>
      <c r="AG145" s="37">
        <v>-9.0383562656641629</v>
      </c>
      <c r="AH145" s="37" cm="1">
        <f t="array" ref="AH145:AI145">LINEST(G121:G145,D121:D145)</f>
        <v>8.2910769230769326</v>
      </c>
      <c r="AI145" s="37">
        <v>-7.608103269230778</v>
      </c>
      <c r="AJ145" s="37" cm="1">
        <f t="array" ref="AJ145:AK145">LINEST(G116:G145,D116:D145)</f>
        <v>5.8513014460511723</v>
      </c>
      <c r="AK145" s="37">
        <v>-5.2288157026325592</v>
      </c>
    </row>
    <row r="146" spans="1:37" x14ac:dyDescent="0.25">
      <c r="A146" s="61">
        <v>502</v>
      </c>
      <c r="B146" s="14">
        <f t="shared" si="2"/>
        <v>140</v>
      </c>
      <c r="C146" s="15">
        <v>43980</v>
      </c>
      <c r="D146" s="16">
        <v>0.98846064814814805</v>
      </c>
      <c r="E146" s="36">
        <v>20.23</v>
      </c>
      <c r="F146" s="36">
        <v>-1.1499999999999999</v>
      </c>
      <c r="G146" s="36">
        <v>0.41</v>
      </c>
      <c r="H146" s="56" cm="1">
        <f t="array" ref="H146:I146">LINEST(E137:E146,D137:D146)</f>
        <v>-46.821818181817463</v>
      </c>
      <c r="I146" s="56">
        <v>66.437888383837674</v>
      </c>
      <c r="J146" s="56" cm="1">
        <f t="array" ref="J146:K146">LINEST(E132:E146,D132:D146)</f>
        <v>12.471428571428989</v>
      </c>
      <c r="K146" s="56">
        <v>8.1070669642853037</v>
      </c>
      <c r="L146" s="56" cm="1">
        <f t="array" ref="L146:M146">LINEST(E127:E146,D127:D146)</f>
        <v>14.676090225564071</v>
      </c>
      <c r="M146" s="56">
        <v>5.9394052005010938</v>
      </c>
      <c r="N146" s="56" cm="1">
        <f t="array" ref="N146:O146">LINEST(E122:E146,D122:D146)</f>
        <v>10.966153846153944</v>
      </c>
      <c r="O146" s="56">
        <v>9.5707576923075983</v>
      </c>
      <c r="P146" s="56" cm="1">
        <f t="array" ref="P146:Q146">LINEST(E117:E146,D117:D146)</f>
        <v>9.010011123470596</v>
      </c>
      <c r="Q146" s="56">
        <v>11.481076844642127</v>
      </c>
      <c r="R146" s="56" cm="1">
        <f t="array" ref="R146:S146">LINEST(F137:F146,D137:D146)</f>
        <v>-124.80000000000076</v>
      </c>
      <c r="S146" s="56">
        <v>123.13188888888963</v>
      </c>
      <c r="T146" s="56" cm="1">
        <f t="array" ref="T146:U146">LINEST(F132:F146,D132:D146)</f>
        <v>-20.391428571428374</v>
      </c>
      <c r="U146" s="56">
        <v>20.397208035714094</v>
      </c>
      <c r="V146" s="56" cm="1">
        <f t="array" ref="V146:W146">LINEST(F127:F146,D127:D146)</f>
        <v>-24.783157894736782</v>
      </c>
      <c r="W146" s="56">
        <v>24.716176315789415</v>
      </c>
      <c r="X146" s="56" cm="1">
        <f t="array" ref="X146:Y146">LINEST(F122:F146,D122:D146)</f>
        <v>-1.3569230769230225</v>
      </c>
      <c r="Y146" s="56">
        <v>1.7790496794871262</v>
      </c>
      <c r="Z146" s="56" cm="1">
        <f t="array" ref="Z146:AA146">LINEST(F117:F146,D117:D146)</f>
        <v>0.18580645161292939</v>
      </c>
      <c r="AA146" s="56">
        <v>0.26807956989244763</v>
      </c>
      <c r="AB146" s="37" cm="1">
        <f t="array" ref="AB146:AC146">LINEST(G137:G146,D137:D146)</f>
        <v>4.3200000000000394</v>
      </c>
      <c r="AC146" s="37">
        <v>-3.724150000000038</v>
      </c>
      <c r="AD146" s="37" cm="1">
        <f t="array" ref="AD146:AE146">LINEST(G132:G146,D132:D146)</f>
        <v>5.0657142857143178</v>
      </c>
      <c r="AE146" s="37">
        <v>-4.4620092261905073</v>
      </c>
      <c r="AF146" s="37" cm="1">
        <f t="array" ref="AF146:AG146">LINEST(G127:G146,D127:D146)</f>
        <v>7.0375939849624221</v>
      </c>
      <c r="AG146" s="37">
        <v>-6.3945275689223218</v>
      </c>
      <c r="AH146" s="37" cm="1">
        <f t="array" ref="AH146:AI146">LINEST(G122:G146,D122:D146)</f>
        <v>7.5489230769230931</v>
      </c>
      <c r="AI146" s="37">
        <v>-6.8963980128205282</v>
      </c>
      <c r="AJ146" s="37" cm="1">
        <f t="array" ref="AJ146:AK146">LINEST(G117:G146,D117:D146)</f>
        <v>5.4204226918798772</v>
      </c>
      <c r="AK146" s="37">
        <v>-4.8180465702632658</v>
      </c>
    </row>
    <row r="147" spans="1:37" x14ac:dyDescent="0.25">
      <c r="A147" s="61">
        <v>502</v>
      </c>
      <c r="B147" s="14">
        <f t="shared" si="2"/>
        <v>141</v>
      </c>
      <c r="C147" s="15">
        <v>43980</v>
      </c>
      <c r="D147" s="16">
        <v>0.98984953703703704</v>
      </c>
      <c r="E147" s="36">
        <v>20.25</v>
      </c>
      <c r="F147" s="36">
        <v>0.43</v>
      </c>
      <c r="G147" s="36">
        <v>0.41</v>
      </c>
      <c r="H147" s="56" cm="1">
        <f t="array" ref="H147:I147">LINEST(E138:E147,D138:D147)</f>
        <v>-72.349090909089796</v>
      </c>
      <c r="I147" s="56">
        <v>91.628532323231212</v>
      </c>
      <c r="J147" s="56" cm="1">
        <f t="array" ref="J147:K147">LINEST(E133:E147,D133:D147)</f>
        <v>5.5028571428575281</v>
      </c>
      <c r="K147" s="56">
        <v>14.934499404761532</v>
      </c>
      <c r="L147" s="56" cm="1">
        <f t="array" ref="L147:M147">LINEST(E128:E147,D128:D147)</f>
        <v>13.371428571428735</v>
      </c>
      <c r="M147" s="56">
        <v>7.198726190476032</v>
      </c>
      <c r="N147" s="56" cm="1">
        <f t="array" ref="N147:O147">LINEST(E123:E147,D123:D147)</f>
        <v>10.340307692307791</v>
      </c>
      <c r="O147" s="56">
        <v>10.16978967948708</v>
      </c>
      <c r="P147" s="56" cm="1">
        <f t="array" ref="P147:Q147">LINEST(E118:E147,D118:D147)</f>
        <v>8.5919466073415531</v>
      </c>
      <c r="Q147" s="56">
        <v>11.879631219873875</v>
      </c>
      <c r="R147" s="56" cm="1">
        <f t="array" ref="R147:S147">LINEST(F138:F147,D138:D147)</f>
        <v>-110.48727272727248</v>
      </c>
      <c r="S147" s="56">
        <v>109.17523030303005</v>
      </c>
      <c r="T147" s="56" cm="1">
        <f t="array" ref="T147:U147">LINEST(F133:F147,D133:D147)</f>
        <v>-16.637142857142639</v>
      </c>
      <c r="U147" s="56">
        <v>16.732518154761692</v>
      </c>
      <c r="V147" s="56" cm="1">
        <f t="array" ref="V147:W147">LINEST(F128:F147,D128:D147)</f>
        <v>-27.067669172932259</v>
      </c>
      <c r="W147" s="56">
        <v>26.980776942355824</v>
      </c>
      <c r="X147" s="56" cm="1">
        <f t="array" ref="X147:Y147">LINEST(F123:F147,D123:D147)</f>
        <v>-2.4978461538461052</v>
      </c>
      <c r="Y147" s="56">
        <v>2.8952610897435429</v>
      </c>
      <c r="Z147" s="56" cm="1">
        <f t="array" ref="Z147:AA147">LINEST(F118:F147,D118:D147)</f>
        <v>2.6941935483871289</v>
      </c>
      <c r="AA147" s="56">
        <v>-2.1825881720430425</v>
      </c>
      <c r="AB147" s="37" cm="1">
        <f t="array" ref="AB147:AC147">LINEST(G138:G147,D138:D147)</f>
        <v>-4.7127272727272693</v>
      </c>
      <c r="AC147" s="37">
        <v>5.1534363636363594</v>
      </c>
      <c r="AD147" s="37" cm="1">
        <f t="array" ref="AD147:AE147">LINEST(G133:G147,D133:D147)</f>
        <v>3.3942857142857332</v>
      </c>
      <c r="AE147" s="37">
        <v>-2.8361654761904953</v>
      </c>
      <c r="AF147" s="37" cm="1">
        <f t="array" ref="AF147:AG147">LINEST(G128:G147,D128:D147)</f>
        <v>4.3957894736842178</v>
      </c>
      <c r="AG147" s="37">
        <v>-3.8181701754386039</v>
      </c>
      <c r="AH147" s="37" cm="1">
        <f t="array" ref="AH147:AI147">LINEST(G123:G147,D123:D147)</f>
        <v>6.7790769230769339</v>
      </c>
      <c r="AI147" s="37">
        <v>-6.1556815384615495</v>
      </c>
      <c r="AJ147" s="37" cm="1">
        <f t="array" ref="AJ147:AK147">LINEST(G118:G147,D118:D147)</f>
        <v>5.2218020022247051</v>
      </c>
      <c r="AK147" s="37">
        <v>-4.6329703374119511</v>
      </c>
    </row>
    <row r="148" spans="1:37" x14ac:dyDescent="0.25">
      <c r="A148" s="61">
        <v>502</v>
      </c>
      <c r="B148" s="14">
        <f t="shared" si="2"/>
        <v>142</v>
      </c>
      <c r="C148" s="15">
        <v>43980</v>
      </c>
      <c r="D148" s="16">
        <v>0.99123842592592604</v>
      </c>
      <c r="E148" s="36">
        <v>20.25</v>
      </c>
      <c r="F148" s="36">
        <v>0.17</v>
      </c>
      <c r="G148" s="36">
        <v>0.39</v>
      </c>
      <c r="H148" s="56" cm="1">
        <f t="array" ref="H148:I148">LINEST(E139:E148,D139:D148)</f>
        <v>-101.75999999999839</v>
      </c>
      <c r="I148" s="56">
        <v>120.72042222222065</v>
      </c>
      <c r="J148" s="56" cm="1">
        <f t="array" ref="J148:K148">LINEST(E134:E148,D134:D148)</f>
        <v>-1.8257142857139177</v>
      </c>
      <c r="K148" s="56">
        <v>22.133968154761547</v>
      </c>
      <c r="L148" s="56" cm="1">
        <f t="array" ref="L148:M148">LINEST(E129:E148,D129:D148)</f>
        <v>12.402406015037718</v>
      </c>
      <c r="M148" s="56">
        <v>8.1314014411026356</v>
      </c>
      <c r="N148" s="56" cm="1">
        <f t="array" ref="N148:O148">LINEST(E124:E148,D124:D148)</f>
        <v>9.7144615384616166</v>
      </c>
      <c r="O148" s="56">
        <v>10.770160128205049</v>
      </c>
      <c r="P148" s="56" cm="1">
        <f t="array" ref="P148:Q148">LINEST(E119:E148,D119:D148)</f>
        <v>8.1194215795328599</v>
      </c>
      <c r="Q148" s="56">
        <v>12.332233463107114</v>
      </c>
      <c r="R148" s="56" cm="1">
        <f t="array" ref="R148:S148">LINEST(F139:F148,D139:D148)</f>
        <v>-101.84727272727176</v>
      </c>
      <c r="S148" s="56">
        <v>100.7403848484839</v>
      </c>
      <c r="T148" s="56" cm="1">
        <f t="array" ref="T148:U148">LINEST(F134:F148,D134:D148)</f>
        <v>-20.751428571428256</v>
      </c>
      <c r="U148" s="56">
        <v>20.77519672619017</v>
      </c>
      <c r="V148" s="56" cm="1">
        <f t="array" ref="V148:W148">LINEST(F129:F148,D129:D148)</f>
        <v>-26.093233082706657</v>
      </c>
      <c r="W148" s="56">
        <v>26.025329573934734</v>
      </c>
      <c r="X148" s="56" cm="1">
        <f t="array" ref="X148:Y148">LINEST(F124:F148,D124:D148)</f>
        <v>-5.8541538461537996</v>
      </c>
      <c r="Y148" s="56">
        <v>6.1656930128204674</v>
      </c>
      <c r="Z148" s="56" cm="1">
        <f t="array" ref="Z148:AA148">LINEST(F119:F148,D119:D148)</f>
        <v>-0.84734149054502705</v>
      </c>
      <c r="AA148" s="56">
        <v>1.2598529291805485</v>
      </c>
      <c r="AB148" s="37" cm="1">
        <f t="array" ref="AB148:AC148">LINEST(G139:G148,D139:D148)</f>
        <v>-12.523636363636397</v>
      </c>
      <c r="AC148" s="37">
        <v>12.846636868686902</v>
      </c>
      <c r="AD148" s="37" cm="1">
        <f t="array" ref="AD148:AE148">LINEST(G134:G148,D134:D148)</f>
        <v>1.5685714285713994</v>
      </c>
      <c r="AE148" s="37">
        <v>-1.0555782738094954</v>
      </c>
      <c r="AF148" s="37" cm="1">
        <f t="array" ref="AF148:AG148">LINEST(G129:G148,D129:D148)</f>
        <v>1.9867669172932219</v>
      </c>
      <c r="AG148" s="37">
        <v>-1.4656454260651521</v>
      </c>
      <c r="AH148" s="37" cm="1">
        <f t="array" ref="AH148:AI148">LINEST(G124:G148,D124:D148)</f>
        <v>5.7766153846153783</v>
      </c>
      <c r="AI148" s="37">
        <v>-5.1865262179487113</v>
      </c>
      <c r="AJ148" s="37" cm="1">
        <f t="array" ref="AJ148:AK148">LINEST(G119:G148,D119:D148)</f>
        <v>4.7316573971078979</v>
      </c>
      <c r="AK148" s="37">
        <v>-4.163576974416018</v>
      </c>
    </row>
    <row r="149" spans="1:37" x14ac:dyDescent="0.25">
      <c r="A149" s="61">
        <v>502</v>
      </c>
      <c r="B149" s="14">
        <f t="shared" si="2"/>
        <v>143</v>
      </c>
      <c r="C149" s="15">
        <v>43980</v>
      </c>
      <c r="D149" s="16">
        <v>0.99262731481481481</v>
      </c>
      <c r="E149" s="36">
        <v>20.260000000000002</v>
      </c>
      <c r="F149" s="36">
        <v>0.08</v>
      </c>
      <c r="G149" s="36">
        <v>0.37</v>
      </c>
      <c r="H149" s="56" cm="1">
        <f t="array" ref="H149:I149">LINEST(E140:E149,D140:D149)</f>
        <v>24.261818181818036</v>
      </c>
      <c r="I149" s="56">
        <v>-3.7473070707069311</v>
      </c>
      <c r="J149" s="56" cm="1">
        <f t="array" ref="J149:K149">LINEST(E135:E149,D135:D149)</f>
        <v>-9.5142857142853465</v>
      </c>
      <c r="K149" s="56">
        <v>29.70830654761869</v>
      </c>
      <c r="L149" s="56" cm="1">
        <f t="array" ref="L149:M149">LINEST(E130:E149,D130:D149)</f>
        <v>9.4141353383460142</v>
      </c>
      <c r="M149" s="56">
        <v>11.053986403508626</v>
      </c>
      <c r="N149" s="56" cm="1">
        <f t="array" ref="N149:O149">LINEST(E125:E149,D125:D149)</f>
        <v>9.0886153846154674</v>
      </c>
      <c r="O149" s="56">
        <v>11.372669038461456</v>
      </c>
      <c r="P149" s="56" cm="1">
        <f t="array" ref="P149:Q149">LINEST(E120:E149,D120:D149)</f>
        <v>7.688542825361564</v>
      </c>
      <c r="Q149" s="56">
        <v>12.745647756766731</v>
      </c>
      <c r="R149" s="56" cm="1">
        <f t="array" ref="R149:S149">LINEST(F140:F149,D140:D149)</f>
        <v>-89.934545454544278</v>
      </c>
      <c r="S149" s="56">
        <v>89.044395454544286</v>
      </c>
      <c r="T149" s="56" cm="1">
        <f t="array" ref="T149:U149">LINEST(F135:F149,D135:D149)</f>
        <v>-38.931428571428356</v>
      </c>
      <c r="U149" s="56">
        <v>38.691232738095032</v>
      </c>
      <c r="V149" s="56" cm="1">
        <f t="array" ref="V149:W149">LINEST(F130:F149,D130:D149)</f>
        <v>-25.178345864661544</v>
      </c>
      <c r="W149" s="56">
        <v>25.120999561403398</v>
      </c>
      <c r="X149" s="56" cm="1">
        <f t="array" ref="X149:Y149">LINEST(F125:F149,D125:D149)</f>
        <v>-12.417230769230724</v>
      </c>
      <c r="Y149" s="56">
        <v>12.586328589743545</v>
      </c>
      <c r="Z149" s="56" cm="1">
        <f t="array" ref="Z149:AA149">LINEST(F120:F149,D120:D149)</f>
        <v>-2.0438709677419156</v>
      </c>
      <c r="AA149" s="56">
        <v>2.4096408602150343</v>
      </c>
      <c r="AB149" s="37" cm="1">
        <f t="array" ref="AB149:AC149">LINEST(G140:G149,D140:D149)</f>
        <v>-18.589090909090807</v>
      </c>
      <c r="AC149" s="37">
        <v>18.833857575757477</v>
      </c>
      <c r="AD149" s="37" cm="1">
        <f t="array" ref="AD149:AE149">LINEST(G135:G149,D135:D149)</f>
        <v>-1.5942857142857467</v>
      </c>
      <c r="AE149" s="37">
        <v>2.0470315476190795</v>
      </c>
      <c r="AF149" s="37" cm="1">
        <f t="array" ref="AF149:AG149">LINEST(G130:G149,D130:D149)</f>
        <v>-0.11368421052632748</v>
      </c>
      <c r="AG149" s="37">
        <v>0.5878460526315904</v>
      </c>
      <c r="AH149" s="37" cm="1">
        <f t="array" ref="AH149:AI149">LINEST(G125:G149,D125:D149)</f>
        <v>4.4030769230769184</v>
      </c>
      <c r="AI149" s="37">
        <v>-3.8520298076923032</v>
      </c>
      <c r="AJ149" s="37" cm="1">
        <f t="array" ref="AJ149:AK149">LINEST(G120:G149,D120:D149)</f>
        <v>4.1918576195773074</v>
      </c>
      <c r="AK149" s="37">
        <v>-3.6455330181683339</v>
      </c>
    </row>
    <row r="150" spans="1:37" x14ac:dyDescent="0.25">
      <c r="A150" s="61">
        <v>502</v>
      </c>
      <c r="B150" s="14">
        <f t="shared" si="2"/>
        <v>144</v>
      </c>
      <c r="C150" s="15">
        <v>43980</v>
      </c>
      <c r="D150" s="16">
        <v>0.9940162037037038</v>
      </c>
      <c r="E150" s="36">
        <v>20.28</v>
      </c>
      <c r="F150" s="36">
        <v>0.76</v>
      </c>
      <c r="G150" s="36">
        <v>0.4</v>
      </c>
      <c r="H150" s="56" cm="1">
        <f t="array" ref="H150:I150">LINEST(E141:E150,D141:D150)</f>
        <v>13.919999999999909</v>
      </c>
      <c r="I150" s="56">
        <v>6.4732944444445337</v>
      </c>
      <c r="J150" s="56" cm="1">
        <f t="array" ref="J150:K150">LINEST(E136:E150,D136:D150)</f>
        <v>-16.99714285714235</v>
      </c>
      <c r="K150" s="56">
        <v>37.101518749999499</v>
      </c>
      <c r="L150" s="56" cm="1">
        <f t="array" ref="L150:M150">LINEST(E131:E150,D131:D150)</f>
        <v>6.577443609022696</v>
      </c>
      <c r="M150" s="56">
        <v>13.836200187969787</v>
      </c>
      <c r="N150" s="56" cm="1">
        <f t="array" ref="N150:O150">LINEST(E126:E150,D126:D150)</f>
        <v>8.5236923076923805</v>
      </c>
      <c r="O150" s="56">
        <v>11.918173269230694</v>
      </c>
      <c r="P150" s="56" cm="1">
        <f t="array" ref="P150:Q150">LINEST(E121:E150,D121:D150)</f>
        <v>7.4450723025584491</v>
      </c>
      <c r="Q150" s="56">
        <v>12.97741297738223</v>
      </c>
      <c r="R150" s="56" cm="1">
        <f t="array" ref="R150:S150">LINEST(F141:F150,D141:D150)</f>
        <v>-43.723636363634988</v>
      </c>
      <c r="S150" s="56">
        <v>43.504730303028943</v>
      </c>
      <c r="T150" s="56" cm="1">
        <f t="array" ref="T150:U150">LINEST(F136:F150,D136:D150)</f>
        <v>-26.639999999999581</v>
      </c>
      <c r="U150" s="56">
        <v>26.648924999999586</v>
      </c>
      <c r="V150" s="56" cm="1">
        <f t="array" ref="V150:W150">LINEST(F131:F150,D131:D150)</f>
        <v>-16.305563909774278</v>
      </c>
      <c r="W150" s="56">
        <v>16.442851879699095</v>
      </c>
      <c r="X150" s="56" cm="1">
        <f t="array" ref="X150:Y150">LINEST(F126:F150,D126:D150)</f>
        <v>-12.328615384615299</v>
      </c>
      <c r="Y150" s="56">
        <v>12.538966538461455</v>
      </c>
      <c r="Z150" s="56" cm="1">
        <f t="array" ref="Z150:AA150">LINEST(F121:F150,D121:D150)</f>
        <v>0.70798665183540133</v>
      </c>
      <c r="AA150" s="56">
        <v>-0.26415880608085845</v>
      </c>
      <c r="AB150" s="37" cm="1">
        <f t="array" ref="AB150:AC150">LINEST(G141:G150,D141:D150)</f>
        <v>-20.421818181818015</v>
      </c>
      <c r="AC150" s="37">
        <v>20.655981818181655</v>
      </c>
      <c r="AD150" s="37" cm="1">
        <f t="array" ref="AD150:AE150">LINEST(G136:G150,D136:D150)</f>
        <v>-3.4457142857143088</v>
      </c>
      <c r="AE150" s="37">
        <v>3.8675958333333558</v>
      </c>
      <c r="AF150" s="37" cm="1">
        <f t="array" ref="AF150:AG150">LINEST(G131:G150,D131:D150)</f>
        <v>-1.3154887218045264</v>
      </c>
      <c r="AG150" s="37">
        <v>1.7647599624060302</v>
      </c>
      <c r="AH150" s="37" cm="1">
        <f t="array" ref="AH150:AI150">LINEST(G126:G150,D126:D150)</f>
        <v>3.129230769230757</v>
      </c>
      <c r="AI150" s="37">
        <v>-2.6095522435897314</v>
      </c>
      <c r="AJ150" s="37" cm="1">
        <f t="array" ref="AJ150:AK150">LINEST(G121:G150,D121:D150)</f>
        <v>3.9435817575083334</v>
      </c>
      <c r="AK150" s="37">
        <v>-3.4098981460882372</v>
      </c>
    </row>
    <row r="151" spans="1:37" x14ac:dyDescent="0.25">
      <c r="A151" s="61">
        <v>502</v>
      </c>
      <c r="B151" s="14">
        <f t="shared" si="2"/>
        <v>145</v>
      </c>
      <c r="C151" s="15">
        <v>43980</v>
      </c>
      <c r="D151" s="16">
        <v>0.99540509259259258</v>
      </c>
      <c r="E151" s="36">
        <v>20.260000000000002</v>
      </c>
      <c r="F151" s="36">
        <v>-0.77</v>
      </c>
      <c r="G151" s="36">
        <v>0.3</v>
      </c>
      <c r="H151" s="56" cm="1">
        <f t="array" ref="H151:I151">LINEST(E142:E151,D142:D151)</f>
        <v>1.3090909090911189</v>
      </c>
      <c r="I151" s="56">
        <v>18.96110606060585</v>
      </c>
      <c r="J151" s="56" cm="1">
        <f t="array" ref="J151:K151">LINEST(E137:E151,D137:D151)</f>
        <v>-25.817142857142361</v>
      </c>
      <c r="K151" s="56">
        <v>45.833515476189987</v>
      </c>
      <c r="L151" s="56" cm="1">
        <f t="array" ref="L151:M151">LINEST(E132:E151,D132:D151)</f>
        <v>3.1398496240603255</v>
      </c>
      <c r="M151" s="56">
        <v>17.216006265663989</v>
      </c>
      <c r="N151" s="56" cm="1">
        <f t="array" ref="N151:O151">LINEST(E127:E151,D127:D151)</f>
        <v>7.7427692307693086</v>
      </c>
      <c r="O151" s="56">
        <v>12.675854230769152</v>
      </c>
      <c r="P151" s="56" cm="1">
        <f t="array" ref="P151:Q151">LINEST(E122:E151,D122:D151)</f>
        <v>7.0077864293660221</v>
      </c>
      <c r="Q151" s="56">
        <v>13.398542732665863</v>
      </c>
      <c r="R151" s="56" cm="1">
        <f t="array" ref="R151:S151">LINEST(F142:F151,D142:D151)</f>
        <v>-55.941818181816586</v>
      </c>
      <c r="S151" s="56">
        <v>55.479134343432769</v>
      </c>
      <c r="T151" s="56" cm="1">
        <f t="array" ref="T151:U151">LINEST(F137:F151,D137:D151)</f>
        <v>-68.297142857142362</v>
      </c>
      <c r="U151" s="56">
        <v>67.731990476189978</v>
      </c>
      <c r="V151" s="56" cm="1">
        <f t="array" ref="V151:W151">LINEST(F132:F151,D132:D151)</f>
        <v>-22.942556390977252</v>
      </c>
      <c r="W151" s="56">
        <v>22.897423182957205</v>
      </c>
      <c r="X151" s="56" cm="1">
        <f t="array" ref="X151:Y151">LINEST(F127:F151,D127:D151)</f>
        <v>-25.089230769230667</v>
      </c>
      <c r="Y151" s="56">
        <v>25.01939423076913</v>
      </c>
      <c r="Z151" s="56" cm="1">
        <f t="array" ref="Z151:AA151">LINEST(F122:F151,D122:D151)</f>
        <v>-7.8999777530589119</v>
      </c>
      <c r="AA151" s="56">
        <v>8.1105813125694795</v>
      </c>
      <c r="AB151" s="37" cm="1">
        <f t="array" ref="AB151:AC151">LINEST(G142:G151,D142:D151)</f>
        <v>-23.519999999999751</v>
      </c>
      <c r="AC151" s="37">
        <v>23.721927777777534</v>
      </c>
      <c r="AD151" s="37" cm="1">
        <f t="array" ref="AD151:AE151">LINEST(G137:G151,D137:D151)</f>
        <v>-8.5885714285714396</v>
      </c>
      <c r="AE151" s="37">
        <v>8.9362744047619138</v>
      </c>
      <c r="AF151" s="37" cm="1">
        <f t="array" ref="AF151:AG151">LINEST(G132:G151,D132:D151)</f>
        <v>-3.0478195488721926</v>
      </c>
      <c r="AG151" s="37">
        <v>3.4591008145363529</v>
      </c>
      <c r="AH151" s="37" cm="1">
        <f t="array" ref="AH151:AI151">LINEST(G127:G151,D127:D151)</f>
        <v>0.8529230769230689</v>
      </c>
      <c r="AI151" s="37">
        <v>-0.38478858974358193</v>
      </c>
      <c r="AJ151" s="37" cm="1">
        <f t="array" ref="AJ151:AK151">LINEST(G122:G151,D122:D151)</f>
        <v>2.9857174638487156</v>
      </c>
      <c r="AK151" s="37">
        <v>-2.4832026696329206</v>
      </c>
    </row>
    <row r="152" spans="1:37" x14ac:dyDescent="0.25">
      <c r="A152" s="61">
        <v>502</v>
      </c>
      <c r="B152" s="14">
        <f t="shared" si="2"/>
        <v>146</v>
      </c>
      <c r="C152" s="15">
        <v>43980</v>
      </c>
      <c r="D152" s="16">
        <v>0.99679398148148157</v>
      </c>
      <c r="E152" s="36">
        <v>20.239999999999998</v>
      </c>
      <c r="F152" s="36">
        <v>-0.59</v>
      </c>
      <c r="G152" s="36">
        <v>0.23</v>
      </c>
      <c r="H152" s="56" cm="1">
        <f t="array" ref="H152:I152">LINEST(E143:E152,D143:D152)</f>
        <v>-8.7272727272667189E-2</v>
      </c>
      <c r="I152" s="56">
        <v>20.342447474747416</v>
      </c>
      <c r="J152" s="56" cm="1">
        <f t="array" ref="J152:K152">LINEST(E138:E152,D138:D152)</f>
        <v>-34.739999999999355</v>
      </c>
      <c r="K152" s="56">
        <v>54.687539583332693</v>
      </c>
      <c r="L152" s="56" cm="1">
        <f t="array" ref="L152:M152">LINEST(E133:E152,D133:D152)</f>
        <v>-0.54676691729306326</v>
      </c>
      <c r="M152" s="56">
        <v>20.848299686716626</v>
      </c>
      <c r="N152" s="56" cm="1">
        <f t="array" ref="N152:O152">LINEST(E128:E152,D128:D152)</f>
        <v>6.8289230769231404</v>
      </c>
      <c r="O152" s="56">
        <v>13.564785961538401</v>
      </c>
      <c r="P152" s="56" cm="1">
        <f t="array" ref="P152:Q152">LINEST(E123:E152,D123:D152)</f>
        <v>6.4791991101224085</v>
      </c>
      <c r="Q152" s="56">
        <v>13.909057193177553</v>
      </c>
      <c r="R152" s="56" cm="1">
        <f t="array" ref="R152:S152">LINEST(F143:F152,D143:D152)</f>
        <v>-46.079999999998478</v>
      </c>
      <c r="S152" s="56">
        <v>45.634266666665155</v>
      </c>
      <c r="T152" s="56" cm="1">
        <f t="array" ref="T152:U152">LINEST(F138:F152,D138:D152)</f>
        <v>-75.291428571427815</v>
      </c>
      <c r="U152" s="56">
        <v>74.628042857142106</v>
      </c>
      <c r="V152" s="56" cm="1">
        <f t="array" ref="V152:W152">LINEST(F133:F152,D133:D152)</f>
        <v>-29.709473684210355</v>
      </c>
      <c r="W152" s="56">
        <v>29.524224561403344</v>
      </c>
      <c r="X152" s="56" cm="1">
        <f t="array" ref="X152:Y152">LINEST(F128:F152,D128:D152)</f>
        <v>-32.189538461538369</v>
      </c>
      <c r="Y152" s="56">
        <v>31.971845897435809</v>
      </c>
      <c r="Z152" s="56" cm="1">
        <f t="array" ref="Z152:AA152">LINEST(F123:F152,D123:D152)</f>
        <v>-12.90393770856504</v>
      </c>
      <c r="AA152" s="56">
        <v>12.978029810900971</v>
      </c>
      <c r="AB152" s="37" cm="1">
        <f t="array" ref="AB152:AC152">LINEST(G143:G152,D143:D152)</f>
        <v>-25.570909090908831</v>
      </c>
      <c r="AC152" s="37">
        <v>25.749110101009844</v>
      </c>
      <c r="AD152" s="37" cm="1">
        <f t="array" ref="AD152:AE152">LINEST(G138:G152,D138:D152)</f>
        <v>-13.962857142857084</v>
      </c>
      <c r="AE152" s="37">
        <v>14.240341964285655</v>
      </c>
      <c r="AF152" s="37" cm="1">
        <f t="array" ref="AF152:AG152">LINEST(G133:G152,D133:D152)</f>
        <v>-5.1915789473684395</v>
      </c>
      <c r="AG152" s="37">
        <v>5.5589346491228255</v>
      </c>
      <c r="AH152" s="37" cm="1">
        <f t="array" ref="AH152:AI152">LINEST(G128:G152,D128:D152)</f>
        <v>-1.7612307692307803</v>
      </c>
      <c r="AI152" s="37">
        <v>2.1738303846153957</v>
      </c>
      <c r="AJ152" s="37" cm="1">
        <f t="array" ref="AJ152:AK152">LINEST(G123:G152,D123:D152)</f>
        <v>1.7219132369299097</v>
      </c>
      <c r="AK152" s="37">
        <v>-1.2573819985168586</v>
      </c>
    </row>
    <row r="153" spans="1:37" x14ac:dyDescent="0.25">
      <c r="A153" s="61">
        <v>502</v>
      </c>
      <c r="B153" s="14">
        <f t="shared" si="2"/>
        <v>147</v>
      </c>
      <c r="C153" s="15">
        <v>43980</v>
      </c>
      <c r="D153" s="16">
        <v>0.99818287037037035</v>
      </c>
      <c r="E153" s="36">
        <v>20.27</v>
      </c>
      <c r="F153" s="36">
        <v>1.1599999999999999</v>
      </c>
      <c r="G153" s="36">
        <v>0.31</v>
      </c>
      <c r="H153" s="56" cm="1">
        <f t="array" ref="H153:I153">LINEST(E144:E153,D144:D153)</f>
        <v>0.17454545454547152</v>
      </c>
      <c r="I153" s="56">
        <v>20.084862626262613</v>
      </c>
      <c r="J153" s="56" cm="1">
        <f t="array" ref="J153:K153">LINEST(E139:E153,D139:D153)</f>
        <v>-44.562857142856558</v>
      </c>
      <c r="K153" s="56">
        <v>64.461297321427992</v>
      </c>
      <c r="L153" s="56" cm="1">
        <f t="array" ref="L153:M153">LINEST(E134:E153,D134:D153)</f>
        <v>-4.0384962406013196</v>
      </c>
      <c r="M153" s="56">
        <v>24.299872055137666</v>
      </c>
      <c r="N153" s="56" cm="1">
        <f t="array" ref="N153:O153">LINEST(E129:E153,D129:D153)</f>
        <v>6.3470769230769886</v>
      </c>
      <c r="O153" s="56">
        <v>14.031841153846086</v>
      </c>
      <c r="P153" s="56" cm="1">
        <f t="array" ref="P153:Q153">LINEST(E124:E153,D124:D153)</f>
        <v>6.101179087875467</v>
      </c>
      <c r="Q153" s="56">
        <v>14.274445179829389</v>
      </c>
      <c r="R153" s="56" cm="1">
        <f t="array" ref="R153:S153">LINEST(F144:F153,D144:D153)</f>
        <v>11.389090909091196</v>
      </c>
      <c r="S153" s="56">
        <v>-11.214213636363919</v>
      </c>
      <c r="T153" s="56" cm="1">
        <f t="array" ref="T153:U153">LINEST(F139:F153,D139:D153)</f>
        <v>-46.825714285713971</v>
      </c>
      <c r="U153" s="56">
        <v>46.609375892856832</v>
      </c>
      <c r="V153" s="56" cm="1">
        <f t="array" ref="V153:W153">LINEST(F134:F153,D134:D153)</f>
        <v>-19.201804511278056</v>
      </c>
      <c r="W153" s="56">
        <v>19.251055200501117</v>
      </c>
      <c r="X153" s="56" cm="1">
        <f t="array" ref="X153:Y153">LINEST(F129:F153,D129:D153)</f>
        <v>-23.339076923076856</v>
      </c>
      <c r="Y153" s="56">
        <v>23.337282179487119</v>
      </c>
      <c r="Z153" s="56" cm="1">
        <f t="array" ref="Z153:AA153">LINEST(F124:F153,D124:D153)</f>
        <v>-9.7820689655172242</v>
      </c>
      <c r="AA153" s="56">
        <v>9.9722936781609022</v>
      </c>
      <c r="AB153" s="37" cm="1">
        <f t="array" ref="AB153:AC153">LINEST(G144:G153,D144:D153)</f>
        <v>-22.690909090908917</v>
      </c>
      <c r="AC153" s="37">
        <v>22.901858585858406</v>
      </c>
      <c r="AD153" s="37" cm="1">
        <f t="array" ref="AD153:AE153">LINEST(G139:G153,D139:D153)</f>
        <v>-16.58571428571425</v>
      </c>
      <c r="AE153" s="37">
        <v>16.842325892857108</v>
      </c>
      <c r="AF153" s="37" cm="1">
        <f t="array" ref="AF153:AG153">LINEST(G134:G153,D134:D153)</f>
        <v>-6.2309774436090306</v>
      </c>
      <c r="AG153" s="37">
        <v>6.5809406641604102</v>
      </c>
      <c r="AH153" s="37" cm="1">
        <f t="array" ref="AH153:AI153">LINEST(G129:G153,D129:D153)</f>
        <v>-3.4504615384615449</v>
      </c>
      <c r="AI153" s="37">
        <v>3.8330839102564171</v>
      </c>
      <c r="AJ153" s="37" cm="1">
        <f t="array" ref="AJ153:AK153">LINEST(G124:G153,D124:D153)</f>
        <v>0.82171301446050315</v>
      </c>
      <c r="AK153" s="37">
        <v>-0.38067146829810067</v>
      </c>
    </row>
    <row r="154" spans="1:37" x14ac:dyDescent="0.25">
      <c r="A154" s="61">
        <v>502</v>
      </c>
      <c r="B154" s="14">
        <f t="shared" si="2"/>
        <v>148</v>
      </c>
      <c r="C154" s="15">
        <v>43980</v>
      </c>
      <c r="D154" s="16">
        <v>0.99957175925925934</v>
      </c>
      <c r="E154" s="36">
        <v>20.329999999999998</v>
      </c>
      <c r="F154" s="36">
        <v>1.76</v>
      </c>
      <c r="G154" s="36">
        <v>0.42</v>
      </c>
      <c r="H154" s="56" cm="1">
        <f t="array" ref="H154:I154">LINEST(E145:E154,D145:D154)</f>
        <v>3.578181818181728</v>
      </c>
      <c r="I154" s="56">
        <v>16.709714141414235</v>
      </c>
      <c r="J154" s="56" cm="1">
        <f t="array" ref="J154:K154">LINEST(E140:E154,D140:D154)</f>
        <v>13.345714285714187</v>
      </c>
      <c r="K154" s="56">
        <v>7.0044175595239029</v>
      </c>
      <c r="L154" s="56" cm="1">
        <f t="array" ref="L154:M154">LINEST(E135:E154,D135:D154)</f>
        <v>-7.1621052631577289</v>
      </c>
      <c r="M154" s="56">
        <v>27.401038157894572</v>
      </c>
      <c r="N154" s="56" cm="1">
        <f t="array" ref="N154:O154">LINEST(E130:E154,D130:D154)</f>
        <v>4.9181538461538947</v>
      </c>
      <c r="O154" s="56">
        <v>15.44072153846149</v>
      </c>
      <c r="P154" s="56" cm="1">
        <f t="array" ref="P154:Q154">LINEST(E125:E154,D125:D154)</f>
        <v>5.9570189098999213</v>
      </c>
      <c r="Q154" s="56">
        <v>14.413833203559477</v>
      </c>
      <c r="R154" s="56" cm="1">
        <f t="array" ref="R154:S154">LINEST(F145:F154,D145:D154)</f>
        <v>104.94545454545489</v>
      </c>
      <c r="S154" s="56">
        <v>-104.05160353535388</v>
      </c>
      <c r="T154" s="56" cm="1">
        <f t="array" ref="T154:U154">LINEST(F140:F154,D140:D154)</f>
        <v>-8.0999999999997421</v>
      </c>
      <c r="U154" s="56">
        <v>8.3957812499997448</v>
      </c>
      <c r="V154" s="56" cm="1">
        <f t="array" ref="V154:W154">LINEST(F135:F154,D135:D154)</f>
        <v>-10.567218045112606</v>
      </c>
      <c r="W154" s="56">
        <v>10.858264160400829</v>
      </c>
      <c r="X154" s="56" cm="1">
        <f t="array" ref="X154:Y154">LINEST(F130:F154,D130:D154)</f>
        <v>-10.606153846153742</v>
      </c>
      <c r="Y154" s="56">
        <v>10.886042628205024</v>
      </c>
      <c r="Z154" s="56" cm="1">
        <f t="array" ref="Z154:AA154">LINEST(F125:F154,D125:D154)</f>
        <v>-5.9954616240266434</v>
      </c>
      <c r="AA154" s="56">
        <v>6.3391521876158174</v>
      </c>
      <c r="AB154" s="37" cm="1">
        <f t="array" ref="AB154:AC154">LINEST(G145:G154,D145:D154)</f>
        <v>-12.741818181818063</v>
      </c>
      <c r="AC154" s="37">
        <v>13.034725252525135</v>
      </c>
      <c r="AD154" s="37" cm="1">
        <f t="array" ref="AD154:AE154">LINEST(G140:G154,D140:D154)</f>
        <v>-16.019999999999911</v>
      </c>
      <c r="AE154" s="37">
        <v>16.300056249999912</v>
      </c>
      <c r="AF154" s="37" cm="1">
        <f t="array" ref="AF154:AG154">LINEST(G135:G154,D135:D154)</f>
        <v>-6.6261654135338386</v>
      </c>
      <c r="AG154" s="37">
        <v>6.9788992481203049</v>
      </c>
      <c r="AH154" s="37" cm="1">
        <f t="array" ref="AH154:AI154">LINEST(G130:G154,D130:D154)</f>
        <v>-4.0320000000000036</v>
      </c>
      <c r="AI154" s="37">
        <v>4.410673333333337</v>
      </c>
      <c r="AJ154" s="37" cm="1">
        <f t="array" ref="AJ154:AK154">LINEST(G125:G154,D125:D154)</f>
        <v>0.29632925472746524</v>
      </c>
      <c r="AK154" s="37">
        <v>0.13609872080089946</v>
      </c>
    </row>
    <row r="155" spans="1:37" x14ac:dyDescent="0.25">
      <c r="A155" s="61">
        <v>502</v>
      </c>
      <c r="B155" s="14">
        <f t="shared" si="2"/>
        <v>149</v>
      </c>
      <c r="C155" s="15">
        <v>43981</v>
      </c>
      <c r="D155" s="16">
        <v>9.7222222222222209E-4</v>
      </c>
      <c r="E155" s="36">
        <v>20.32</v>
      </c>
      <c r="F155" s="36">
        <v>-0.32</v>
      </c>
      <c r="G155" s="36">
        <v>0.36</v>
      </c>
      <c r="H155" s="56" cm="1">
        <f t="array" ref="H155:I155">LINEST(E146:E155,D146:D155)</f>
        <v>-5.636769302145387E-2</v>
      </c>
      <c r="I155" s="56">
        <v>20.319432840398225</v>
      </c>
      <c r="J155" s="56" cm="1">
        <f t="array" ref="J155:K155">LINEST(E141:E155,D141:D155)</f>
        <v>-7.8784096669687331E-2</v>
      </c>
      <c r="K155" s="56">
        <v>20.316174944983075</v>
      </c>
      <c r="L155" s="56" cm="1">
        <f t="array" ref="L155:M155">LINEST(E136:E155,D136:D155)</f>
        <v>1.7366894834235872E-2</v>
      </c>
      <c r="M155" s="56">
        <v>20.333213902910892</v>
      </c>
      <c r="N155" s="56" cm="1">
        <f t="array" ref="N155:O155">LINEST(E131:E155,D131:D155)</f>
        <v>-2.6597897971350398E-2</v>
      </c>
      <c r="O155" s="56">
        <v>20.311916247288245</v>
      </c>
      <c r="P155" s="56" cm="1">
        <f t="array" ref="P155:Q155">LINEST(E126:E155,D126:D155)</f>
        <v>-4.3634091261689024E-2</v>
      </c>
      <c r="Q155" s="56">
        <v>20.296009479947053</v>
      </c>
      <c r="R155" s="56" cm="1">
        <f t="array" ref="R155:S155">LINEST(F146:F155,D146:D155)</f>
        <v>0.54709940424723225</v>
      </c>
      <c r="S155" s="56">
        <v>-0.33649629579240992</v>
      </c>
      <c r="T155" s="56" cm="1">
        <f t="array" ref="T155:U155">LINEST(F141:F155,D141:D155)</f>
        <v>0.66548075205018353</v>
      </c>
      <c r="U155" s="56">
        <v>-0.32195188983111439</v>
      </c>
      <c r="V155" s="56" cm="1">
        <f t="array" ref="V155:W155">LINEST(F136:F155,D136:D155)</f>
        <v>0.73877945223030506</v>
      </c>
      <c r="W155" s="56">
        <v>-0.31030282982672014</v>
      </c>
      <c r="X155" s="56" cm="1">
        <f t="array" ref="X155:Y155">LINEST(F131:F155,D131:D155)</f>
        <v>0.75247170412454223</v>
      </c>
      <c r="Y155" s="56">
        <v>-0.30095484980644899</v>
      </c>
      <c r="Z155" s="56" cm="1">
        <f t="array" ref="Z155:AA155">LINEST(F126:F155,D126:D155)</f>
        <v>0.77570381543652622</v>
      </c>
      <c r="AA155" s="56">
        <v>-0.28563735300780319</v>
      </c>
      <c r="AB155" s="37" cm="1">
        <f t="array" ref="AB155:AC155">LINEST(G146:G155,D146:D155)</f>
        <v>-1.0170557310931355E-3</v>
      </c>
      <c r="AC155" s="37">
        <v>0.36090997176951695</v>
      </c>
      <c r="AD155" s="37" cm="1">
        <f t="array" ref="AD155:AE155">LINEST(G141:G155,D141:D155)</f>
        <v>6.8121531957705109E-2</v>
      </c>
      <c r="AE155" s="37">
        <v>0.36768336945818497</v>
      </c>
      <c r="AF155" s="37" cm="1">
        <f t="array" ref="AF155:AG155">LINEST(G136:G155,D136:D155)</f>
        <v>7.4228497277437397E-2</v>
      </c>
      <c r="AG155" s="37">
        <v>0.36839098094520051</v>
      </c>
      <c r="AH155" s="37" cm="1">
        <f t="array" ref="AH155:AI155">LINEST(G131:G155,D131:D155)</f>
        <v>7.8233321422307836E-2</v>
      </c>
      <c r="AI155" s="37">
        <v>0.3705247092104782</v>
      </c>
      <c r="AJ155" s="37" cm="1">
        <f t="array" ref="AJ155:AK155">LINEST(G126:G155,D126:D155)</f>
        <v>7.031641373620183E-2</v>
      </c>
      <c r="AK155" s="37">
        <v>0.36137598470408405</v>
      </c>
    </row>
    <row r="156" spans="1:37" x14ac:dyDescent="0.25">
      <c r="A156" s="61">
        <v>502</v>
      </c>
      <c r="B156" s="14">
        <f t="shared" si="2"/>
        <v>150</v>
      </c>
      <c r="C156" s="15">
        <v>43981</v>
      </c>
      <c r="D156" s="16">
        <v>2.3611111111111111E-3</v>
      </c>
      <c r="E156" s="36">
        <v>19.899999999999999</v>
      </c>
      <c r="F156" s="36">
        <v>-0.32</v>
      </c>
      <c r="G156" s="36">
        <v>0.31</v>
      </c>
      <c r="H156" s="56" cm="1">
        <f t="array" ref="H156:I156">LINEST(E147:E156,D147:D156)</f>
        <v>0.15866542364248903</v>
      </c>
      <c r="I156" s="56">
        <v>20.109686162413354</v>
      </c>
      <c r="J156" s="56" cm="1">
        <f t="array" ref="J156:K156">LINEST(E142:E156,D142:D156)</f>
        <v>0.15342269455528312</v>
      </c>
      <c r="K156" s="56">
        <v>20.109497898515887</v>
      </c>
      <c r="L156" s="56" cm="1">
        <f t="array" ref="L156:M156">LINEST(E137:E156,D137:D156)</f>
        <v>0.25188566045952054</v>
      </c>
      <c r="M156" s="56">
        <v>20.118534290717033</v>
      </c>
      <c r="N156" s="56" cm="1">
        <f t="array" ref="N156:O156">LINEST(E132:E156,D132:D156)</f>
        <v>0.19219729079558129</v>
      </c>
      <c r="O156" s="56">
        <v>20.108330028034395</v>
      </c>
      <c r="P156" s="56" cm="1">
        <f t="array" ref="P156:Q156">LINEST(E127:E156,D127:D156)</f>
        <v>0.16110615455889335</v>
      </c>
      <c r="Q156" s="56">
        <v>20.099500105503676</v>
      </c>
      <c r="R156" s="56" cm="1">
        <f t="array" ref="R156:S156">LINEST(F147:F156,D147:D156)</f>
        <v>0.70454987770744593</v>
      </c>
      <c r="S156" s="56">
        <v>-0.32489346236489342</v>
      </c>
      <c r="T156" s="56" cm="1">
        <f t="array" ref="T156:U156">LINEST(F142:F156,D142:D156)</f>
        <v>0.62074266336230866</v>
      </c>
      <c r="U156" s="56">
        <v>-0.32473472594555941</v>
      </c>
      <c r="V156" s="56" cm="1">
        <f t="array" ref="V156:W156">LINEST(F137:F156,D137:D156)</f>
        <v>0.79138141499586023</v>
      </c>
      <c r="W156" s="56">
        <v>-0.3096617312774127</v>
      </c>
      <c r="X156" s="56" cm="1">
        <f t="array" ref="X156:Y156">LINEST(F132:F156,D132:D156)</f>
        <v>0.74414101974822433</v>
      </c>
      <c r="Y156" s="56">
        <v>-0.31595646374536906</v>
      </c>
      <c r="Z156" s="56" cm="1">
        <f t="array" ref="Z156:AA156">LINEST(F127:F156,D127:D156)</f>
        <v>0.80872474235041591</v>
      </c>
      <c r="AA156" s="56">
        <v>-0.29775702788342345</v>
      </c>
      <c r="AB156" s="37" cm="1">
        <f t="array" ref="AB156:AC156">LINEST(G147:G156,D147:D156)</f>
        <v>1.8484261883314673E-2</v>
      </c>
      <c r="AC156" s="37">
        <v>0.33528464488457854</v>
      </c>
      <c r="AD156" s="37" cm="1">
        <f t="array" ref="AD156:AE156">LINEST(G142:G156,D142:D156)</f>
        <v>8.7567220850287814E-2</v>
      </c>
      <c r="AE156" s="37">
        <v>0.33808721234702122</v>
      </c>
      <c r="AF156" s="37" cm="1">
        <f t="array" ref="AF156:AG156">LINEST(G137:G156,D137:D156)</f>
        <v>0.10684747384009391</v>
      </c>
      <c r="AG156" s="37">
        <v>0.339495900838369</v>
      </c>
      <c r="AH156" s="37" cm="1">
        <f t="array" ref="AH156:AI156">LINEST(G132:G156,D132:D156)</f>
        <v>0.10789078697215214</v>
      </c>
      <c r="AI156" s="37">
        <v>0.33988506246966632</v>
      </c>
      <c r="AJ156" s="37" cm="1">
        <f t="array" ref="AJ156:AK156">LINEST(G127:G156,D127:D156)</f>
        <v>0.10056488755755977</v>
      </c>
      <c r="AK156" s="37">
        <v>0.33726167818528374</v>
      </c>
    </row>
    <row r="157" spans="1:37" x14ac:dyDescent="0.25">
      <c r="A157" s="61">
        <v>502</v>
      </c>
      <c r="B157" s="14">
        <f t="shared" si="2"/>
        <v>151</v>
      </c>
      <c r="C157" s="15">
        <v>43981</v>
      </c>
      <c r="D157" s="16">
        <v>3.7500000000000003E-3</v>
      </c>
      <c r="E157" s="36">
        <v>19.940000000000001</v>
      </c>
      <c r="F157" s="36">
        <v>-0.32</v>
      </c>
      <c r="G157" s="36">
        <v>0.26</v>
      </c>
      <c r="H157" s="56" cm="1">
        <f t="array" ref="H157:I157">LINEST(E148:E157,D148:D157)</f>
        <v>0.21807095940439519</v>
      </c>
      <c r="I157" s="56">
        <v>20.052897272594038</v>
      </c>
      <c r="J157" s="56" cm="1">
        <f t="array" ref="J157:K157">LINEST(E143:E157,D143:D157)</f>
        <v>0.21223502664124244</v>
      </c>
      <c r="K157" s="56">
        <v>20.052814791901916</v>
      </c>
      <c r="L157" s="56" cm="1">
        <f t="array" ref="L157:M157">LINEST(E138:E157,D138:D157)</f>
        <v>0.32796010245089152</v>
      </c>
      <c r="M157" s="56">
        <v>20.059834540343672</v>
      </c>
      <c r="N157" s="56" cm="1">
        <f t="array" ref="N157:O157">LINEST(E133:E157,D133:D157)</f>
        <v>0.25998701934142354</v>
      </c>
      <c r="O157" s="56">
        <v>20.053372236661978</v>
      </c>
      <c r="P157" s="56" cm="1">
        <f t="array" ref="P157:Q157">LINEST(E128:E157,D128:D157)</f>
        <v>0.21892463337912704</v>
      </c>
      <c r="Q157" s="56">
        <v>20.046891375248546</v>
      </c>
      <c r="R157" s="56" cm="1">
        <f t="array" ref="R157:S157">LINEST(F148:F157,D148:D157)</f>
        <v>0.69567903508644946</v>
      </c>
      <c r="S157" s="56">
        <v>-0.32423049068431981</v>
      </c>
      <c r="T157" s="56" cm="1">
        <f t="array" ref="T157:U157">LINEST(F143:F157,D143:D157)</f>
        <v>0.56652541926273536</v>
      </c>
      <c r="U157" s="56">
        <v>-0.32583167410607961</v>
      </c>
      <c r="V157" s="56" cm="1">
        <f t="array" ref="V157:W157">LINEST(F138:F157,D138:D157)</f>
        <v>0.76926637203481874</v>
      </c>
      <c r="W157" s="56">
        <v>-0.31610355470185697</v>
      </c>
      <c r="X157" s="56" cm="1">
        <f t="array" ref="X157:Y157">LINEST(F133:F157,D133:D157)</f>
        <v>0.73746694325184814</v>
      </c>
      <c r="Y157" s="56">
        <v>-0.31943778414057172</v>
      </c>
      <c r="Z157" s="56" cm="1">
        <f t="array" ref="Z157:AA157">LINEST(F128:F157,D128:D157)</f>
        <v>0.81822250319047585</v>
      </c>
      <c r="AA157" s="56">
        <v>-0.30598197202917621</v>
      </c>
      <c r="AB157" s="37" cm="1">
        <f t="array" ref="AB157:AC157">LINEST(G148:G157,D148:D157)</f>
        <v>3.5762253669475219E-2</v>
      </c>
      <c r="AC157" s="37">
        <v>0.3100561178060221</v>
      </c>
      <c r="AD157" s="37" cm="1">
        <f t="array" ref="AD157:AE157">LINEST(G143:G157,D143:D157)</f>
        <v>9.9800899705386928E-2</v>
      </c>
      <c r="AE157" s="37">
        <v>0.31142290413578</v>
      </c>
      <c r="AF157" s="37" cm="1">
        <f t="array" ref="AF157:AG157">LINEST(G138:G157,D138:D157)</f>
        <v>0.13509970300895849</v>
      </c>
      <c r="AG157" s="37">
        <v>0.31294252318778887</v>
      </c>
      <c r="AH157" s="37" cm="1">
        <f t="array" ref="AH157:AI157">LINEST(G133:G157,D133:D157)</f>
        <v>0.13324407093362153</v>
      </c>
      <c r="AI157" s="37">
        <v>0.31286764394350969</v>
      </c>
      <c r="AJ157" s="37" cm="1">
        <f t="array" ref="AJ157:AK157">LINEST(G128:G157,D128:D157)</f>
        <v>0.13128181771168407</v>
      </c>
      <c r="AK157" s="37">
        <v>0.31233262803536038</v>
      </c>
    </row>
    <row r="158" spans="1:37" x14ac:dyDescent="0.25">
      <c r="A158" s="61">
        <v>502</v>
      </c>
      <c r="B158" s="14">
        <f t="shared" si="2"/>
        <v>152</v>
      </c>
      <c r="C158" s="15">
        <v>43981</v>
      </c>
      <c r="D158" s="16">
        <v>5.138888888888889E-3</v>
      </c>
      <c r="E158" s="36">
        <v>19.96</v>
      </c>
      <c r="F158" s="36">
        <v>-0.32</v>
      </c>
      <c r="G158" s="36">
        <v>0.21</v>
      </c>
      <c r="H158" s="56" cm="1">
        <f t="array" ref="H158:I158">LINEST(E149:E158,D149:D158)</f>
        <v>0.24481620074170019</v>
      </c>
      <c r="I158" s="56">
        <v>20.029383997668312</v>
      </c>
      <c r="J158" s="56" cm="1">
        <f t="array" ref="J158:K158">LINEST(E144:E158,D144:D158)</f>
        <v>0.23693113605125773</v>
      </c>
      <c r="K158" s="56">
        <v>20.029338445592224</v>
      </c>
      <c r="L158" s="56" cm="1">
        <f t="array" ref="L158:M158">LINEST(E139:E158,D139:D158)</f>
        <v>0.37449720500761269</v>
      </c>
      <c r="M158" s="56">
        <v>20.035422486600957</v>
      </c>
      <c r="N158" s="56" cm="1">
        <f t="array" ref="N158:O158">LINEST(E134:E158,D134:D158)</f>
        <v>0.2956287713520746</v>
      </c>
      <c r="O158" s="56">
        <v>20.030682649013734</v>
      </c>
      <c r="P158" s="56" cm="1">
        <f t="array" ref="P158:Q158">LINEST(E129:E158,D129:D158)</f>
        <v>0.24393836682729345</v>
      </c>
      <c r="Q158" s="56">
        <v>20.025248271164724</v>
      </c>
      <c r="R158" s="56" cm="1">
        <f t="array" ref="R158:S158">LINEST(F149:F158,D149:D158)</f>
        <v>0.72789971153187916</v>
      </c>
      <c r="S158" s="56">
        <v>-0.32392599460276206</v>
      </c>
      <c r="T158" s="56" cm="1">
        <f t="array" ref="T158:U158">LINEST(F144:F158,D144:D158)</f>
        <v>0.56594957011276881</v>
      </c>
      <c r="U158" s="56">
        <v>-0.32509761230203266</v>
      </c>
      <c r="V158" s="56" cm="1">
        <f t="array" ref="V158:W158">LINEST(F139:F158,D139:D158)</f>
        <v>0.74061399312574205</v>
      </c>
      <c r="W158" s="56">
        <v>-0.31951827979677405</v>
      </c>
      <c r="X158" s="56" cm="1">
        <f t="array" ref="X158:Y158">LINEST(F134:F158,D134:D158)</f>
        <v>0.73621827789858474</v>
      </c>
      <c r="Y158" s="56">
        <v>-0.32072923505355633</v>
      </c>
      <c r="Z158" s="56" cm="1">
        <f t="array" ref="Z158:AA158">LINEST(F129:F158,D129:D158)</f>
        <v>0.80646951282473145</v>
      </c>
      <c r="AA158" s="56">
        <v>-0.31283511216956711</v>
      </c>
      <c r="AB158" s="37" cm="1">
        <f t="array" ref="AB158:AC158">LINEST(G149:G158,D149:D158)</f>
        <v>5.3532820301955851E-2</v>
      </c>
      <c r="AC158" s="37">
        <v>0.28494016048596965</v>
      </c>
      <c r="AD158" s="37" cm="1">
        <f t="array" ref="AD158:AE158">LINEST(G144:G158,D144:D158)</f>
        <v>0.1112134470685842</v>
      </c>
      <c r="AE158" s="37">
        <v>0.28562081105673048</v>
      </c>
      <c r="AF158" s="37" cm="1">
        <f t="array" ref="AF158:AG158">LINEST(G139:G158,D139:D158)</f>
        <v>0.16040445745428425</v>
      </c>
      <c r="AG158" s="37">
        <v>0.28697006628141231</v>
      </c>
      <c r="AH158" s="37" cm="1">
        <f t="array" ref="AH158:AI158">LINEST(G134:G158,D134:D158)</f>
        <v>0.15741950413992667</v>
      </c>
      <c r="AI158" s="37">
        <v>0.28678384405147606</v>
      </c>
      <c r="AJ158" s="37" cm="1">
        <f t="array" ref="AJ158:AK158">LINEST(G129:G158,D129:D158)</f>
        <v>0.16081625094020099</v>
      </c>
      <c r="AK158" s="37">
        <v>0.28703977274190284</v>
      </c>
    </row>
    <row r="159" spans="1:37" x14ac:dyDescent="0.25">
      <c r="A159" s="61">
        <v>502</v>
      </c>
      <c r="B159" s="14">
        <f t="shared" si="2"/>
        <v>153</v>
      </c>
      <c r="C159" s="15">
        <v>43981</v>
      </c>
      <c r="D159" s="16">
        <v>6.5277777777777782E-3</v>
      </c>
      <c r="E159" s="36">
        <v>20.04</v>
      </c>
      <c r="F159" s="36">
        <v>2.34</v>
      </c>
      <c r="G159" s="36">
        <v>0.38</v>
      </c>
      <c r="H159" s="56" cm="1">
        <f t="array" ref="H159:I159">LINEST(E150:E159,D150:D159)</f>
        <v>0.24548560314583842</v>
      </c>
      <c r="I159" s="56">
        <v>20.031190428616039</v>
      </c>
      <c r="J159" s="56" cm="1">
        <f t="array" ref="J159:K159">LINEST(E145:E159,D145:D159)</f>
        <v>0.23439373982513351</v>
      </c>
      <c r="K159" s="56">
        <v>20.031154739823585</v>
      </c>
      <c r="L159" s="56" cm="1">
        <f t="array" ref="L159:M159">LINEST(E140:E159,D140:D159)</f>
        <v>0.1869992769973628</v>
      </c>
      <c r="M159" s="56">
        <v>20.029998827356234</v>
      </c>
      <c r="N159" s="56" cm="1">
        <f t="array" ref="N159:O159">LINEST(E135:E159,D135:D159)</f>
        <v>0.30722132034563387</v>
      </c>
      <c r="O159" s="56">
        <v>20.032940671196627</v>
      </c>
      <c r="P159" s="56" cm="1">
        <f t="array" ref="P159:Q159">LINEST(E130:E159,D130:D159)</f>
        <v>0.2507238179550012</v>
      </c>
      <c r="Q159" s="56">
        <v>20.02881186636192</v>
      </c>
      <c r="R159" s="56" cm="1">
        <f t="array" ref="R159:S159">LINEST(F150:F159,D150:D159)</f>
        <v>0.25897227696239555</v>
      </c>
      <c r="S159" s="56">
        <v>0.20844342345735986</v>
      </c>
      <c r="T159" s="56" cm="1">
        <f t="array" ref="T159:U159">LINEST(F145:F159,D145:D159)</f>
        <v>-1.1819372590486548E-2</v>
      </c>
      <c r="U159" s="56">
        <v>0.20717506753235326</v>
      </c>
      <c r="V159" s="56" cm="1">
        <f t="array" ref="V159:W159">LINEST(F140:F159,D140:D159)</f>
        <v>0.16914057782266773</v>
      </c>
      <c r="W159" s="56">
        <v>0.21077363871933272</v>
      </c>
      <c r="X159" s="56" cm="1">
        <f t="array" ref="X159:Y159">LINEST(F135:F159,D135:D159)</f>
        <v>0.22526999509321197</v>
      </c>
      <c r="Y159" s="56">
        <v>0.2124700772089689</v>
      </c>
      <c r="Z159" s="56" cm="1">
        <f t="array" ref="Z159:AA159">LINEST(F130:F159,D130:D159)</f>
        <v>0.24953891218932023</v>
      </c>
      <c r="AA159" s="56">
        <v>0.21511648185413285</v>
      </c>
      <c r="AB159" s="37" cm="1">
        <f t="array" ref="AB159:AC159">LINEST(G150:G159,D150:D159)</f>
        <v>2.8190058015752202E-2</v>
      </c>
      <c r="AC159" s="37">
        <v>0.30389730355736261</v>
      </c>
      <c r="AD159" s="37" cm="1">
        <f t="array" ref="AD159:AE159">LINEST(G145:G159,D145:D159)</f>
        <v>7.4129017808200803E-2</v>
      </c>
      <c r="AE159" s="37">
        <v>0.30415136114013769</v>
      </c>
      <c r="AF159" s="37" cm="1">
        <f t="array" ref="AF159:AG159">LINEST(G140:G159,D140:D159)</f>
        <v>0.13820439516468794</v>
      </c>
      <c r="AG159" s="37">
        <v>0.30526926595184556</v>
      </c>
      <c r="AH159" s="37" cm="1">
        <f t="array" ref="AH159:AI159">LINEST(G135:G159,D135:D159)</f>
        <v>0.13918819162433213</v>
      </c>
      <c r="AI159" s="37">
        <v>0.30526194908961096</v>
      </c>
      <c r="AJ159" s="37" cm="1">
        <f t="array" ref="AJ159:AK159">LINEST(G130:G159,D130:D159)</f>
        <v>0.14401400442947221</v>
      </c>
      <c r="AK159" s="37">
        <v>0.30561657594858133</v>
      </c>
    </row>
    <row r="160" spans="1:37" x14ac:dyDescent="0.25">
      <c r="A160" s="61">
        <v>502</v>
      </c>
      <c r="B160" s="14">
        <f t="shared" si="2"/>
        <v>154</v>
      </c>
      <c r="C160" s="15">
        <v>43981</v>
      </c>
      <c r="D160" s="16">
        <v>7.9166666666666673E-3</v>
      </c>
      <c r="E160" s="36">
        <v>20.11</v>
      </c>
      <c r="F160" s="36">
        <v>1.99</v>
      </c>
      <c r="G160" s="36">
        <v>0.5</v>
      </c>
      <c r="H160" s="56" cm="1">
        <f t="array" ref="H160:I160">LINEST(E151:E160,D151:D160)</f>
        <v>0.23149828035676279</v>
      </c>
      <c r="I160" s="56">
        <v>20.044015929141331</v>
      </c>
      <c r="J160" s="56" cm="1">
        <f t="array" ref="J160:K160">LINEST(E146:E160,D146:D160)</f>
        <v>0.22067798796744237</v>
      </c>
      <c r="K160" s="56">
        <v>20.043993186072729</v>
      </c>
      <c r="L160" s="56" cm="1">
        <f t="array" ref="L160:M160">LINEST(E141:E160,D141:D160)</f>
        <v>0.19638619780574953</v>
      </c>
      <c r="M160" s="56">
        <v>20.043567735338495</v>
      </c>
      <c r="N160" s="56" cm="1">
        <f t="array" ref="N160:O160">LINEST(E136:E160,D136:D160)</f>
        <v>0.30832913374826953</v>
      </c>
      <c r="O160" s="56">
        <v>20.045970450426029</v>
      </c>
      <c r="P160" s="56" cm="1">
        <f t="array" ref="P160:Q160">LINEST(E131:E160,D131:D160)</f>
        <v>0.24704063723556019</v>
      </c>
      <c r="Q160" s="56">
        <v>20.042722496524405</v>
      </c>
      <c r="R160" s="56" cm="1">
        <f t="array" ref="R160:S160">LINEST(F151:F160,D151:D160)</f>
        <v>-0.11068917077077432</v>
      </c>
      <c r="S160" s="56">
        <v>0.50545963780972969</v>
      </c>
      <c r="T160" s="56" cm="1">
        <f t="array" ref="T160:U160">LINEST(F146:F160,D146:D160)</f>
        <v>-0.2975937176123466</v>
      </c>
      <c r="U160" s="56">
        <v>0.50468350862090217</v>
      </c>
      <c r="V160" s="56" cm="1">
        <f t="array" ref="V160:W160">LINEST(F141:F160,D141:D160)</f>
        <v>-0.16987545426277642</v>
      </c>
      <c r="W160" s="56">
        <v>0.50651487678068174</v>
      </c>
      <c r="X160" s="56" cm="1">
        <f t="array" ref="X160:Y160">LINEST(F136:F160,D136:D160)</f>
        <v>-8.9475499302387337E-2</v>
      </c>
      <c r="Y160" s="56">
        <v>0.50801768179791529</v>
      </c>
      <c r="Z160" s="56" cm="1">
        <f t="array" ref="Z160:AA160">LINEST(F131:F160,D131:D160)</f>
        <v>-7.0666429634021602E-2</v>
      </c>
      <c r="AA160" s="56">
        <v>0.50933545524845303</v>
      </c>
      <c r="AB160" s="37" cm="1">
        <f t="array" ref="AB160:AC160">LINEST(G151:G160,D151:D160)</f>
        <v>-2.1436597355755881E-2</v>
      </c>
      <c r="AC160" s="37">
        <v>0.3366102673610557</v>
      </c>
      <c r="AD160" s="37" cm="1">
        <f t="array" ref="AD160:AE160">LINEST(G146:G160,D146:D160)</f>
        <v>2.3491552087926977E-2</v>
      </c>
      <c r="AE160" s="37">
        <v>0.3366143138520698</v>
      </c>
      <c r="AF160" s="37" cm="1">
        <f t="array" ref="AF160:AG160">LINEST(G141:G160,D141:D160)</f>
        <v>9.8708224112298626E-2</v>
      </c>
      <c r="AG160" s="37">
        <v>0.33742600291250313</v>
      </c>
      <c r="AH160" s="37" cm="1">
        <f t="array" ref="AH160:AI160">LINEST(G136:G160,D136:D160)</f>
        <v>0.10553430726770976</v>
      </c>
      <c r="AI160" s="37">
        <v>0.33751827997616923</v>
      </c>
      <c r="AJ160" s="37" cm="1">
        <f t="array" ref="AJ160:AK160">LINEST(G131:G160,D131:D160)</f>
        <v>0.11146779341145839</v>
      </c>
      <c r="AK160" s="37">
        <v>0.33785584818839387</v>
      </c>
    </row>
    <row r="161" spans="1:39" x14ac:dyDescent="0.25">
      <c r="A161" s="61">
        <v>502</v>
      </c>
      <c r="B161" s="14">
        <f t="shared" si="2"/>
        <v>155</v>
      </c>
      <c r="C161" s="15">
        <v>43981</v>
      </c>
      <c r="D161" s="16">
        <v>9.3055555555555548E-3</v>
      </c>
      <c r="E161" s="36">
        <v>20.079999999999998</v>
      </c>
      <c r="F161" s="36">
        <v>-0.91</v>
      </c>
      <c r="G161" s="48">
        <v>0.39</v>
      </c>
      <c r="H161" s="56" cm="1">
        <f t="array" ref="H161:I161">LINEST(E152:E161,D152:D161)</f>
        <v>0.23153084686900127</v>
      </c>
      <c r="I161" s="57">
        <v>20.048834094500418</v>
      </c>
      <c r="J161" s="56" cm="1">
        <f t="array" ref="J161:K161">LINEST(E147:E161,D147:D161)</f>
        <v>0.21981811684193564</v>
      </c>
      <c r="K161" s="57">
        <v>20.048856618801608</v>
      </c>
      <c r="L161" s="56" cm="1">
        <f t="array" ref="L161:M161">LINEST(E142:E161,D142:D161)</f>
        <v>0.21462631007946406</v>
      </c>
      <c r="M161" s="57">
        <v>20.048829170986401</v>
      </c>
      <c r="N161" s="56" cm="1">
        <f t="array" ref="N161:O161">LINEST(E137:E161,D137:D161)</f>
        <v>0.32031880669506746</v>
      </c>
      <c r="O161" s="57">
        <v>20.050931030829997</v>
      </c>
      <c r="P161" s="56" cm="1">
        <f t="array" ref="P161:Q161">LINEST(E132:E161,D132:D161)</f>
        <v>0.25315038919178579</v>
      </c>
      <c r="Q161" s="57">
        <v>20.04832941048825</v>
      </c>
      <c r="R161" s="56" cm="1">
        <f t="array" ref="R161:S161">LINEST(F152:F161,D152:D161)</f>
        <v>0.47950937674998406</v>
      </c>
      <c r="S161" s="57">
        <v>0.30168368439804905</v>
      </c>
      <c r="T161" s="56" cm="1">
        <f t="array" ref="T161:U161">LINEST(F147:F161,D147:D161)</f>
        <v>7.4142696206257006E-2</v>
      </c>
      <c r="U161" s="56">
        <v>0.30315524581771319</v>
      </c>
      <c r="V161" s="56" cm="1">
        <f t="array" ref="V161:W161">LINEST(F142:F161,D142:D161)</f>
        <v>-1.2500406100074999E-2</v>
      </c>
      <c r="W161" s="56">
        <v>0.30357655723225258</v>
      </c>
      <c r="X161" s="56" cm="1">
        <f t="array" ref="X161:Y161">LINEST(F137:F161,D137:D161)</f>
        <v>0.16754889541072635</v>
      </c>
      <c r="Y161" s="56">
        <v>0.30699953758073439</v>
      </c>
      <c r="Z161" s="56" cm="1">
        <f t="array" ref="Z161:AA161">LINEST(F132:F161,D132:D161)</f>
        <v>0.1133179109998653</v>
      </c>
      <c r="AA161" s="57">
        <v>0.30535155112418866</v>
      </c>
      <c r="AB161" s="37" cm="1">
        <f t="array" ref="AB161:AC161">LINEST(G152:G161,D152:D161)</f>
        <v>-2.3932035269750716E-2</v>
      </c>
      <c r="AC161" s="37">
        <v>0.34425265314690479</v>
      </c>
      <c r="AD161" s="37" cm="1">
        <f t="array" ref="AD161:AE161">LINEST(G147:G161,D147:D161)</f>
        <v>9.6263505717836297E-3</v>
      </c>
      <c r="AE161" s="37">
        <v>0.34420335009637071</v>
      </c>
      <c r="AF161" s="37" cm="1">
        <f t="array" ref="AF161:AG161">LINEST(G142:G161,D142:D161)</f>
        <v>8.0988439392452302E-2</v>
      </c>
      <c r="AG161" s="37">
        <v>0.34467307872501557</v>
      </c>
      <c r="AH161" s="37" cm="1">
        <f t="array" ref="AH161:AI161">LINEST(G137:G161,D137:D161)</f>
        <v>0.10134153641162634</v>
      </c>
      <c r="AI161" s="37">
        <v>0.34498092460612922</v>
      </c>
      <c r="AJ161" s="37" cm="1">
        <f t="array" ref="AJ161:AK161">LINEST(G132:G161,D132:D161)</f>
        <v>0.10264488485252339</v>
      </c>
      <c r="AK161" s="37">
        <v>0.34508515201391832</v>
      </c>
      <c r="AL161" s="40" t="s">
        <v>22</v>
      </c>
    </row>
    <row r="162" spans="1:39" x14ac:dyDescent="0.25">
      <c r="A162" s="61">
        <v>502</v>
      </c>
      <c r="B162" s="14">
        <f t="shared" si="2"/>
        <v>156</v>
      </c>
      <c r="C162" s="15">
        <v>43981</v>
      </c>
      <c r="D162" s="16">
        <v>1.0694444444444444E-2</v>
      </c>
      <c r="E162" s="36">
        <v>20.14</v>
      </c>
      <c r="F162" s="36">
        <v>1.79</v>
      </c>
      <c r="G162" s="49">
        <v>0.5</v>
      </c>
      <c r="H162" s="56" cm="1">
        <f t="array" ref="H162:I162">LINEST(E153:E162,D153:D162)</f>
        <v>0.24053752185601271</v>
      </c>
      <c r="I162" s="57">
        <v>20.059823996775922</v>
      </c>
      <c r="J162" s="56" cm="1">
        <f t="array" ref="J162:K162">LINEST(E148:E162,D148:D162)</f>
        <v>0.2110693082705184</v>
      </c>
      <c r="K162" s="57">
        <v>20.059963589903333</v>
      </c>
      <c r="L162" s="56" cm="1">
        <f t="array" ref="L162:M162">LINEST(E143:E162,D143:D162)</f>
        <v>0.20508740317998669</v>
      </c>
      <c r="M162" s="57">
        <v>20.059961700818032</v>
      </c>
      <c r="N162" s="56" cm="1">
        <f t="array" ref="N162:O162">LINEST(E138:E162,D138:D162)</f>
        <v>0.32580196858250221</v>
      </c>
      <c r="O162" s="57">
        <v>20.062002987302868</v>
      </c>
      <c r="P162" s="56" cm="1">
        <f t="array" ref="P162:Q162">LINEST(E133:E162,D133:D162)</f>
        <v>0.25335999199315029</v>
      </c>
      <c r="Q162" s="57">
        <v>20.059931000672545</v>
      </c>
      <c r="R162" s="56" cm="1">
        <f t="array" ref="R162:S162">LINEST(F153:F162,D153:D162)</f>
        <v>0.98517190819700351</v>
      </c>
      <c r="S162" s="57">
        <v>0.48358935703691852</v>
      </c>
      <c r="T162" s="56" cm="1">
        <f t="array" ref="T162:U162">LINEST(F148:F162,D148:D162)</f>
        <v>-0.1192238279334334</v>
      </c>
      <c r="U162" s="56">
        <v>0.48908638780134345</v>
      </c>
      <c r="V162" s="56" cm="1">
        <f t="array" ref="V162:W162">LINEST(F143:F162,D143:D162)</f>
        <v>-0.25376499671147967</v>
      </c>
      <c r="W162" s="56">
        <v>0.48912282327818751</v>
      </c>
      <c r="X162" s="56" cm="1">
        <f t="array" ref="X162:Y162">LINEST(F138:F162,D138:D162)</f>
        <v>-4.7031630498876022E-2</v>
      </c>
      <c r="Y162" s="56">
        <v>0.49170025523407185</v>
      </c>
      <c r="Z162" s="56" cm="1">
        <f t="array" ref="Z162:AA162">LINEST(F133:F162,D133:D162)</f>
        <v>-8.4077691010203973E-2</v>
      </c>
      <c r="AA162" s="57">
        <v>0.49052885937000917</v>
      </c>
      <c r="AB162" s="37" cm="1">
        <f t="array" ref="AB162:AC162">LINEST(G153:G162,D153:D162)</f>
        <v>2.3061445047323015E-3</v>
      </c>
      <c r="AC162" s="37">
        <v>0.36352852690621884</v>
      </c>
      <c r="AD162" s="37" cm="1">
        <f t="array" ref="AD162:AE162">LINEST(G148:G162,D148:D162)</f>
        <v>-1.7869904938384713E-2</v>
      </c>
      <c r="AE162" s="37">
        <v>0.36368989930372131</v>
      </c>
      <c r="AF162" s="37" cm="1">
        <f t="array" ref="AF162:AG162">LINEST(G143:G162,D143:D162)</f>
        <v>4.70620125943505E-2</v>
      </c>
      <c r="AG162" s="37">
        <v>0.36388077429440746</v>
      </c>
      <c r="AH162" s="37" cm="1">
        <f t="array" ref="AH162:AI162">LINEST(G138:G162,D138:D162)</f>
        <v>8.327795169538757E-2</v>
      </c>
      <c r="AI162" s="37">
        <v>0.36426900270919638</v>
      </c>
      <c r="AJ162" s="37" cm="1">
        <f t="array" ref="AJ162:AK162">LINEST(G133:G162,D133:D162)</f>
        <v>8.1167355440254496E-2</v>
      </c>
      <c r="AK162" s="37">
        <v>0.36424454217675989</v>
      </c>
      <c r="AL162" s="39" t="s">
        <v>21</v>
      </c>
    </row>
    <row r="163" spans="1:39" x14ac:dyDescent="0.25">
      <c r="A163" s="61">
        <v>502</v>
      </c>
      <c r="B163" s="14">
        <f t="shared" si="2"/>
        <v>157</v>
      </c>
      <c r="C163" s="15">
        <v>43981</v>
      </c>
      <c r="D163" s="16">
        <v>1.2083333333333333E-2</v>
      </c>
      <c r="E163" s="36">
        <v>20.05</v>
      </c>
      <c r="F163" s="36">
        <v>-1.5</v>
      </c>
      <c r="G163" s="50">
        <v>0.35</v>
      </c>
      <c r="H163" s="56" cm="1">
        <f t="array" ref="H163:I163">LINEST(E154:E163,D154:D163)</f>
        <v>0.27196535748015188</v>
      </c>
      <c r="I163" s="57">
        <v>20.0582173144414</v>
      </c>
      <c r="J163" s="56" cm="1">
        <f t="array" ref="J163:K163">LINEST(E149:E163,D149:D163)</f>
        <v>0.21565899814419481</v>
      </c>
      <c r="K163" s="57">
        <v>20.058561537640212</v>
      </c>
      <c r="L163" s="56" cm="1">
        <f t="array" ref="L163:M163">LINEST(E144:E163,D144:D163)</f>
        <v>0.20754451849608302</v>
      </c>
      <c r="M163" s="57">
        <v>20.058582441022303</v>
      </c>
      <c r="N163" s="56" cm="1">
        <f t="array" ref="N163:O163">LINEST(E139:E163,D139:D163)</f>
        <v>0.34913016599409058</v>
      </c>
      <c r="O163" s="57">
        <v>20.060559459840633</v>
      </c>
      <c r="P163" s="56" cm="1">
        <f t="array" ref="P163:Q163">LINEST(E134:E163,D134:D163)</f>
        <v>0.26707269574667319</v>
      </c>
      <c r="Q163" s="57">
        <v>20.058869362365368</v>
      </c>
      <c r="R163" s="56" cm="1">
        <f t="array" ref="R163:S163">LINEST(F154:F163,D154:D163)</f>
        <v>1.5045287044822699</v>
      </c>
      <c r="S163" s="57">
        <v>0.25977245346162703</v>
      </c>
      <c r="T163" s="56" cm="1">
        <f t="array" ref="T163:U163">LINEST(F149:F163,D149:D163)</f>
        <v>0.1343703006591892</v>
      </c>
      <c r="U163" s="56">
        <v>0.26793523861115986</v>
      </c>
      <c r="V163" s="56" cm="1">
        <f t="array" ref="V163:W163">LINEST(F144:F163,D144:D163)</f>
        <v>-3.1443605018846243E-2</v>
      </c>
      <c r="W163" s="56">
        <v>0.26825884525961807</v>
      </c>
      <c r="X163" s="56" cm="1">
        <f t="array" ref="X163:Y163">LINEST(F139:F163,D139:D163)</f>
        <v>0.14509762331184742</v>
      </c>
      <c r="Y163" s="56">
        <v>0.26980362665114005</v>
      </c>
      <c r="Z163" s="56" cm="1">
        <f t="array" ref="Z163:AA163">LINEST(F134:F163,D134:D163)</f>
        <v>0.13790352161229677</v>
      </c>
      <c r="AA163" s="57">
        <v>0.2692462082916155</v>
      </c>
      <c r="AB163" s="37" cm="1">
        <f t="array" ref="AB163:AC163">LINEST(G154:G163,D154:D163)</f>
        <v>5.9864786996113306E-2</v>
      </c>
      <c r="AC163" s="37">
        <v>0.36166437933085926</v>
      </c>
      <c r="AD163" s="37" cm="1">
        <f t="array" ref="AD163:AE163">LINEST(G149:G163,D149:D163)</f>
        <v>-2.3731861050932879E-2</v>
      </c>
      <c r="AE163" s="37">
        <v>0.3622153347781274</v>
      </c>
      <c r="AF163" s="37" cm="1">
        <f t="array" ref="AF163:AG163">LINEST(G144:G163,D144:D163)</f>
        <v>3.4219269908402641E-2</v>
      </c>
      <c r="AG163" s="37">
        <v>0.36221764079238838</v>
      </c>
      <c r="AH163" s="37" cm="1">
        <f t="array" ref="AH163:AI163">LINEST(G139:G163,D139:D163)</f>
        <v>8.4108223111380914E-2</v>
      </c>
      <c r="AI163" s="37">
        <v>0.36255685625518502</v>
      </c>
      <c r="AJ163" s="37" cm="1">
        <f t="array" ref="AJ163:AK163">LINEST(G134:G163,D134:D163)</f>
        <v>8.0714777245550373E-2</v>
      </c>
      <c r="AK163" s="37">
        <v>0.36248384557287144</v>
      </c>
      <c r="AL163" s="84" t="s">
        <v>84</v>
      </c>
    </row>
    <row r="164" spans="1:39" x14ac:dyDescent="0.25">
      <c r="A164" s="61">
        <v>502</v>
      </c>
      <c r="B164" s="14">
        <f t="shared" si="2"/>
        <v>158</v>
      </c>
      <c r="C164" s="15">
        <v>43981</v>
      </c>
      <c r="D164" s="16">
        <v>1.3472222222222221E-2</v>
      </c>
      <c r="E164" s="36">
        <v>19.649999999999999</v>
      </c>
      <c r="F164" s="36">
        <v>-1.5</v>
      </c>
      <c r="G164" s="50">
        <v>0.2</v>
      </c>
      <c r="H164" s="56" cm="1">
        <f t="array" ref="H164:I164">LINEST(E155:E164,D155:D164)</f>
        <v>-15.490909090909149</v>
      </c>
      <c r="I164" s="57">
        <v>20.130878787878789</v>
      </c>
      <c r="J164" s="56" cm="1">
        <f t="array" ref="J164:K164">LINEST(E150:E164,D150:D164)</f>
        <v>0.25898569471785537</v>
      </c>
      <c r="K164" s="57">
        <v>20.017367904578723</v>
      </c>
      <c r="L164" s="56" cm="1">
        <f t="array" ref="L164:M164">LINEST(E145:E164,D145:D164)</f>
        <v>0.2480474501985295</v>
      </c>
      <c r="M164" s="57">
        <v>20.017408808291016</v>
      </c>
      <c r="N164" s="56" cm="1">
        <f t="array" ref="N164:O164">LINEST(E140:E164,D140:D164)</f>
        <v>0.1999205980287681</v>
      </c>
      <c r="O164" s="57">
        <v>20.017087664763924</v>
      </c>
      <c r="P164" s="56" cm="1">
        <f t="array" ref="P164:Q164">LINEST(E135:E164,D135:D164)</f>
        <v>0.32236329714131717</v>
      </c>
      <c r="Q164" s="57">
        <v>20.017909377924511</v>
      </c>
      <c r="R164" s="56" cm="1">
        <f t="array" ref="R164:S164">LINEST(F155:F164,D155:D164)</f>
        <v>-45.599999999999987</v>
      </c>
      <c r="S164" s="57">
        <v>0.42233333333333323</v>
      </c>
      <c r="T164" s="56" cm="1">
        <f t="array" ref="T164:U164">LINEST(F150:F164,D150:D164)</f>
        <v>0.37433816949079962</v>
      </c>
      <c r="U164" s="56">
        <v>9.0484952906710381E-2</v>
      </c>
      <c r="V164" s="56" cm="1">
        <f t="array" ref="V164:W164">LINEST(F145:F164,D145:D164)</f>
        <v>0.1033453928096451</v>
      </c>
      <c r="W164" s="56">
        <v>9.1299194605234973E-2</v>
      </c>
      <c r="X164" s="56" cm="1">
        <f t="array" ref="X164:Y164">LINEST(F140:F164,D140:D164)</f>
        <v>0.28799617658537635</v>
      </c>
      <c r="Y164" s="56">
        <v>9.2124281808536962E-2</v>
      </c>
      <c r="Z164" s="56" cm="1">
        <f t="array" ref="Z164:AA164">LINEST(F135:F164,D135:D164)</f>
        <v>0.34594646868705098</v>
      </c>
      <c r="AA164" s="57">
        <v>9.2678000006582467E-2</v>
      </c>
      <c r="AB164" s="37" cm="1">
        <f t="array" ref="AB164:AC164">LINEST(G155:G164,D155:D164)</f>
        <v>3.0545454545454565</v>
      </c>
      <c r="AC164" s="37">
        <v>0.32393939393939397</v>
      </c>
      <c r="AD164" s="37" cm="1">
        <f t="array" ref="AD164:AE164">LINEST(G150:G164,D150:D164)</f>
        <v>-1.3976571983402472E-2</v>
      </c>
      <c r="AE164" s="37">
        <v>0.34604454888411201</v>
      </c>
      <c r="AF164" s="37" cm="1">
        <f t="array" ref="AF164:AG164">LINEST(G145:G164,D145:D164)</f>
        <v>3.2131894212803887E-2</v>
      </c>
      <c r="AG164" s="37">
        <v>0.34592531331588966</v>
      </c>
      <c r="AH164" s="37" cm="1">
        <f t="array" ref="AH164:AI164">LINEST(G140:G164,D140:D164)</f>
        <v>9.6954349462272105E-2</v>
      </c>
      <c r="AI164" s="37">
        <v>0.34613777889973468</v>
      </c>
      <c r="AJ164" s="37" cm="1">
        <f t="array" ref="AJ164:AK164">LINEST(G135:G164,D135:D164)</f>
        <v>9.7789130142892186E-2</v>
      </c>
      <c r="AK164" s="37">
        <v>0.34612659531811518</v>
      </c>
      <c r="AL164" s="84"/>
    </row>
    <row r="165" spans="1:39" x14ac:dyDescent="0.25">
      <c r="A165" s="61">
        <v>502</v>
      </c>
      <c r="B165" s="14">
        <f t="shared" si="2"/>
        <v>159</v>
      </c>
      <c r="C165" s="15">
        <v>43981</v>
      </c>
      <c r="D165" s="16">
        <v>1.486111111111111E-2</v>
      </c>
      <c r="E165" s="36">
        <v>19.989999999999998</v>
      </c>
      <c r="F165" s="36">
        <v>-1.5</v>
      </c>
      <c r="G165" s="50">
        <v>7.0000000000000007E-2</v>
      </c>
      <c r="H165" s="56" cm="1">
        <f t="array" ref="H165:I165">LINEST(E156:E165,D156:D165)</f>
        <v>-2.1818181818182554</v>
      </c>
      <c r="I165" s="57">
        <v>20.004787878787884</v>
      </c>
      <c r="J165" s="56" cm="1">
        <f t="array" ref="J165:K165">LINEST(E151:E165,D151:D165)</f>
        <v>0.26047146264955473</v>
      </c>
      <c r="K165" s="57">
        <v>20.014536546645768</v>
      </c>
      <c r="L165" s="56" cm="1">
        <f t="array" ref="L165:M165">LINEST(E146:E165,D146:D165)</f>
        <v>0.25000699632087436</v>
      </c>
      <c r="M165" s="57">
        <v>20.014581475448178</v>
      </c>
      <c r="N165" s="56" cm="1">
        <f t="array" ref="N165:O165">LINEST(E141:E165,D141:D165)</f>
        <v>0.22557976513952105</v>
      </c>
      <c r="O165" s="57">
        <v>20.014484090411102</v>
      </c>
      <c r="P165" s="56" cm="1">
        <f t="array" ref="P165:Q165">LINEST(E136:E165,D136:D165)</f>
        <v>0.33939769434833195</v>
      </c>
      <c r="Q165" s="57">
        <v>20.015175213724017</v>
      </c>
      <c r="R165" s="56" cm="1">
        <f t="array" ref="R165:S165">LINEST(F156:F165,D156:D165)</f>
        <v>-127.98545454545456</v>
      </c>
      <c r="S165" s="57">
        <v>1.0770969696969699</v>
      </c>
      <c r="T165" s="56" cm="1">
        <f t="array" ref="T165:U165">LINEST(F151:F165,D151:D165)</f>
        <v>0.4423203992666096</v>
      </c>
      <c r="U165" s="56">
        <v>-5.4223776669798524E-2</v>
      </c>
      <c r="V165" s="56" cm="1">
        <f t="array" ref="V165:W165">LINEST(F146:F165,D146:D165)</f>
        <v>0.2604848450329923</v>
      </c>
      <c r="W165" s="56">
        <v>-5.3650964981333663E-2</v>
      </c>
      <c r="X165" s="56" cm="1">
        <f t="array" ref="X165:Y165">LINEST(F141:F165,D141:D165)</f>
        <v>0.3929809702232831</v>
      </c>
      <c r="Y165" s="56">
        <v>-5.3357247252143275E-2</v>
      </c>
      <c r="Z165" s="56" cm="1">
        <f t="array" ref="Z165:AA165">LINEST(F136:F165,D136:D165)</f>
        <v>0.47707253646482095</v>
      </c>
      <c r="AA165" s="57">
        <v>-5.2957893203556511E-2</v>
      </c>
      <c r="AB165" s="37" cm="1">
        <f t="array" ref="AB165:AC165">LINEST(G156:G165,D156:D165)</f>
        <v>-7.1127272727272715</v>
      </c>
      <c r="AC165" s="37">
        <v>0.37824848484848489</v>
      </c>
      <c r="AD165" s="37" cm="1">
        <f t="array" ref="AD165:AE165">LINEST(G151:G165,D151:D165)</f>
        <v>-6.362518886442136E-3</v>
      </c>
      <c r="AE165" s="37">
        <v>0.32106268167659152</v>
      </c>
      <c r="AF165" s="37" cm="1">
        <f t="array" ref="AF165:AG165">LINEST(G146:G165,D146:D165)</f>
        <v>3.9154519282982393E-2</v>
      </c>
      <c r="AG165" s="37">
        <v>0.3208154127203075</v>
      </c>
      <c r="AH165" s="37" cm="1">
        <f t="array" ref="AH165:AI165">LINEST(G141:G165,D141:D165)</f>
        <v>0.1152974778793534</v>
      </c>
      <c r="AI165" s="37">
        <v>0.32084233568775644</v>
      </c>
      <c r="AJ165" s="37" cm="1">
        <f t="array" ref="AJ165:AK165">LINEST(G136:G165,D136:D165)</f>
        <v>0.12230083274436936</v>
      </c>
      <c r="AK165" s="37">
        <v>0.32085584570779652</v>
      </c>
      <c r="AL165" s="84"/>
    </row>
    <row r="166" spans="1:39" x14ac:dyDescent="0.25">
      <c r="A166" s="61">
        <v>502</v>
      </c>
      <c r="B166" s="14">
        <f t="shared" si="2"/>
        <v>160</v>
      </c>
      <c r="C166" s="15">
        <v>43981</v>
      </c>
      <c r="D166" s="16">
        <v>1.6249999999999997E-2</v>
      </c>
      <c r="E166" s="36">
        <v>19.97</v>
      </c>
      <c r="F166" s="36">
        <v>-1.5</v>
      </c>
      <c r="G166" s="50">
        <v>-0.05</v>
      </c>
      <c r="H166" s="56" cm="1">
        <f t="array" ref="H166:I166">LINEST(E157:E166,D157:D166)</f>
        <v>-6.938181818181973</v>
      </c>
      <c r="I166" s="57">
        <v>20.062381818181823</v>
      </c>
      <c r="J166" s="56" cm="1">
        <f t="array" ref="J166:K166">LINEST(E152:E166,D152:D166)</f>
        <v>0.26905476809247869</v>
      </c>
      <c r="K166" s="57">
        <v>20.010433339457308</v>
      </c>
      <c r="L166" s="56" cm="1">
        <f t="array" ref="L166:M166">LINEST(E147:E166,D147:D166)</f>
        <v>0.25801394338361061</v>
      </c>
      <c r="M166" s="57">
        <v>20.010507241217436</v>
      </c>
      <c r="N166" s="56" cm="1">
        <f t="array" ref="N166:O166">LINEST(E142:E166,D142:D166)</f>
        <v>0.25305202242981156</v>
      </c>
      <c r="O166" s="57">
        <v>20.010519909677459</v>
      </c>
      <c r="P166" s="56" cm="1">
        <f t="array" ref="P166:Q166">LINEST(E137:E166,D137:D166)</f>
        <v>0.36042590988417522</v>
      </c>
      <c r="Q166" s="57">
        <v>20.011148613343416</v>
      </c>
      <c r="R166" s="56" cm="1">
        <f t="array" ref="R166:S166">LINEST(F157:F166,D157:D166)</f>
        <v>-200.07272727272735</v>
      </c>
      <c r="S166" s="57">
        <v>1.8577272727272731</v>
      </c>
      <c r="T166" s="56" cm="1">
        <f t="array" ref="T166:U166">LINEST(F152:F166,D152:D166)</f>
        <v>0.9479432001306608</v>
      </c>
      <c r="U166" s="56">
        <v>-0.17844107493624412</v>
      </c>
      <c r="V166" s="56" cm="1">
        <f t="array" ref="V166:W166">LINEST(F147:F166,D147:D166)</f>
        <v>0.55047562522372984</v>
      </c>
      <c r="W166" s="56">
        <v>-0.17536971044607724</v>
      </c>
      <c r="X166" s="56" cm="1">
        <f t="array" ref="X166:Y166">LINEST(F142:F166,D142:D166)</f>
        <v>0.46700342977262121</v>
      </c>
      <c r="Y166" s="56">
        <v>-0.17464438805056748</v>
      </c>
      <c r="Z166" s="56" cm="1">
        <f t="array" ref="Z166:AA166">LINEST(F137:F166,D137:D166)</f>
        <v>0.6519882565848758</v>
      </c>
      <c r="AA166" s="57">
        <v>-0.17365291636798019</v>
      </c>
      <c r="AB166" s="37" cm="1">
        <f t="array" ref="AB166:AC166">LINEST(G157:G166,D157:D166)</f>
        <v>-21.861818181818183</v>
      </c>
      <c r="AC166" s="37">
        <v>0.49961818181818185</v>
      </c>
      <c r="AD166" s="37" cm="1">
        <f t="array" ref="AD166:AE166">LINEST(G152:G166,D152:D166)</f>
        <v>2.8610760103974096E-2</v>
      </c>
      <c r="AE166" s="37">
        <v>0.29009114952380449</v>
      </c>
      <c r="AF166" s="37" cm="1">
        <f t="array" ref="AF166:AG166">LINEST(G147:G166,D147:D166)</f>
        <v>6.3603786440098328E-2</v>
      </c>
      <c r="AG166" s="37">
        <v>0.28986443498292352</v>
      </c>
      <c r="AH166" s="37" cm="1">
        <f t="array" ref="AH166:AI166">LINEST(G142:G166,D142:D166)</f>
        <v>0.13600518676722381</v>
      </c>
      <c r="AI166" s="37">
        <v>0.28973479025859838</v>
      </c>
      <c r="AJ166" s="37" cm="1">
        <f t="array" ref="AJ166:AK166">LINEST(G137:G166,D137:D166)</f>
        <v>0.15690606207502591</v>
      </c>
      <c r="AK166" s="37">
        <v>0.28980097595515175</v>
      </c>
      <c r="AL166" s="84"/>
    </row>
    <row r="167" spans="1:39" x14ac:dyDescent="0.25">
      <c r="A167" s="61">
        <v>502</v>
      </c>
      <c r="B167" s="14">
        <f t="shared" si="2"/>
        <v>161</v>
      </c>
      <c r="C167" s="15">
        <v>43981</v>
      </c>
      <c r="D167" s="16">
        <v>1.7638888888888888E-2</v>
      </c>
      <c r="E167" s="36">
        <v>19.95</v>
      </c>
      <c r="F167" s="36">
        <v>-1.5</v>
      </c>
      <c r="G167" s="50">
        <v>-0.17</v>
      </c>
      <c r="H167" s="56" cm="1">
        <f t="array" ref="H167:I167">LINEST(E158:E167,D158:D167)</f>
        <v>-11.170909090909182</v>
      </c>
      <c r="I167" s="57">
        <v>20.121224242424244</v>
      </c>
      <c r="J167" s="56" cm="1">
        <f t="array" ref="J167:K167">LINEST(E153:E167,D153:D167)</f>
        <v>0.29326523240095975</v>
      </c>
      <c r="K167" s="57">
        <v>20.005243405159835</v>
      </c>
      <c r="L167" s="56" cm="1">
        <f t="array" ref="L167:M167">LINEST(E148:E167,D148:D167)</f>
        <v>0.26524957676039579</v>
      </c>
      <c r="M167" s="57">
        <v>20.005484835632423</v>
      </c>
      <c r="N167" s="56" cm="1">
        <f t="array" ref="N167:O167">LINEST(E143:E167,D143:D167)</f>
        <v>0.25965191512998953</v>
      </c>
      <c r="O167" s="57">
        <v>20.00551608388631</v>
      </c>
      <c r="P167" s="56" cm="1">
        <f t="array" ref="P167:Q167">LINEST(E138:E167,D138:D167)</f>
        <v>0.38214143125864602</v>
      </c>
      <c r="Q167" s="57">
        <v>20.006077715527081</v>
      </c>
      <c r="R167" s="56" cm="1">
        <f t="array" ref="R167:S167">LINEST(F158:F167,D158:D167)</f>
        <v>-261.86181818181819</v>
      </c>
      <c r="S167" s="57">
        <v>2.7213151515151512</v>
      </c>
      <c r="T167" s="56" cm="1">
        <f t="array" ref="T167:U167">LINEST(F153:F167,D153:D167)</f>
        <v>1.7289541737853498</v>
      </c>
      <c r="U167" s="56">
        <v>-0.28754544224135697</v>
      </c>
      <c r="V167" s="56" cm="1">
        <f t="array" ref="V167:W167">LINEST(F148:F167,D148:D167)</f>
        <v>0.64335622155965888</v>
      </c>
      <c r="W167" s="56">
        <v>-0.27803143234219269</v>
      </c>
      <c r="X167" s="56" cm="1">
        <f t="array" ref="X167:Y167">LINEST(F143:F167,D143:D167)</f>
        <v>0.51409975146806541</v>
      </c>
      <c r="Y167" s="56">
        <v>-0.27726484379775718</v>
      </c>
      <c r="Z167" s="56" cm="1">
        <f t="array" ref="Z167:AA167">LINEST(F138:F167,D138:D167)</f>
        <v>0.72708510698110096</v>
      </c>
      <c r="AA167" s="57">
        <v>-0.27685907916426877</v>
      </c>
      <c r="AB167" s="37" cm="1">
        <f t="array" ref="AB167:AC167">LINEST(G158:G167,D158:D167)</f>
        <v>-40.581818181818186</v>
      </c>
      <c r="AC167" s="37">
        <v>0.70018181818181824</v>
      </c>
      <c r="AD167" s="37" cm="1">
        <f t="array" ref="AD167:AE167">LINEST(G153:G167,D153:D167)</f>
        <v>0.10680026620531716</v>
      </c>
      <c r="AE167" s="37">
        <v>0.25424796054705795</v>
      </c>
      <c r="AF167" s="37" cm="1">
        <f t="array" ref="AF167:AG167">LINEST(G148:G167,D148:D167)</f>
        <v>9.048186561365118E-2</v>
      </c>
      <c r="AG167" s="37">
        <v>0.25442957194560772</v>
      </c>
      <c r="AH167" s="37" cm="1">
        <f t="array" ref="AH167:AI167">LINEST(G143:G167,D143:D167)</f>
        <v>0.15683009091827058</v>
      </c>
      <c r="AI167" s="37">
        <v>0.25416995393800906</v>
      </c>
      <c r="AJ167" s="37" cm="1">
        <f t="array" ref="AJ167:AK167">LINEST(G138:G167,D138:D167)</f>
        <v>0.19403124895901036</v>
      </c>
      <c r="AK167" s="37">
        <v>0.25420197629378566</v>
      </c>
      <c r="AL167" s="84"/>
    </row>
    <row r="168" spans="1:39" x14ac:dyDescent="0.25">
      <c r="A168" s="61">
        <v>502</v>
      </c>
      <c r="B168" s="14">
        <f t="shared" si="2"/>
        <v>162</v>
      </c>
      <c r="C168" s="15">
        <v>43981</v>
      </c>
      <c r="D168" s="16">
        <v>1.9027777777777779E-2</v>
      </c>
      <c r="E168" s="36">
        <v>19.920000000000002</v>
      </c>
      <c r="F168" s="36">
        <v>-0.87</v>
      </c>
      <c r="G168" s="49">
        <v>-0.22</v>
      </c>
      <c r="H168" s="56" cm="1">
        <f t="array" ref="H168:I168">LINEST(E159:E168,D159:D168)</f>
        <v>-15.709090909090834</v>
      </c>
      <c r="I168" s="57">
        <v>20.190727272727269</v>
      </c>
      <c r="J168" s="56" cm="1">
        <f t="array" ref="J168:K168">LINEST(E154:E168,D154:D168)</f>
        <v>0.32713565465425248</v>
      </c>
      <c r="K168" s="57">
        <v>19.998480363100612</v>
      </c>
      <c r="L168" s="56" cm="1">
        <f t="array" ref="L168:M168">LINEST(E149:E168,D149:D168)</f>
        <v>0.27469582746468363</v>
      </c>
      <c r="M168" s="57">
        <v>19.998989813238673</v>
      </c>
      <c r="N168" s="56" cm="1">
        <f t="array" ref="N168:O168">LINEST(E144:E168,D144:D168)</f>
        <v>0.26709968607085555</v>
      </c>
      <c r="O168" s="57">
        <v>19.999046846322148</v>
      </c>
      <c r="P168" s="56" cm="1">
        <f t="array" ref="P168:Q168">LINEST(E139:E168,D139:D168)</f>
        <v>0.41056544444059684</v>
      </c>
      <c r="Q168" s="57">
        <v>19.999490481146765</v>
      </c>
      <c r="R168" s="56" cm="1">
        <f t="array" ref="R168:S168">LINEST(F159:F168,D159:D168)</f>
        <v>-288.6109090909091</v>
      </c>
      <c r="S168" s="57">
        <v>3.3718060606060605</v>
      </c>
      <c r="T168" s="56" cm="1">
        <f t="array" ref="T168:U168">LINEST(F154:F168,D154:D168)</f>
        <v>2.0479163480018312</v>
      </c>
      <c r="U168" s="56">
        <v>-0.33424984236721633</v>
      </c>
      <c r="V168" s="56" cm="1">
        <f t="array" ref="V168:W168">LINEST(F149:F168,D149:D168)</f>
        <v>0.7176128026423052</v>
      </c>
      <c r="W168" s="56">
        <v>-0.32146742376365139</v>
      </c>
      <c r="X168" s="56" cm="1">
        <f t="array" ref="X168:Y168">LINEST(F144:F168,D144:D168)</f>
        <v>0.55686544904596669</v>
      </c>
      <c r="Y168" s="56">
        <v>-0.32033278289050077</v>
      </c>
      <c r="Z168" s="56" cm="1">
        <f t="array" ref="Z168:AA168">LINEST(F139:F168,D139:D168)</f>
        <v>0.73849558894619982</v>
      </c>
      <c r="AA168" s="57">
        <v>-0.32037253816884192</v>
      </c>
      <c r="AB168" s="37" cm="1">
        <f t="array" ref="AB168:AC168">LINEST(G159:G168,D159:D168)</f>
        <v>-59.912727272727267</v>
      </c>
      <c r="AC168" s="37">
        <v>0.96055151515151505</v>
      </c>
      <c r="AD168" s="37" cm="1">
        <f t="array" ref="AD168:AE168">LINEST(G154:G168,D154:D168)</f>
        <v>0.18774821716290771</v>
      </c>
      <c r="AE168" s="37">
        <v>0.21973649559132508</v>
      </c>
      <c r="AF168" s="37" cm="1">
        <f t="array" ref="AF168:AG168">LINEST(G149:G168,D149:D168)</f>
        <v>0.11621651924688725</v>
      </c>
      <c r="AG168" s="37">
        <v>0.22045751805990771</v>
      </c>
      <c r="AH168" s="37" cm="1">
        <f t="array" ref="AH168:AI168">LINEST(G144:G168,D144:D168)</f>
        <v>0.17607699472808294</v>
      </c>
      <c r="AI168" s="37">
        <v>0.22011128165937904</v>
      </c>
      <c r="AJ168" s="37" cm="1">
        <f t="array" ref="AJ168:AK168">LINEST(G139:G168,D139:D168)</f>
        <v>0.22728051215493869</v>
      </c>
      <c r="AK168" s="37">
        <v>0.22003766371921818</v>
      </c>
      <c r="AL168" s="39" t="s">
        <v>23</v>
      </c>
    </row>
    <row r="169" spans="1:39" x14ac:dyDescent="0.25">
      <c r="A169" s="61">
        <v>502</v>
      </c>
      <c r="B169" s="14">
        <f t="shared" si="2"/>
        <v>163</v>
      </c>
      <c r="C169" s="15">
        <v>43981</v>
      </c>
      <c r="D169" s="16">
        <v>2.0416666666666666E-2</v>
      </c>
      <c r="E169" s="36">
        <v>19.93</v>
      </c>
      <c r="F169" s="36">
        <v>0.42</v>
      </c>
      <c r="G169" s="36">
        <v>-0.17</v>
      </c>
      <c r="H169" s="56" cm="1">
        <f t="array" ref="H169:I169">LINEST(E160:E169,D160:D169)</f>
        <v>-15.665454545454484</v>
      </c>
      <c r="I169" s="56">
        <v>20.200927272727274</v>
      </c>
      <c r="J169" s="56" cm="1">
        <f t="array" ref="J169:K169">LINEST(E155:E169,D155:D169)</f>
        <v>-9.3085714285714403</v>
      </c>
      <c r="K169" s="56">
        <v>20.09621666666667</v>
      </c>
      <c r="L169" s="56" cm="1">
        <f t="array" ref="L169:M169">LINEST(E150:E169,D150:D169)</f>
        <v>0.28189077590676925</v>
      </c>
      <c r="M169" s="56">
        <v>19.993992243853491</v>
      </c>
      <c r="N169" s="56" cm="1">
        <f t="array" ref="N169:O169">LINEST(E145:E169,D145:D169)</f>
        <v>0.27125743827637094</v>
      </c>
      <c r="O169" s="56">
        <v>19.994081065117392</v>
      </c>
      <c r="P169" s="56" cm="1">
        <f t="array" ref="P169:Q169">LINEST(E140:E169,D140:D169)</f>
        <v>0.22291069299683611</v>
      </c>
      <c r="Q169" s="56">
        <v>19.994150690523735</v>
      </c>
      <c r="R169" s="56" cm="1">
        <f t="array" ref="R169:S169">LINEST(F160:F169,D160:D169)</f>
        <v>-132.21818181818171</v>
      </c>
      <c r="S169" s="56">
        <v>1.3650909090909074</v>
      </c>
      <c r="T169" s="56" cm="1">
        <f t="array" ref="T169:U169">LINEST(F155:F169,D155:D169)</f>
        <v>-71.562857142857098</v>
      </c>
      <c r="U169" s="56">
        <v>0.49732499999999957</v>
      </c>
      <c r="V169" s="56" cm="1">
        <f t="array" ref="V169:W169">LINEST(F150:F169,D150:D169)</f>
        <v>0.73310293534383075</v>
      </c>
      <c r="W169" s="56">
        <v>-0.27356824489985487</v>
      </c>
      <c r="X169" s="56" cm="1">
        <f t="array" ref="X169:Y169">LINEST(F145:F169,D145:D169)</f>
        <v>0.46530516501200109</v>
      </c>
      <c r="Y169" s="56">
        <v>-0.27146480618301672</v>
      </c>
      <c r="Z169" s="56" cm="1">
        <f t="array" ref="Z169:AA169">LINEST(F140:F169,D140:D169)</f>
        <v>0.65367037310725118</v>
      </c>
      <c r="AA169" s="56">
        <v>-0.27201297884260739</v>
      </c>
      <c r="AB169" s="37" cm="1">
        <f t="array" ref="AB169:AC169">LINEST(G160:G169,D160:D169)</f>
        <v>-65.367272727272734</v>
      </c>
      <c r="AC169" s="37">
        <v>1.0660363636363637</v>
      </c>
      <c r="AD169" s="37" cm="1">
        <f t="array" ref="AD169:AE169">LINEST(G155:G169,D155:D169)</f>
        <v>-29.957142857142852</v>
      </c>
      <c r="AE169" s="37">
        <v>0.51504166666666662</v>
      </c>
      <c r="AF169" s="37" cm="1">
        <f t="array" ref="AF169:AG169">LINEST(G150:G169,D150:D169)</f>
        <v>0.13483028091100402</v>
      </c>
      <c r="AG169" s="37">
        <v>0.19431904565513974</v>
      </c>
      <c r="AH169" s="37" cm="1">
        <f t="array" ref="AH169:AI169">LINEST(G145:G169,D145:D169)</f>
        <v>0.18340952030733473</v>
      </c>
      <c r="AI169" s="37">
        <v>0.19394925529406312</v>
      </c>
      <c r="AJ169" s="37" cm="1">
        <f t="array" ref="AJ169:AK169">LINEST(G140:G169,D140:D169)</f>
        <v>0.24978847366735812</v>
      </c>
      <c r="AK169" s="37">
        <v>0.19370448968100623</v>
      </c>
      <c r="AL169" s="41" t="s">
        <v>83</v>
      </c>
      <c r="AM169" s="18">
        <f>D168-D162</f>
        <v>8.333333333333335E-3</v>
      </c>
    </row>
    <row r="170" spans="1:39" x14ac:dyDescent="0.25">
      <c r="A170" s="61">
        <v>502</v>
      </c>
      <c r="B170" s="14">
        <f t="shared" si="2"/>
        <v>164</v>
      </c>
      <c r="C170" s="15">
        <v>43981</v>
      </c>
      <c r="D170" s="16">
        <v>2.1805555555555554E-2</v>
      </c>
      <c r="E170" s="36">
        <v>19.96</v>
      </c>
      <c r="F170" s="36">
        <v>0.79</v>
      </c>
      <c r="G170" s="36">
        <v>-0.1</v>
      </c>
      <c r="H170" s="56" cm="1">
        <f t="array" ref="H170:I170">LINEST(E161:E170,D161:D170)</f>
        <v>-10.123636363636257</v>
      </c>
      <c r="I170" s="56">
        <v>20.12147878787879</v>
      </c>
      <c r="J170" s="56" cm="1">
        <f t="array" ref="J170:K170">LINEST(E156:E170,D156:D170)</f>
        <v>-3.3171428571428367</v>
      </c>
      <c r="K170" s="56">
        <v>20.01274880952381</v>
      </c>
      <c r="L170" s="56" cm="1">
        <f t="array" ref="L170:M170">LINEST(E151:E170,D151:D170)</f>
        <v>0.28283534007164157</v>
      </c>
      <c r="M170" s="56">
        <v>19.9914980601576</v>
      </c>
      <c r="N170" s="56" cm="1">
        <f t="array" ref="N170:O170">LINEST(E146:E170,D146:D170)</f>
        <v>0.27281281137667457</v>
      </c>
      <c r="O170" s="56">
        <v>19.991586569899315</v>
      </c>
      <c r="P170" s="56" cm="1">
        <f t="array" ref="P170:Q170">LINEST(E141:E170,D141:D170)</f>
        <v>0.24840638803553394</v>
      </c>
      <c r="Q170" s="56">
        <v>19.991664349971192</v>
      </c>
      <c r="R170" s="56" cm="1">
        <f t="array" ref="R170:S170">LINEST(F161:F170,D161:D170)</f>
        <v>38.661818181818205</v>
      </c>
      <c r="S170" s="56">
        <v>-1.2294060606060608</v>
      </c>
      <c r="T170" s="56" cm="1">
        <f t="array" ref="T170:U170">LINEST(F156:F170,D156:D170)</f>
        <v>-53.588571428571441</v>
      </c>
      <c r="U170" s="56">
        <v>0.45352857142857156</v>
      </c>
      <c r="V170" s="56" cm="1">
        <f t="array" ref="V170:W170">LINEST(F151:F170,D151:D170)</f>
        <v>0.59329573433570815</v>
      </c>
      <c r="W170" s="56">
        <v>-0.20726670898749933</v>
      </c>
      <c r="X170" s="56" cm="1">
        <f t="array" ref="X170:Y170">LINEST(F146:F170,D146:D170)</f>
        <v>0.41247017760048693</v>
      </c>
      <c r="Y170" s="56">
        <v>-0.20580718372310447</v>
      </c>
      <c r="Z170" s="56" cm="1">
        <f t="array" ref="Z170:AA170">LINEST(F141:F170,D141:D170)</f>
        <v>0.54677044382375806</v>
      </c>
      <c r="AA170" s="56">
        <v>-0.20640120462203815</v>
      </c>
      <c r="AB170" s="37" cm="1">
        <f t="array" ref="AB170:AC170">LINEST(G161:G170,D161:D170)</f>
        <v>-57.512727272727268</v>
      </c>
      <c r="AC170" s="37">
        <v>0.97464242424242398</v>
      </c>
      <c r="AD170" s="37" cm="1">
        <f t="array" ref="AD170:AE170">LINEST(G156:G170,D156:D170)</f>
        <v>-31.86000000000001</v>
      </c>
      <c r="AE170" s="37">
        <v>0.54897500000000021</v>
      </c>
      <c r="AF170" s="37" cm="1">
        <f t="array" ref="AF170:AG170">LINEST(G151:G170,D151:D170)</f>
        <v>0.13458887078554441</v>
      </c>
      <c r="AG170" s="37">
        <v>0.17592357767054986</v>
      </c>
      <c r="AH170" s="37" cm="1">
        <f t="array" ref="AH170:AI170">LINEST(G146:G170,D146:D170)</f>
        <v>0.18334967722223197</v>
      </c>
      <c r="AI170" s="37">
        <v>0.17545266653792624</v>
      </c>
      <c r="AJ170" s="37" cm="1">
        <f t="array" ref="AJ170:AK170">LINEST(G141:G170,D141:D170)</f>
        <v>0.26119184093364856</v>
      </c>
      <c r="AK170" s="37">
        <v>0.17500989858780802</v>
      </c>
      <c r="AL170" s="41" t="s">
        <v>25</v>
      </c>
      <c r="AM170" s="19">
        <f>ROUND(MINUTE(AM169)/2,0)</f>
        <v>6</v>
      </c>
    </row>
    <row r="171" spans="1:39" x14ac:dyDescent="0.25">
      <c r="A171" s="61">
        <v>502</v>
      </c>
      <c r="B171" s="14">
        <f t="shared" si="2"/>
        <v>165</v>
      </c>
      <c r="C171" s="15">
        <v>43981</v>
      </c>
      <c r="D171" s="16">
        <v>2.3194444444444445E-2</v>
      </c>
      <c r="E171" s="36">
        <v>19.98</v>
      </c>
      <c r="F171" s="36">
        <v>0.6</v>
      </c>
      <c r="G171" s="36">
        <v>-0.04</v>
      </c>
      <c r="H171" s="56" cm="1">
        <f t="array" ref="H171:I171">LINEST(E162:E171,D162:D171)</f>
        <v>-3.9272727272726571</v>
      </c>
      <c r="I171" s="56">
        <v>20.020545454545456</v>
      </c>
      <c r="J171" s="56" cm="1">
        <f t="array" ref="J171:K171">LINEST(E157:E171,D157:D171)</f>
        <v>-4.6799999999999917</v>
      </c>
      <c r="K171" s="56">
        <v>20.041050000000002</v>
      </c>
      <c r="L171" s="56" cm="1">
        <f t="array" ref="L171:M171">LINEST(E152:E171,D152:D171)</f>
        <v>0.28822116942505382</v>
      </c>
      <c r="M171" s="56">
        <v>19.990385113275966</v>
      </c>
      <c r="N171" s="56" cm="1">
        <f t="array" ref="N171:O171">LINEST(E147:E171,D147:D171)</f>
        <v>0.2777848001833107</v>
      </c>
      <c r="O171" s="56">
        <v>19.99049657532829</v>
      </c>
      <c r="P171" s="56" cm="1">
        <f t="array" ref="P171:Q171">LINEST(E142:E171,D142:D171)</f>
        <v>0.27300003735343914</v>
      </c>
      <c r="Q171" s="56">
        <v>19.990533852912524</v>
      </c>
      <c r="R171" s="56" cm="1">
        <f t="array" ref="R171:S171">LINEST(F162:F171,D162:D171)</f>
        <v>73.352727272727293</v>
      </c>
      <c r="S171" s="56">
        <v>-1.7199212121212124</v>
      </c>
      <c r="T171" s="56" cm="1">
        <f t="array" ref="T171:U171">LINEST(F157:F171,D157:D171)</f>
        <v>-41.88857142857141</v>
      </c>
      <c r="U171" s="56">
        <v>0.43166547619047579</v>
      </c>
      <c r="V171" s="56" cm="1">
        <f t="array" ref="V171:W171">LINEST(F152:F171,D152:D171)</f>
        <v>0.93796817941519162</v>
      </c>
      <c r="W171" s="56">
        <v>-0.16507328028945253</v>
      </c>
      <c r="X171" s="56" cm="1">
        <f t="array" ref="X171:Y171">LINEST(F147:F171,D147:D171)</f>
        <v>0.53683520118624173</v>
      </c>
      <c r="Y171" s="56">
        <v>-0.16048961699770681</v>
      </c>
      <c r="Z171" s="56" cm="1">
        <f t="array" ref="Z171:AA171">LINEST(F142:F171,D142:D171)</f>
        <v>0.45251712698480828</v>
      </c>
      <c r="AA171" s="56">
        <v>-0.1594711766791688</v>
      </c>
      <c r="AB171" s="37" cm="1">
        <f t="array" ref="AB171:AC171">LINEST(G162:G171,D162:D171)</f>
        <v>-47.34545454545453</v>
      </c>
      <c r="AC171" s="37">
        <v>0.8392424242424239</v>
      </c>
      <c r="AD171" s="37" cm="1">
        <f t="array" ref="AD171:AE171">LINEST(G157:G171,D157:D171)</f>
        <v>-32.528571428571425</v>
      </c>
      <c r="AE171" s="37">
        <v>0.57889880952380945</v>
      </c>
      <c r="AF171" s="37" cm="1">
        <f t="array" ref="AF171:AG171">LINEST(G152:G171,D152:D171)</f>
        <v>0.15000247483065102</v>
      </c>
      <c r="AG171" s="37">
        <v>0.16299986444805911</v>
      </c>
      <c r="AH171" s="37" cm="1">
        <f t="array" ref="AH171:AI171">LINEST(G147:G171,D147:D171)</f>
        <v>0.18931771575328243</v>
      </c>
      <c r="AI171" s="37">
        <v>0.16258320815784072</v>
      </c>
      <c r="AJ171" s="37" cm="1">
        <f t="array" ref="AJ171:AK171">LINEST(G142:G171,D142:D171)</f>
        <v>0.26342480933687157</v>
      </c>
      <c r="AK171" s="37">
        <v>0.16204566133695952</v>
      </c>
      <c r="AL171" s="41" t="s">
        <v>26</v>
      </c>
      <c r="AM171" s="20">
        <f>$E$168-$E$162</f>
        <v>-0.21999999999999886</v>
      </c>
    </row>
    <row r="172" spans="1:39" x14ac:dyDescent="0.25">
      <c r="A172" s="61">
        <v>502</v>
      </c>
      <c r="B172" s="14">
        <f t="shared" si="2"/>
        <v>166</v>
      </c>
      <c r="C172" s="15">
        <v>43981</v>
      </c>
      <c r="D172" s="16">
        <v>2.4583333333333332E-2</v>
      </c>
      <c r="E172" s="36">
        <v>19.98</v>
      </c>
      <c r="F172" s="36">
        <v>7.0000000000000007E-2</v>
      </c>
      <c r="G172" s="36">
        <v>-0.03</v>
      </c>
      <c r="H172" s="56" cm="1">
        <f t="array" ref="H172:I172">LINEST(E163:E172,D163:D172)</f>
        <v>6.0218181818183094</v>
      </c>
      <c r="I172" s="56">
        <v>19.827599999999997</v>
      </c>
      <c r="J172" s="56" cm="1">
        <f t="array" ref="J172:K172">LINEST(E158:E172,D158:D172)</f>
        <v>-5.4257142857142373</v>
      </c>
      <c r="K172" s="56">
        <v>20.061298809523809</v>
      </c>
      <c r="L172" s="56" cm="1">
        <f t="array" ref="L172:M172">LINEST(E153:E172,D153:D172)</f>
        <v>0.30813881504215068</v>
      </c>
      <c r="M172" s="56">
        <v>19.989177116411064</v>
      </c>
      <c r="N172" s="56" cm="1">
        <f t="array" ref="N172:O172">LINEST(E148:E172,D148:D172)</f>
        <v>0.28095188778272639</v>
      </c>
      <c r="O172" s="56">
        <v>19.98951017946812</v>
      </c>
      <c r="P172" s="56" cm="1">
        <f t="array" ref="P172:Q172">LINEST(E143:E172,D143:D172)</f>
        <v>0.27552960303828528</v>
      </c>
      <c r="Q172" s="56">
        <v>19.989564858371196</v>
      </c>
      <c r="R172" s="56" cm="1">
        <f t="array" ref="R172:S172">LINEST(F163:F172,D163:D172)</f>
        <v>203.65090909090904</v>
      </c>
      <c r="S172" s="56">
        <v>-4.3825999999999983</v>
      </c>
      <c r="T172" s="56" cm="1">
        <f t="array" ref="T172:U172">LINEST(F158:F172,D158:D172)</f>
        <v>-42.094285714285633</v>
      </c>
      <c r="U172" s="56">
        <v>0.51890119047618921</v>
      </c>
      <c r="V172" s="56" cm="1">
        <f t="array" ref="V172:W172">LINEST(F153:F172,D153:D172)</f>
        <v>1.6150016746254054</v>
      </c>
      <c r="W172" s="56">
        <v>-0.16189137287531763</v>
      </c>
      <c r="X172" s="56" cm="1">
        <f t="array" ref="X172:Y172">LINEST(F148:F172,D148:D172)</f>
        <v>0.51655606176394708</v>
      </c>
      <c r="Y172" s="56">
        <v>-0.14832342542526222</v>
      </c>
      <c r="Z172" s="56" cm="1">
        <f t="array" ref="Z172:AA172">LINEST(F143:F172,D143:D172)</f>
        <v>0.38481307915064739</v>
      </c>
      <c r="AA172" s="56">
        <v>-0.14696706380333985</v>
      </c>
      <c r="AB172" s="37" cm="1">
        <f t="array" ref="AB172:AC172">LINEST(G163:G172,D163:D172)</f>
        <v>-27.752727272727274</v>
      </c>
      <c r="AC172" s="37">
        <v>0.4927999999999999</v>
      </c>
      <c r="AD172" s="37" cm="1">
        <f t="array" ref="AD172:AE172">LINEST(G158:G172,D158:D172)</f>
        <v>-33.145714285714284</v>
      </c>
      <c r="AE172" s="37">
        <v>0.61391547619047615</v>
      </c>
      <c r="AF172" s="37" cm="1">
        <f t="array" ref="AF172:AG172">LINEST(G153:G172,D153:D172)</f>
        <v>0.20147356640225153</v>
      </c>
      <c r="AG172" s="37">
        <v>0.15155831648496962</v>
      </c>
      <c r="AH172" s="37" cm="1">
        <f t="array" ref="AH172:AI172">LINEST(G148:G172,D148:D172)</f>
        <v>0.19133271315846942</v>
      </c>
      <c r="AI172" s="37">
        <v>0.15171274306284255</v>
      </c>
      <c r="AJ172" s="37" cm="1">
        <f t="array" ref="AJ172:AK172">LINEST(G143:G172,D143:D172)</f>
        <v>0.25934690643630226</v>
      </c>
      <c r="AK172" s="37">
        <v>0.15110978518810675</v>
      </c>
      <c r="AL172" s="41" t="s">
        <v>27</v>
      </c>
      <c r="AM172" s="21">
        <f>$F$168-$F$162</f>
        <v>-2.66</v>
      </c>
    </row>
    <row r="173" spans="1:39" x14ac:dyDescent="0.25">
      <c r="A173" s="61">
        <v>502</v>
      </c>
      <c r="B173" s="14">
        <f t="shared" si="2"/>
        <v>167</v>
      </c>
      <c r="C173" s="15">
        <v>43981</v>
      </c>
      <c r="D173" s="16">
        <v>2.5972222222222219E-2</v>
      </c>
      <c r="E173" s="36">
        <v>19.97</v>
      </c>
      <c r="F173" s="36">
        <v>-0.26</v>
      </c>
      <c r="G173" s="36">
        <v>-0.05</v>
      </c>
      <c r="H173" s="56" cm="1">
        <f t="array" ref="H173:I173">LINEST(E164:E173,D164:D173)</f>
        <v>12.654545454545573</v>
      </c>
      <c r="I173" s="56">
        <v>19.680424242424241</v>
      </c>
      <c r="J173" s="56" cm="1">
        <f t="array" ref="J173:K173">LINEST(E159:E173,D159:D173)</f>
        <v>-6.0428571428570939</v>
      </c>
      <c r="K173" s="56">
        <v>20.079529761904762</v>
      </c>
      <c r="L173" s="56" cm="1">
        <f t="array" ref="L173:M173">LINEST(E154:E173,D154:D173)</f>
        <v>0.33628117034327282</v>
      </c>
      <c r="M173" s="56">
        <v>19.987389210024496</v>
      </c>
      <c r="N173" s="56" cm="1">
        <f t="array" ref="N173:O173">LINEST(E149:E173,D149:D173)</f>
        <v>0.2853437456935532</v>
      </c>
      <c r="O173" s="56">
        <v>19.988063011577083</v>
      </c>
      <c r="P173" s="56" cm="1">
        <f t="array" ref="P173:Q173">LINEST(E144:E173,D144:D173)</f>
        <v>0.27790165801485106</v>
      </c>
      <c r="Q173" s="56">
        <v>19.988149478422738</v>
      </c>
      <c r="R173" s="56" cm="1">
        <f t="array" ref="R173:S173">LINEST(F164:F173,D164:D173)</f>
        <v>178.08000000000004</v>
      </c>
      <c r="S173" s="56">
        <v>-4.0371333333333332</v>
      </c>
      <c r="T173" s="56" cm="1">
        <f t="array" ref="T173:U173">LINEST(F159:F173,D159:D173)</f>
        <v>-49.242857142857112</v>
      </c>
      <c r="U173" s="56">
        <v>0.69752976190476124</v>
      </c>
      <c r="V173" s="56" cm="1">
        <f t="array" ref="V173:W173">LINEST(F154:F173,D154:D173)</f>
        <v>1.9140555390864342</v>
      </c>
      <c r="W173" s="56">
        <v>-0.17315904561606332</v>
      </c>
      <c r="X173" s="56" cm="1">
        <f t="array" ref="X173:Y173">LINEST(F149:F173,D149:D173)</f>
        <v>0.55553250108477015</v>
      </c>
      <c r="Y173" s="56">
        <v>-0.15529579566626955</v>
      </c>
      <c r="Z173" s="56" cm="1">
        <f t="array" ref="Z173:AA173">LINEST(F144:F173,D144:D173)</f>
        <v>0.39135959398541409</v>
      </c>
      <c r="AA173" s="56">
        <v>-0.15344645456375894</v>
      </c>
      <c r="AB173" s="37" cm="1">
        <f t="array" ref="AB173:AC173">LINEST(G164:G173,D164:D173)</f>
        <v>-11.520000000000008</v>
      </c>
      <c r="AC173" s="37">
        <v>0.17120000000000013</v>
      </c>
      <c r="AD173" s="37" cm="1">
        <f t="array" ref="AD173:AE173">LINEST(G159:G173,D159:D173)</f>
        <v>-34.405714285714289</v>
      </c>
      <c r="AE173" s="37">
        <v>0.66309285714285704</v>
      </c>
      <c r="AF173" s="37" cm="1">
        <f t="array" ref="AF173:AG173">LINEST(G154:G173,D154:D173)</f>
        <v>0.25285444920641076</v>
      </c>
      <c r="AG173" s="37">
        <v>0.14012650590540382</v>
      </c>
      <c r="AH173" s="37" cm="1">
        <f t="array" ref="AH173:AI173">LINEST(G149:G173,D149:D173)</f>
        <v>0.19362091683823801</v>
      </c>
      <c r="AI173" s="37">
        <v>0.14092976759634718</v>
      </c>
      <c r="AJ173" s="37" cm="1">
        <f t="array" ref="AJ173:AK173">LINEST(G144:G173,D144:D173)</f>
        <v>0.25514412463572966</v>
      </c>
      <c r="AK173" s="37">
        <v>0.14029322969409003</v>
      </c>
      <c r="AL173" s="41" t="s">
        <v>27</v>
      </c>
      <c r="AM173" s="21">
        <f>$G$168-$G$162</f>
        <v>-0.72</v>
      </c>
    </row>
    <row r="174" spans="1:39" x14ac:dyDescent="0.25">
      <c r="A174" s="61">
        <v>502</v>
      </c>
      <c r="B174" s="14">
        <f t="shared" si="2"/>
        <v>168</v>
      </c>
      <c r="C174" s="15">
        <v>43981</v>
      </c>
      <c r="D174" s="16">
        <v>2.736111111111111E-2</v>
      </c>
      <c r="E174" s="36">
        <v>20</v>
      </c>
      <c r="F174" s="36">
        <v>0.84</v>
      </c>
      <c r="G174" s="36">
        <v>0.02</v>
      </c>
      <c r="H174" s="56" cm="1">
        <f t="array" ref="H174:I174">LINEST(E165:E174,D165:D174)</f>
        <v>1.9636363636364378</v>
      </c>
      <c r="I174" s="56">
        <v>19.923545454545451</v>
      </c>
      <c r="J174" s="56" cm="1">
        <f t="array" ref="J174:K174">LINEST(E160:E174,D160:D174)</f>
        <v>-4.4999999999999547</v>
      </c>
      <c r="K174" s="56">
        <v>20.058041666666671</v>
      </c>
      <c r="L174" s="56" cm="1">
        <f t="array" ref="L174:M174">LINEST(E155:E174,D155:D174)</f>
        <v>-4.60150375939849</v>
      </c>
      <c r="M174" s="56">
        <v>20.057187969924811</v>
      </c>
      <c r="N174" s="56" cm="1">
        <f t="array" ref="N174:O174">LINEST(E150:E174,D150:D174)</f>
        <v>0.28743538933014801</v>
      </c>
      <c r="O174" s="56">
        <v>19.988239625691108</v>
      </c>
      <c r="P174" s="56" cm="1">
        <f t="array" ref="P174:Q174">LINEST(E145:E174,D145:D174)</f>
        <v>0.27689362664452882</v>
      </c>
      <c r="Q174" s="56">
        <v>19.988370072077402</v>
      </c>
      <c r="R174" s="56" cm="1">
        <f t="array" ref="R174:S174">LINEST(F165:F174,D165:D174)</f>
        <v>184.88727272727277</v>
      </c>
      <c r="S174" s="56">
        <v>-4.1941757575757581</v>
      </c>
      <c r="T174" s="56" cm="1">
        <f t="array" ref="T174:U174">LINEST(F160:F174,D160:D174)</f>
        <v>17.974285714285731</v>
      </c>
      <c r="U174" s="56">
        <v>-0.5197130952380955</v>
      </c>
      <c r="V174" s="56" cm="1">
        <f t="array" ref="V174:W174">LINEST(F155:F174,D155:D174)</f>
        <v>-3.5079699248120271</v>
      </c>
      <c r="W174" s="56">
        <v>-4.9303759398496301E-2</v>
      </c>
      <c r="X174" s="56" cm="1">
        <f t="array" ref="X174:Y174">LINEST(F150:F174,D150:D174)</f>
        <v>0.57300869476805349</v>
      </c>
      <c r="Y174" s="56">
        <v>-0.10712842219697566</v>
      </c>
      <c r="Z174" s="56" cm="1">
        <f t="array" ref="Z174:AA174">LINEST(F145:F174,D145:D174)</f>
        <v>0.30005756189605615</v>
      </c>
      <c r="AA174" s="56">
        <v>-0.10385177872734096</v>
      </c>
      <c r="AB174" s="37" cm="1">
        <f t="array" ref="AB174:AC174">LINEST(G165:G174,D165:D174)</f>
        <v>3.752727272727272</v>
      </c>
      <c r="AC174" s="37">
        <v>-0.15322424242424243</v>
      </c>
      <c r="AD174" s="37" cm="1">
        <f t="array" ref="AD174:AE174">LINEST(G160:G174,D160:D174)</f>
        <v>-30.240000000000006</v>
      </c>
      <c r="AE174" s="37">
        <v>0.61340000000000017</v>
      </c>
      <c r="AF174" s="37" cm="1">
        <f t="array" ref="AF174:AG174">LINEST(G155:G174,D155:D174)</f>
        <v>-21.892330827067671</v>
      </c>
      <c r="AG174" s="37">
        <v>0.44614135338345873</v>
      </c>
      <c r="AH174" s="37" cm="1">
        <f t="array" ref="AH174:AI174">LINEST(G150:G174,D150:D174)</f>
        <v>0.19214716605320184</v>
      </c>
      <c r="AI174" s="37">
        <v>0.13471610438195281</v>
      </c>
      <c r="AJ174" s="37" cm="1">
        <f t="array" ref="AJ174:AK174">LINEST(G145:G174,D145:D174)</f>
        <v>0.24238615456547075</v>
      </c>
      <c r="AK174" s="37">
        <v>0.13412165027141715</v>
      </c>
    </row>
    <row r="175" spans="1:39" x14ac:dyDescent="0.25">
      <c r="A175" s="61">
        <v>502</v>
      </c>
      <c r="B175" s="14">
        <f t="shared" si="2"/>
        <v>169</v>
      </c>
      <c r="C175" s="15">
        <v>43981</v>
      </c>
      <c r="D175" s="16">
        <v>2.8749999999999998E-2</v>
      </c>
      <c r="E175" s="36">
        <v>19.98</v>
      </c>
      <c r="F175" s="36">
        <v>-0.7</v>
      </c>
      <c r="G175" s="36">
        <v>-0.04</v>
      </c>
      <c r="H175" s="56" cm="1">
        <f t="array" ref="H175:I175">LINEST(E166:E175,D166:D175)</f>
        <v>3.7527272727273004</v>
      </c>
      <c r="I175" s="56">
        <v>19.879563636363638</v>
      </c>
      <c r="J175" s="56" cm="1">
        <f t="array" ref="J175:K175">LINEST(E161:E175,D161:D175)</f>
        <v>-1.7742857142856643</v>
      </c>
      <c r="K175" s="56">
        <v>20.003760714285715</v>
      </c>
      <c r="L175" s="56" cm="1">
        <f t="array" ref="L175:M175">LINEST(E156:E175,D156:D175)</f>
        <v>-0.99609022556389004</v>
      </c>
      <c r="M175" s="56">
        <v>19.990494736842109</v>
      </c>
      <c r="N175" s="56" cm="1">
        <f t="array" ref="N175:O175">LINEST(E151:E175,D151:D175)</f>
        <v>0.28663339336672733</v>
      </c>
      <c r="O175" s="56">
        <v>19.987475701027392</v>
      </c>
      <c r="P175" s="56" cm="1">
        <f t="array" ref="P175:Q175">LINEST(E146:E175,D146:D175)</f>
        <v>0.27671621747378905</v>
      </c>
      <c r="Q175" s="56">
        <v>19.987603261483152</v>
      </c>
      <c r="R175" s="56" cm="1">
        <f t="array" ref="R175:S175">LINEST(F166:F175,D166:D175)</f>
        <v>110.79272727272722</v>
      </c>
      <c r="S175" s="56">
        <v>-2.7038363636363623</v>
      </c>
      <c r="T175" s="56" cm="1">
        <f t="array" ref="T175:U175">LINEST(F161:F175,D161:D175)</f>
        <v>54.128571428571441</v>
      </c>
      <c r="U175" s="56">
        <v>-1.4119464285714285</v>
      </c>
      <c r="V175" s="56" cm="1">
        <f t="array" ref="V175:W175">LINEST(F156:F175,D156:D175)</f>
        <v>-12.202105263157886</v>
      </c>
      <c r="W175" s="56">
        <v>7.1810526315789325E-2</v>
      </c>
      <c r="X175" s="56" cm="1">
        <f t="array" ref="X175:Y175">LINEST(F151:F175,D151:D175)</f>
        <v>0.52456801798982655</v>
      </c>
      <c r="Y175" s="56">
        <v>-0.1350684416734938</v>
      </c>
      <c r="Z175" s="56" cm="1">
        <f t="array" ref="Z175:AA175">LINEST(F146:F175,D146:D175)</f>
        <v>0.34068531772550881</v>
      </c>
      <c r="AA175" s="56">
        <v>-0.13280475817404688</v>
      </c>
      <c r="AB175" s="37" cm="1">
        <f t="array" ref="AB175:AC175">LINEST(G166:G175,D166:D175)</f>
        <v>11.999999999999996</v>
      </c>
      <c r="AC175" s="37">
        <v>-0.35499999999999993</v>
      </c>
      <c r="AD175" s="37" cm="1">
        <f t="array" ref="AD175:AE175">LINEST(G161:G175,D161:D175)</f>
        <v>-23.759999999999991</v>
      </c>
      <c r="AE175" s="37">
        <v>0.49609999999999976</v>
      </c>
      <c r="AF175" s="37" cm="1">
        <f t="array" ref="AF175:AG175">LINEST(G156:G175,D156:D175)</f>
        <v>-21.156090225563911</v>
      </c>
      <c r="AG175" s="37">
        <v>0.44509473684210532</v>
      </c>
      <c r="AH175" s="37" cm="1">
        <f t="array" ref="AH175:AI175">LINEST(G151:G175,D151:D175)</f>
        <v>0.18129470360566752</v>
      </c>
      <c r="AI175" s="37">
        <v>0.12640253881879071</v>
      </c>
      <c r="AJ175" s="37" cm="1">
        <f t="array" ref="AJ175:AK175">LINEST(G146:G175,D146:D175)</f>
        <v>0.2320628636179391</v>
      </c>
      <c r="AK175" s="37">
        <v>0.12571696091840692</v>
      </c>
    </row>
    <row r="176" spans="1:39" x14ac:dyDescent="0.25">
      <c r="A176" s="61">
        <v>502</v>
      </c>
      <c r="B176" s="14">
        <f t="shared" si="2"/>
        <v>170</v>
      </c>
      <c r="C176" s="15">
        <v>43981</v>
      </c>
      <c r="D176" s="16">
        <v>3.0138888888888885E-2</v>
      </c>
      <c r="E176" s="36">
        <v>20.02</v>
      </c>
      <c r="F176" s="36">
        <v>1.32</v>
      </c>
      <c r="G176" s="36">
        <v>7.0000000000000007E-2</v>
      </c>
      <c r="H176" s="56" cm="1">
        <f t="array" ref="H176:I176">LINEST(E167:E176,D167:D176)</f>
        <v>6.2399999999999567</v>
      </c>
      <c r="I176" s="56">
        <v>19.819933333333335</v>
      </c>
      <c r="J176" s="56" cm="1">
        <f t="array" ref="J176:K176">LINEST(E162:E176,D162:D176)</f>
        <v>1.3885714285714446</v>
      </c>
      <c r="K176" s="56">
        <v>19.937650000000001</v>
      </c>
      <c r="L176" s="56" cm="1">
        <f t="array" ref="L176:M176">LINEST(E157:E176,D157:D176)</f>
        <v>-1.385864661654133</v>
      </c>
      <c r="M176" s="56">
        <v>20.004482706766918</v>
      </c>
      <c r="N176" s="56" cm="1">
        <f t="array" ref="N176:O176">LINEST(E152:E176,D152:D176)</f>
        <v>0.28998835176323506</v>
      </c>
      <c r="O176" s="56">
        <v>19.988495013033205</v>
      </c>
      <c r="P176" s="56" cm="1">
        <f t="array" ref="P176:Q176">LINEST(E147:E176,D147:D176)</f>
        <v>0.27959993988014131</v>
      </c>
      <c r="Q176" s="56">
        <v>19.988644879595938</v>
      </c>
      <c r="R176" s="56" cm="1">
        <f t="array" ref="R176:S176">LINEST(F167:F176,D167:D176)</f>
        <v>109.04727272727276</v>
      </c>
      <c r="S176" s="56">
        <v>-2.5340181818181819</v>
      </c>
      <c r="T176" s="56" cm="1">
        <f t="array" ref="T176:U176">LINEST(F162:F176,D162:D176)</f>
        <v>73.902857142857144</v>
      </c>
      <c r="U176" s="56">
        <v>-1.7421833333333332</v>
      </c>
      <c r="V176" s="56" cm="1">
        <f t="array" ref="V176:W176">LINEST(F157:F176,D157:D176)</f>
        <v>0.29233082706768077</v>
      </c>
      <c r="W176" s="56">
        <v>-4.095338345864686E-2</v>
      </c>
      <c r="X176" s="56" cm="1">
        <f t="array" ref="X176:Y176">LINEST(F152:F176,D152:D176)</f>
        <v>0.85725571980116744</v>
      </c>
      <c r="Y176" s="56">
        <v>-7.5618635301628337E-2</v>
      </c>
      <c r="Z176" s="56" cm="1">
        <f t="array" ref="Z176:AA176">LINEST(F147:F176,D147:D176)</f>
        <v>0.4487674825492024</v>
      </c>
      <c r="AA176" s="56">
        <v>-6.9490951753789956E-2</v>
      </c>
      <c r="AB176" s="37" cm="1">
        <f t="array" ref="AB176:AC176">LINEST(G167:G176,D167:D176)</f>
        <v>19.767272727272729</v>
      </c>
      <c r="AC176" s="37">
        <v>-0.54521818181818182</v>
      </c>
      <c r="AD176" s="37" cm="1">
        <f t="array" ref="AD176:AE176">LINEST(G162:G176,D162:D176)</f>
        <v>-16.17428571428572</v>
      </c>
      <c r="AE176" s="37">
        <v>0.35289166666666671</v>
      </c>
      <c r="AF176" s="37" cm="1">
        <f t="array" ref="AF176:AG176">LINEST(G157:G176,D157:D176)</f>
        <v>-19.423759398496244</v>
      </c>
      <c r="AG176" s="37">
        <v>0.43312481203007525</v>
      </c>
      <c r="AH176" s="37" cm="1">
        <f t="array" ref="AH176:AI176">LINEST(G152:G176,D152:D176)</f>
        <v>0.18612039805761044</v>
      </c>
      <c r="AI176" s="37">
        <v>0.12355835537091905</v>
      </c>
      <c r="AJ176" s="37" cm="1">
        <f t="array" ref="AJ176:AK176">LINEST(G147:G176,D147:D176)</f>
        <v>0.22786545064500491</v>
      </c>
      <c r="AK176" s="37">
        <v>0.12295792860997656</v>
      </c>
    </row>
    <row r="177" spans="1:37" x14ac:dyDescent="0.25">
      <c r="A177" s="61">
        <v>502</v>
      </c>
      <c r="B177" s="14">
        <f t="shared" si="2"/>
        <v>171</v>
      </c>
      <c r="C177" s="15">
        <v>43981</v>
      </c>
      <c r="D177" s="16">
        <v>3.1527777777777773E-2</v>
      </c>
      <c r="E177" s="36">
        <v>20.010000000000002</v>
      </c>
      <c r="F177" s="36">
        <v>-0.19</v>
      </c>
      <c r="G177" s="36">
        <v>0.05</v>
      </c>
      <c r="H177" s="56" cm="1">
        <f t="array" ref="H177:I177">LINEST(E168:E177,D168:D177)</f>
        <v>6.9381818181817874</v>
      </c>
      <c r="I177" s="56">
        <v>19.799618181818182</v>
      </c>
      <c r="J177" s="56" cm="1">
        <f t="array" ref="J177:K177">LINEST(E163:E177,D163:D177)</f>
        <v>5.760000000000062</v>
      </c>
      <c r="K177" s="56">
        <v>19.831733333333329</v>
      </c>
      <c r="L177" s="56" cm="1">
        <f t="array" ref="L177:M177">LINEST(E158:E177,D158:D177)</f>
        <v>-1.5536842105262794</v>
      </c>
      <c r="M177" s="56">
        <v>20.012984210526319</v>
      </c>
      <c r="N177" s="56" cm="1">
        <f t="array" ref="N177:O177">LINEST(E153:E177,D153:D177)</f>
        <v>0.30859197621113693</v>
      </c>
      <c r="O177" s="56">
        <v>19.98872690798995</v>
      </c>
      <c r="P177" s="56" cm="1">
        <f t="array" ref="P177:Q177">LINEST(E148:E177,D148:D177)</f>
        <v>0.28131086983144815</v>
      </c>
      <c r="Q177" s="56">
        <v>19.989157738512578</v>
      </c>
      <c r="R177" s="56" cm="1">
        <f t="array" ref="R177:S177">LINEST(F168:F177,D168:D177)</f>
        <v>23.38909090909091</v>
      </c>
      <c r="S177" s="56">
        <v>-0.38922424242424242</v>
      </c>
      <c r="T177" s="56" cm="1">
        <f t="array" ref="T177:U177">LINEST(F163:F177,D163:D177)</f>
        <v>116.30571428571433</v>
      </c>
      <c r="U177" s="56">
        <v>-2.901444047619048</v>
      </c>
      <c r="V177" s="56" cm="1">
        <f t="array" ref="V177:W177">LINEST(F158:F177,D158:D177)</f>
        <v>-4.5203007518796756</v>
      </c>
      <c r="W177" s="56">
        <v>5.3372180451127377E-2</v>
      </c>
      <c r="X177" s="56" cm="1">
        <f t="array" ref="X177:Y177">LINEST(F153:F177,D153:D177)</f>
        <v>1.5564679335373559</v>
      </c>
      <c r="Y177" s="56">
        <v>-9.2846836410156092E-2</v>
      </c>
      <c r="Z177" s="56" cm="1">
        <f t="array" ref="Z177:AA177">LINEST(F148:F177,D148:D177)</f>
        <v>0.44634252956104503</v>
      </c>
      <c r="AA177" s="56">
        <v>-7.5228730306116959E-2</v>
      </c>
      <c r="AB177" s="37" cm="1">
        <f t="array" ref="AB177:AC177">LINEST(G168:G177,D168:D177)</f>
        <v>19.941818181818192</v>
      </c>
      <c r="AC177" s="37">
        <v>-0.55508484848484874</v>
      </c>
      <c r="AD177" s="37" cm="1">
        <f t="array" ref="AD177:AE177">LINEST(G163:G177,D163:D177)</f>
        <v>-5.8628571428571439</v>
      </c>
      <c r="AE177" s="37">
        <v>0.12050952380952382</v>
      </c>
      <c r="AF177" s="37" cm="1">
        <f t="array" ref="AF177:AG177">LINEST(G158:G177,D158:D177)</f>
        <v>-18.20571428571429</v>
      </c>
      <c r="AG177" s="37">
        <v>0.42727142857142864</v>
      </c>
      <c r="AH177" s="37" cm="1">
        <f t="array" ref="AH177:AI177">LINEST(G153:G177,D153:D177)</f>
        <v>0.22905192859506188</v>
      </c>
      <c r="AI177" s="37">
        <v>0.11947209163644863</v>
      </c>
      <c r="AJ177" s="37" cm="1">
        <f t="array" ref="AJ177:AK177">LINEST(G148:G177,D148:D177)</f>
        <v>0.22228344236798966</v>
      </c>
      <c r="AK177" s="37">
        <v>0.11960290232300669</v>
      </c>
    </row>
    <row r="178" spans="1:37" x14ac:dyDescent="0.25">
      <c r="A178" s="61">
        <v>502</v>
      </c>
      <c r="B178" s="14">
        <f t="shared" si="2"/>
        <v>172</v>
      </c>
      <c r="C178" s="15">
        <v>43981</v>
      </c>
      <c r="D178" s="16">
        <v>3.2916666666666664E-2</v>
      </c>
      <c r="E178" s="36">
        <v>20.03</v>
      </c>
      <c r="F178" s="36">
        <v>0.37</v>
      </c>
      <c r="G178" s="36">
        <v>7.0000000000000007E-2</v>
      </c>
      <c r="H178" s="56" cm="1">
        <f t="array" ref="H178:I178">LINEST(E169:E178,D169:D178)</f>
        <v>6.458181818181882</v>
      </c>
      <c r="I178" s="56">
        <v>19.813781818181816</v>
      </c>
      <c r="J178" s="56" cm="1">
        <f t="array" ref="J178:K178">LINEST(E164:E178,D164:D178)</f>
        <v>8.9742857142858146</v>
      </c>
      <c r="K178" s="56">
        <v>19.747846428571421</v>
      </c>
      <c r="L178" s="56" cm="1">
        <f t="array" ref="L178:M178">LINEST(E159:E178,D159:D178)</f>
        <v>-1.3642105263157294</v>
      </c>
      <c r="M178" s="56">
        <v>20.014905263157893</v>
      </c>
      <c r="N178" s="56" cm="1">
        <f t="array" ref="N178:O178">LINEST(E154:E178,D154:D178)</f>
        <v>0.33493680890863492</v>
      </c>
      <c r="O178" s="56">
        <v>19.989559959562225</v>
      </c>
      <c r="P178" s="56" cm="1">
        <f t="array" ref="P178:Q178">LINEST(E149:E178,D149:D178)</f>
        <v>0.28312115754886319</v>
      </c>
      <c r="Q178" s="56">
        <v>19.990425431294597</v>
      </c>
      <c r="R178" s="56" cm="1">
        <f t="array" ref="R178:S178">LINEST(F169:F178,D169:D178)</f>
        <v>-21.469090909090902</v>
      </c>
      <c r="S178" s="56">
        <v>0.8985090909090907</v>
      </c>
      <c r="T178" s="56" cm="1">
        <f t="array" ref="T178:U178">LINEST(F164:F178,D164:D178)</f>
        <v>106.20000000000007</v>
      </c>
      <c r="U178" s="56">
        <v>-2.7039166666666681</v>
      </c>
      <c r="V178" s="56" cm="1">
        <f t="array" ref="V178:W178">LINEST(F159:F178,D159:D178)</f>
        <v>-3.7136842105263126</v>
      </c>
      <c r="W178" s="56">
        <v>7.8242105263157821E-2</v>
      </c>
      <c r="X178" s="56" cm="1">
        <f t="array" ref="X178:Y178">LINEST(F154:F178,D154:D178)</f>
        <v>1.851061802127943</v>
      </c>
      <c r="Y178" s="56">
        <v>-8.0921369396640325E-2</v>
      </c>
      <c r="Z178" s="56" cm="1">
        <f t="array" ref="Z178:AA178">LINEST(F149:F178,D149:D178)</f>
        <v>0.46286637703259031</v>
      </c>
      <c r="AA178" s="56">
        <v>-5.7819940996432104E-2</v>
      </c>
      <c r="AB178" s="37" cm="1">
        <f t="array" ref="AB178:AC178">LINEST(G169:G178,D169:D178)</f>
        <v>16.581818181818193</v>
      </c>
      <c r="AC178" s="37">
        <v>-0.46418181818181836</v>
      </c>
      <c r="AD178" s="37" cm="1">
        <f t="array" ref="AD178:AE178">LINEST(G164:G178,D164:D178)</f>
        <v>2.8800000000000003</v>
      </c>
      <c r="AE178" s="37">
        <v>-9.2799999999999994E-2</v>
      </c>
      <c r="AF178" s="37" cm="1">
        <f t="array" ref="AF178:AG178">LINEST(G159:G178,D159:D178)</f>
        <v>-17.123007518796999</v>
      </c>
      <c r="AG178" s="37">
        <v>0.42420375939849631</v>
      </c>
      <c r="AH178" s="37" cm="1">
        <f t="array" ref="AH178:AI178">LINEST(G154:G178,D154:D178)</f>
        <v>0.2691155943950545</v>
      </c>
      <c r="AI178" s="37">
        <v>0.11646237240583113</v>
      </c>
      <c r="AJ178" s="37" cm="1">
        <f t="array" ref="AJ178:AK178">LINEST(G149:G178,D149:D178)</f>
        <v>0.21604281087504934</v>
      </c>
      <c r="AK178" s="37">
        <v>0.11736472422957489</v>
      </c>
    </row>
    <row r="179" spans="1:37" x14ac:dyDescent="0.25">
      <c r="A179" s="61">
        <v>502</v>
      </c>
      <c r="B179" s="14">
        <f t="shared" si="2"/>
        <v>173</v>
      </c>
      <c r="C179" s="15">
        <v>43981</v>
      </c>
      <c r="D179" s="16">
        <v>3.4305555555555554E-2</v>
      </c>
      <c r="E179" s="36">
        <v>20.05</v>
      </c>
      <c r="F179" s="36">
        <v>0.63</v>
      </c>
      <c r="G179" s="36">
        <v>0.12</v>
      </c>
      <c r="H179" s="56" cm="1">
        <f t="array" ref="H179:I179">LINEST(E170:E179,D170:D179)</f>
        <v>6.2836363636364183</v>
      </c>
      <c r="I179" s="56">
        <v>19.821709090909092</v>
      </c>
      <c r="J179" s="56" cm="1">
        <f t="array" ref="J179:K179">LINEST(E165:E179,D165:D179)</f>
        <v>4.3714285714286527</v>
      </c>
      <c r="K179" s="56">
        <v>19.875202380952377</v>
      </c>
      <c r="L179" s="56" cm="1">
        <f t="array" ref="L179:M179">LINEST(E160:E179,D160:D179)</f>
        <v>-0.13533834586460258</v>
      </c>
      <c r="M179" s="56">
        <v>19.991357142857144</v>
      </c>
      <c r="N179" s="56" cm="1">
        <f t="array" ref="N179:O179">LINEST(E155:E179,D155:D179)</f>
        <v>-1.5507692307692034</v>
      </c>
      <c r="O179" s="56">
        <v>20.024553846153847</v>
      </c>
      <c r="P179" s="56" cm="1">
        <f t="array" ref="P179:Q179">LINEST(E150:E179,D150:D179)</f>
        <v>0.2836206174748257</v>
      </c>
      <c r="Q179" s="56">
        <v>19.992379152114303</v>
      </c>
      <c r="R179" s="56" cm="1">
        <f t="array" ref="R179:S179">LINEST(F170:F179,D170:D179)</f>
        <v>-5.0181818181818096</v>
      </c>
      <c r="S179" s="56">
        <v>0.48778787878787855</v>
      </c>
      <c r="T179" s="56" cm="1">
        <f t="array" ref="T179:U179">LINEST(F165:F179,D165:D179)</f>
        <v>95.965714285714355</v>
      </c>
      <c r="U179" s="56">
        <v>-2.4578238095238105</v>
      </c>
      <c r="V179" s="56" cm="1">
        <f t="array" ref="V179:W179">LINEST(F160:F179,D160:D179)</f>
        <v>29.260150375939858</v>
      </c>
      <c r="W179" s="56">
        <v>-0.69821428571428579</v>
      </c>
      <c r="X179" s="56" cm="1">
        <f t="array" ref="X179:Y179">LINEST(F155:F179,D155:D179)</f>
        <v>9.814153846153852</v>
      </c>
      <c r="Y179" s="56">
        <v>-0.19511076923076931</v>
      </c>
      <c r="Z179" s="56" cm="1">
        <f t="array" ref="Z179:AA179">LINEST(F150:F179,D150:D179)</f>
        <v>0.50355495811469753</v>
      </c>
      <c r="AA179" s="56">
        <v>-3.2058550228676916E-2</v>
      </c>
      <c r="AB179" s="37" cm="1">
        <f t="array" ref="AB179:AC179">LINEST(G170:G179,D170:D179)</f>
        <v>15.054545454545458</v>
      </c>
      <c r="AC179" s="37">
        <v>-0.41536363636363638</v>
      </c>
      <c r="AD179" s="37" cm="1">
        <f t="array" ref="AD179:AE179">LINEST(G165:G179,D165:D179)</f>
        <v>10.157142857142857</v>
      </c>
      <c r="AE179" s="37">
        <v>-0.28102976190476187</v>
      </c>
      <c r="AF179" s="37" cm="1">
        <f t="array" ref="AF179:AG179">LINEST(G160:G179,D160:D179)</f>
        <v>-13.441804511278193</v>
      </c>
      <c r="AG179" s="37">
        <v>0.35727142857142846</v>
      </c>
      <c r="AH179" s="37" cm="1">
        <f t="array" ref="AH179:AI179">LINEST(G155:G179,D155:D179)</f>
        <v>-13.292307692307697</v>
      </c>
      <c r="AI179" s="37">
        <v>0.35406153846153848</v>
      </c>
      <c r="AJ179" s="37" cm="1">
        <f t="array" ref="AJ179:AK179">LINEST(G150:G179,D150:D179)</f>
        <v>0.2084629832777716</v>
      </c>
      <c r="AK179" s="37">
        <v>0.117303345984938</v>
      </c>
    </row>
    <row r="180" spans="1:37" x14ac:dyDescent="0.25">
      <c r="A180" s="61">
        <v>502</v>
      </c>
      <c r="B180" s="14">
        <f t="shared" si="2"/>
        <v>174</v>
      </c>
      <c r="C180" s="15">
        <v>43981</v>
      </c>
      <c r="D180" s="16">
        <v>3.5694444444444445E-2</v>
      </c>
      <c r="E180" s="36">
        <v>20.04</v>
      </c>
      <c r="F180" s="36">
        <v>-0.09</v>
      </c>
      <c r="G180" s="36">
        <v>0.1</v>
      </c>
      <c r="H180" s="56" cm="1">
        <f t="array" ref="H180:I180">LINEST(E171:E180,D171:D180)</f>
        <v>6.1090909090909324</v>
      </c>
      <c r="I180" s="56">
        <v>19.826121212121212</v>
      </c>
      <c r="J180" s="56" cm="1">
        <f t="array" ref="J180:K180">LINEST(E166:E180,D166:D180)</f>
        <v>5.5542857142857454</v>
      </c>
      <c r="K180" s="56">
        <v>19.841742857142862</v>
      </c>
      <c r="L180" s="56" cm="1">
        <f t="array" ref="L180:M180">LINEST(E161:E180,D161:D180)</f>
        <v>1.775639097744405</v>
      </c>
      <c r="M180" s="56">
        <v>19.945048120300754</v>
      </c>
      <c r="N180" s="56" cm="1">
        <f t="array" ref="N180:O180">LINEST(E156:E180,D156:D180)</f>
        <v>1.0578461538461801</v>
      </c>
      <c r="O180" s="56">
        <v>19.965871538461542</v>
      </c>
      <c r="P180" s="56" cm="1">
        <f t="array" ref="P180:Q180">LINEST(E151:E180,D151:D180)</f>
        <v>0.28089719282474551</v>
      </c>
      <c r="Q180" s="56">
        <v>19.993844629218302</v>
      </c>
      <c r="R180" s="56" cm="1">
        <f t="array" ref="R180:S180">LINEST(F171:F180,D171:D180)</f>
        <v>-0.91636363636363705</v>
      </c>
      <c r="S180" s="56">
        <v>0.28598181818181823</v>
      </c>
      <c r="T180" s="56" cm="1">
        <f t="array" ref="T180:U180">LINEST(F166:F180,D166:D180)</f>
        <v>67.294285714285749</v>
      </c>
      <c r="U180" s="56">
        <v>-1.7524488095238102</v>
      </c>
      <c r="V180" s="56" cm="1">
        <f t="array" ref="V180:W180">LINEST(F161:F180,D161:D180)</f>
        <v>52.700751879699254</v>
      </c>
      <c r="W180" s="56">
        <v>-1.3702669172932334</v>
      </c>
      <c r="X180" s="56" cm="1">
        <f t="array" ref="X180:Y180">LINEST(F156:F180,D156:D180)</f>
        <v>7.2166153846153813</v>
      </c>
      <c r="Y180" s="56">
        <v>-0.15011615384615376</v>
      </c>
      <c r="Z180" s="56" cm="1">
        <f t="array" ref="Z180:AA180">LINEST(F151:F180,D151:D180)</f>
        <v>0.43207513870447373</v>
      </c>
      <c r="AA180" s="56">
        <v>-3.3663853868933523E-2</v>
      </c>
      <c r="AB180" s="37" cm="1">
        <f t="array" ref="AB180:AC180">LINEST(G171:G180,D171:D180)</f>
        <v>13.570909090909087</v>
      </c>
      <c r="AC180" s="37">
        <v>-0.37258787878787858</v>
      </c>
      <c r="AD180" s="37" cm="1">
        <f t="array" ref="AD180:AE180">LINEST(G166:G180,D166:D180)</f>
        <v>14.60571428571429</v>
      </c>
      <c r="AE180" s="37">
        <v>-0.40867619047619053</v>
      </c>
      <c r="AF180" s="37" cm="1">
        <f t="array" ref="AF180:AG180">LINEST(G161:G180,D161:D180)</f>
        <v>-8.3206015037594003</v>
      </c>
      <c r="AG180" s="37">
        <v>0.24071353383458649</v>
      </c>
      <c r="AH180" s="37" cm="1">
        <f t="array" ref="AH180:AI180">LINEST(G156:G180,D156:D180)</f>
        <v>-11.69169230769231</v>
      </c>
      <c r="AI180" s="37">
        <v>0.33166692307692314</v>
      </c>
      <c r="AJ180" s="37" cm="1">
        <f t="array" ref="AJ180:AK180">LINEST(G151:G180,D151:D180)</f>
        <v>0.19012817692713652</v>
      </c>
      <c r="AK180" s="37">
        <v>0.11669232039852903</v>
      </c>
    </row>
    <row r="181" spans="1:37" x14ac:dyDescent="0.25">
      <c r="A181" s="61">
        <v>502</v>
      </c>
      <c r="B181" s="14">
        <f t="shared" si="2"/>
        <v>175</v>
      </c>
      <c r="C181" s="15">
        <v>43981</v>
      </c>
      <c r="D181" s="16">
        <v>3.7083333333333336E-2</v>
      </c>
      <c r="E181" s="36">
        <v>20.05</v>
      </c>
      <c r="F181" s="36">
        <v>0.18</v>
      </c>
      <c r="G181" s="36">
        <v>0.11</v>
      </c>
      <c r="H181" s="56" cm="1">
        <f t="array" ref="H181:I181">LINEST(E172:E181,D172:D181)</f>
        <v>6.5890909090909613</v>
      </c>
      <c r="I181" s="56">
        <v>19.809836363636364</v>
      </c>
      <c r="J181" s="56" cm="1">
        <f t="array" ref="J181:K181">LINEST(E167:E181,D167:D181)</f>
        <v>6.3771428571428679</v>
      </c>
      <c r="K181" s="56">
        <v>19.816847619047618</v>
      </c>
      <c r="L181" s="56" cm="1">
        <f t="array" ref="L181:M181">LINEST(E162:E181,D162:D181)</f>
        <v>3.5242105263158221</v>
      </c>
      <c r="M181" s="56">
        <v>19.899310526315787</v>
      </c>
      <c r="N181" s="56" cm="1">
        <f t="array" ref="N181:O181">LINEST(E157:E181,D157:D181)</f>
        <v>0.86400000000002097</v>
      </c>
      <c r="O181" s="56">
        <v>19.974360000000001</v>
      </c>
      <c r="P181" s="56" cm="1">
        <f t="array" ref="P181:Q181">LINEST(E152:E181,D152:D181)</f>
        <v>0.28404700579447373</v>
      </c>
      <c r="Q181" s="56">
        <v>19.995449276136029</v>
      </c>
      <c r="R181" s="56" cm="1">
        <f t="array" ref="R181:S181">LINEST(F172:F181,D172:D181)</f>
        <v>12.349090909090901</v>
      </c>
      <c r="S181" s="56">
        <v>-0.16376363636363614</v>
      </c>
      <c r="T181" s="56" cm="1">
        <f t="array" ref="T181:U181">LINEST(F167:F181,D167:D181)</f>
        <v>39.857142857142854</v>
      </c>
      <c r="U181" s="56">
        <v>-0.98320238095238088</v>
      </c>
      <c r="V181" s="56" cm="1">
        <f t="array" ref="V181:W181">LINEST(F162:F181,D162:D181)</f>
        <v>48.202105263157854</v>
      </c>
      <c r="W181" s="56">
        <v>-1.2814947368421041</v>
      </c>
      <c r="X181" s="56" cm="1">
        <f t="array" ref="X181:Y181">LINEST(F157:F181,D157:D181)</f>
        <v>6.286153846153848</v>
      </c>
      <c r="Y181" s="56">
        <v>-0.12114230769230776</v>
      </c>
      <c r="Z181" s="56" cm="1">
        <f t="array" ref="Z181:AA181">LINEST(F152:F181,D152:D181)</f>
        <v>0.82133628960822791</v>
      </c>
      <c r="AA181" s="56">
        <v>-3.3716432136256649E-2</v>
      </c>
      <c r="AB181" s="37" cm="1">
        <f t="array" ref="AB181:AC181">LINEST(G172:G181,D172:D181)</f>
        <v>13.614545454545448</v>
      </c>
      <c r="AC181" s="37">
        <v>-0.377781818181818</v>
      </c>
      <c r="AD181" s="37" cm="1">
        <f t="array" ref="AD181:AE181">LINEST(G167:G181,D167:D181)</f>
        <v>16.688571428571429</v>
      </c>
      <c r="AE181" s="37">
        <v>-0.4752845238095238</v>
      </c>
      <c r="AF181" s="37" cm="1">
        <f t="array" ref="AF181:AG181">LINEST(G162:G181,D162:D181)</f>
        <v>-3.9139849624060146</v>
      </c>
      <c r="AG181" s="37">
        <v>0.13300075187969923</v>
      </c>
      <c r="AH181" s="37" cm="1">
        <f t="array" ref="AH181:AI181">LINEST(G157:G181,D157:D181)</f>
        <v>-10.240615384615381</v>
      </c>
      <c r="AI181" s="37">
        <v>0.3102792307692307</v>
      </c>
      <c r="AJ181" s="37" cm="1">
        <f t="array" ref="AJ181:AK181">LINEST(G152:G181,D152:D181)</f>
        <v>0.19256728260368761</v>
      </c>
      <c r="AK181" s="37">
        <v>0.11614721566320142</v>
      </c>
    </row>
    <row r="182" spans="1:37" x14ac:dyDescent="0.25">
      <c r="A182" s="61">
        <v>502</v>
      </c>
      <c r="B182" s="14">
        <f t="shared" si="2"/>
        <v>176</v>
      </c>
      <c r="C182" s="15">
        <v>43981</v>
      </c>
      <c r="D182" s="16">
        <v>3.847222222222222E-2</v>
      </c>
      <c r="E182" s="36">
        <v>20.09</v>
      </c>
      <c r="F182" s="36">
        <v>1.1399999999999999</v>
      </c>
      <c r="G182" s="36">
        <v>0.19</v>
      </c>
      <c r="H182" s="56" cm="1">
        <f t="array" ref="H182:I182">LINEST(E173:E182,D173:D182)</f>
        <v>8.0290909090909519</v>
      </c>
      <c r="I182" s="56">
        <v>19.765284848484846</v>
      </c>
      <c r="J182" s="56" cm="1">
        <f t="array" ref="J182:K182">LINEST(E168:E182,D168:D182)</f>
        <v>7.3028571428571256</v>
      </c>
      <c r="K182" s="56">
        <v>19.790709523809525</v>
      </c>
      <c r="L182" s="56" cm="1">
        <f t="array" ref="L182:M182">LINEST(E163:E182,D163:D182)</f>
        <v>6.3987969924812367</v>
      </c>
      <c r="M182" s="56">
        <v>19.819252631578948</v>
      </c>
      <c r="N182" s="56" cm="1">
        <f t="array" ref="N182:O182">LINEST(E158:E182,D158:D182)</f>
        <v>1.1409230769231058</v>
      </c>
      <c r="O182" s="56">
        <v>19.973121538461537</v>
      </c>
      <c r="P182" s="56" cm="1">
        <f t="array" ref="P182:Q182">LINEST(E153:E182,D153:D182)</f>
        <v>0.30149724136305883</v>
      </c>
      <c r="Q182" s="56">
        <v>19.998039633787563</v>
      </c>
      <c r="R182" s="56" cm="1">
        <f t="array" ref="R182:S182">LINEST(F173:F182,D173:D182)</f>
        <v>41.541818181818165</v>
      </c>
      <c r="S182" s="56">
        <v>-1.0145696969696962</v>
      </c>
      <c r="T182" s="56" cm="1">
        <f t="array" ref="T182:U182">LINEST(F168:F182,D168:D182)</f>
        <v>25.379999999999988</v>
      </c>
      <c r="U182" s="56">
        <v>-0.44634166666666641</v>
      </c>
      <c r="V182" s="56" cm="1">
        <f t="array" ref="V182:W182">LINEST(F163:F182,D163:D182)</f>
        <v>83.092330827067684</v>
      </c>
      <c r="W182" s="56">
        <v>-2.2628894736842109</v>
      </c>
      <c r="X182" s="56" cm="1">
        <f t="array" ref="X182:Y182">LINEST(F158:F182,D158:D182)</f>
        <v>11.459076923076925</v>
      </c>
      <c r="Y182" s="56">
        <v>-0.18427153846153849</v>
      </c>
      <c r="Z182" s="56" cm="1">
        <f t="array" ref="Z182:AA182">LINEST(F153:F182,D153:D182)</f>
        <v>1.4908535260247775</v>
      </c>
      <c r="AA182" s="56">
        <v>-6.7213993621631635E-3</v>
      </c>
      <c r="AB182" s="37" cm="1">
        <f t="array" ref="AB182:AC182">LINEST(G173:G182,D173:D182)</f>
        <v>15.970909090909085</v>
      </c>
      <c r="AC182" s="37">
        <v>-0.45061818181818164</v>
      </c>
      <c r="AD182" s="37" cm="1">
        <f t="array" ref="AD182:AE182">LINEST(G168:G182,D168:D182)</f>
        <v>17.331428571428575</v>
      </c>
      <c r="AE182" s="37">
        <v>-0.49294523809523816</v>
      </c>
      <c r="AF182" s="37" cm="1">
        <f t="array" ref="AF182:AG182">LINEST(G163:G182,D163:D182)</f>
        <v>2.8691729323308275</v>
      </c>
      <c r="AG182" s="37">
        <v>-4.8526315789473688E-2</v>
      </c>
      <c r="AH182" s="37" cm="1">
        <f t="array" ref="AH182:AI182">LINEST(G158:G182,D158:D182)</f>
        <v>-8.5070769230769212</v>
      </c>
      <c r="AI182" s="37">
        <v>0.28390153846153843</v>
      </c>
      <c r="AJ182" s="37" cm="1">
        <f t="array" ref="AJ182:AK182">LINEST(G153:G182,D153:D182)</f>
        <v>0.23055399702323978</v>
      </c>
      <c r="AK182" s="37">
        <v>0.11773642148296062</v>
      </c>
    </row>
    <row r="183" spans="1:37" x14ac:dyDescent="0.25">
      <c r="A183" s="61">
        <v>502</v>
      </c>
      <c r="B183" s="14">
        <f t="shared" si="2"/>
        <v>177</v>
      </c>
      <c r="C183" s="15">
        <v>43981</v>
      </c>
      <c r="D183" s="16">
        <v>3.9861111111111111E-2</v>
      </c>
      <c r="E183" s="36">
        <v>20.100000000000001</v>
      </c>
      <c r="F183" s="36">
        <v>0.53</v>
      </c>
      <c r="G183" s="36">
        <v>0.21</v>
      </c>
      <c r="H183" s="56" cm="1">
        <f t="array" ref="H183:I183">LINEST(E174:E183,D174:D183)</f>
        <v>8.4218181818182103</v>
      </c>
      <c r="I183" s="56">
        <v>19.753933333333332</v>
      </c>
      <c r="J183" s="56" cm="1">
        <f t="array" ref="J183:K183">LINEST(E169:E183,D169:D183)</f>
        <v>7.431428571428599</v>
      </c>
      <c r="K183" s="56">
        <v>19.788691666666669</v>
      </c>
      <c r="L183" s="56" cm="1">
        <f t="array" ref="L183:M183">LINEST(E164:E183,D164:D183)</f>
        <v>8.40721804511284</v>
      </c>
      <c r="M183" s="56">
        <v>19.759307518796991</v>
      </c>
      <c r="N183" s="56" cm="1">
        <f t="array" ref="N183:O183">LINEST(E159:E183,D159:D183)</f>
        <v>1.545230769230814</v>
      </c>
      <c r="O183" s="56">
        <v>19.967759230769232</v>
      </c>
      <c r="P183" s="56" cm="1">
        <f t="array" ref="P183:Q183">LINEST(E154:E183,D154:D183)</f>
        <v>0.32966050389234797</v>
      </c>
      <c r="Q183" s="56">
        <v>20.000509806005098</v>
      </c>
      <c r="R183" s="56" cm="1">
        <f t="array" ref="R183:S183">LINEST(F174:F183,D174:D183)</f>
        <v>21.600000000000026</v>
      </c>
      <c r="S183" s="56">
        <v>-0.32300000000000084</v>
      </c>
      <c r="T183" s="56" cm="1">
        <f t="array" ref="T183:U183">LINEST(F169:F183,D169:D183)</f>
        <v>6.0942857142857134</v>
      </c>
      <c r="U183" s="56">
        <v>0.19299166666666676</v>
      </c>
      <c r="V183" s="56" cm="1">
        <f t="array" ref="V183:W183">LINEST(F164:F183,D164:D183)</f>
        <v>75.009924812030093</v>
      </c>
      <c r="W183" s="56">
        <v>-2.0612646616541355</v>
      </c>
      <c r="X183" s="56" cm="1">
        <f t="array" ref="X183:Y183">LINEST(F159:F183,D159:D183)</f>
        <v>11.769230769230779</v>
      </c>
      <c r="Y183" s="56">
        <v>-0.17338076923076939</v>
      </c>
      <c r="Z183" s="56" cm="1">
        <f t="array" ref="Z183:AA183">LINEST(F154:F183,D154:D183)</f>
        <v>1.8104920812477363</v>
      </c>
      <c r="AA183" s="56">
        <v>2.9440352927825736E-3</v>
      </c>
      <c r="AB183" s="37" cm="1">
        <f t="array" ref="AB183:AC183">LINEST(G174:G183,D174:D183)</f>
        <v>16.232727272727274</v>
      </c>
      <c r="AC183" s="37">
        <v>-0.45560000000000012</v>
      </c>
      <c r="AD183" s="37" cm="1">
        <f t="array" ref="AD183:AE183">LINEST(G169:G183,D169:D183)</f>
        <v>16.38</v>
      </c>
      <c r="AE183" s="37">
        <v>-0.45967499999999989</v>
      </c>
      <c r="AF183" s="37" cm="1">
        <f t="array" ref="AF183:AG183">LINEST(G164:G183,D164:D183)</f>
        <v>8.488421052631578</v>
      </c>
      <c r="AG183" s="37">
        <v>-0.20935789473684208</v>
      </c>
      <c r="AH183" s="37" cm="1">
        <f t="array" ref="AH183:AI183">LINEST(G159:G183,D159:D183)</f>
        <v>-6.9618461538461531</v>
      </c>
      <c r="AI183" s="37">
        <v>0.25987615384615381</v>
      </c>
      <c r="AJ183" s="37" cm="1">
        <f t="array" ref="AJ183:AK183">LINEST(G154:G183,D154:D183)</f>
        <v>0.26783476491838315</v>
      </c>
      <c r="AK183" s="37">
        <v>0.11978998108147719</v>
      </c>
    </row>
    <row r="184" spans="1:37" x14ac:dyDescent="0.25">
      <c r="A184" s="61">
        <v>502</v>
      </c>
      <c r="B184" s="14">
        <f t="shared" si="2"/>
        <v>178</v>
      </c>
      <c r="C184" s="15">
        <v>43981</v>
      </c>
      <c r="D184" s="16">
        <v>4.1250000000000002E-2</v>
      </c>
      <c r="E184" s="36">
        <v>20.12</v>
      </c>
      <c r="F184" s="36">
        <v>0.5</v>
      </c>
      <c r="G184" s="36">
        <v>0.24</v>
      </c>
      <c r="H184" s="56" cm="1">
        <f t="array" ref="H184:I184">LINEST(E175:E184,D175:D184)</f>
        <v>9.9054545454545746</v>
      </c>
      <c r="I184" s="56">
        <v>19.70230909090909</v>
      </c>
      <c r="J184" s="56" cm="1">
        <f t="array" ref="J184:K184">LINEST(E170:E184,D170:D184)</f>
        <v>7.6628571428571703</v>
      </c>
      <c r="K184" s="56">
        <v>19.783740476190477</v>
      </c>
      <c r="L184" s="56" cm="1">
        <f t="array" ref="L184:M184">LINEST(E165:E184,D165:D184)</f>
        <v>6.0198496240602015</v>
      </c>
      <c r="M184" s="56">
        <v>19.838109774436088</v>
      </c>
      <c r="N184" s="56" cm="1">
        <f t="array" ref="N184:O184">LINEST(E160:E184,D160:D184)</f>
        <v>2.580923076923122</v>
      </c>
      <c r="O184" s="56">
        <v>19.943352307692308</v>
      </c>
      <c r="P184" s="56" cm="1">
        <f t="array" ref="P184:Q184">LINEST(E155:E184,D155:D184)</f>
        <v>0.82812013348167324</v>
      </c>
      <c r="Q184" s="56">
        <v>19.993517463848722</v>
      </c>
      <c r="R184" s="56" cm="1">
        <f t="array" ref="R184:S184">LINEST(F175:F184,D175:D184)</f>
        <v>46.385454545454522</v>
      </c>
      <c r="S184" s="56">
        <v>-1.254490909090908</v>
      </c>
      <c r="T184" s="56" cm="1">
        <f t="array" ref="T184:U184">LINEST(F170:F184,D170:D184)</f>
        <v>9.2057142857142793</v>
      </c>
      <c r="U184" s="56">
        <v>9.1764285714285909E-2</v>
      </c>
      <c r="V184" s="56" cm="1">
        <f t="array" ref="V184:W184">LINEST(F165:F184,D165:D184)</f>
        <v>64.421052631578974</v>
      </c>
      <c r="W184" s="56">
        <v>-1.7683684210526325</v>
      </c>
      <c r="X184" s="56" cm="1">
        <f t="array" ref="X184:Y184">LINEST(F160:F184,D160:D184)</f>
        <v>30.561230769230779</v>
      </c>
      <c r="Y184" s="56">
        <v>-0.72529692307692339</v>
      </c>
      <c r="Z184" s="56" cm="1">
        <f t="array" ref="Z184:AA184">LINEST(F155:F184,D155:D184)</f>
        <v>15.657397107897669</v>
      </c>
      <c r="AA184" s="56">
        <v>-0.27354505005561747</v>
      </c>
      <c r="AB184" s="37" cm="1">
        <f t="array" ref="AB184:AC184">LINEST(G175:G184,D175:D184)</f>
        <v>18.763636363636358</v>
      </c>
      <c r="AC184" s="37">
        <v>-0.5447272727272725</v>
      </c>
      <c r="AD184" s="37" cm="1">
        <f t="array" ref="AD184:AE184">LINEST(G170:G184,D170:D184)</f>
        <v>15.891428571428566</v>
      </c>
      <c r="AE184" s="37">
        <v>-0.43968809523809504</v>
      </c>
      <c r="AF184" s="37" cm="1">
        <f t="array" ref="AF184:AG184">LINEST(G165:G184,D165:D184)</f>
        <v>12.862556390977447</v>
      </c>
      <c r="AG184" s="37">
        <v>-0.34186616541353393</v>
      </c>
      <c r="AH184" s="37" cm="1">
        <f t="array" ref="AH184:AI184">LINEST(G160:G184,D160:D184)</f>
        <v>-3.9932307692307689</v>
      </c>
      <c r="AI184" s="37">
        <v>0.19096692307692309</v>
      </c>
      <c r="AJ184" s="37" cm="1">
        <f t="array" ref="AJ184:AK184">LINEST(G155:G184,D155:D184)</f>
        <v>-6.5576863181312612</v>
      </c>
      <c r="AK184" s="37">
        <v>0.2664400444938822</v>
      </c>
    </row>
    <row r="185" spans="1:37" x14ac:dyDescent="0.25">
      <c r="A185" s="61">
        <v>502</v>
      </c>
      <c r="B185" s="14">
        <f t="shared" si="2"/>
        <v>179</v>
      </c>
      <c r="C185" s="15">
        <v>43981</v>
      </c>
      <c r="D185" s="16">
        <v>4.2638888888888893E-2</v>
      </c>
      <c r="E185" s="36">
        <v>20.14</v>
      </c>
      <c r="F185" s="36">
        <v>0.69</v>
      </c>
      <c r="G185" s="36">
        <v>0.27</v>
      </c>
      <c r="H185" s="56" cm="1">
        <f t="array" ref="H185:I185">LINEST(E176:E185,D176:D185)</f>
        <v>10.167272727272744</v>
      </c>
      <c r="I185" s="56">
        <v>19.695024242424239</v>
      </c>
      <c r="J185" s="56" cm="1">
        <f t="array" ref="J185:K185">LINEST(E171:E185,D171:D185)</f>
        <v>8.3828571428571816</v>
      </c>
      <c r="K185" s="56">
        <v>19.761397619047617</v>
      </c>
      <c r="L185" s="56" cm="1">
        <f t="array" ref="L185:M185">LINEST(E166:E185,D166:D185)</f>
        <v>7.1945864661654486</v>
      </c>
      <c r="M185" s="56">
        <v>19.802659398496246</v>
      </c>
      <c r="N185" s="56" cm="1">
        <f t="array" ref="N185:O185">LINEST(E161:E185,D161:D185)</f>
        <v>4.2092307692308131</v>
      </c>
      <c r="O185" s="56">
        <v>19.898676923076923</v>
      </c>
      <c r="P185" s="56" cm="1">
        <f t="array" ref="P185:Q185">LINEST(E156:E185,D156:D185)</f>
        <v>2.9616907675194981</v>
      </c>
      <c r="Q185" s="56">
        <v>19.938361957730812</v>
      </c>
      <c r="R185" s="56" cm="1">
        <f t="array" ref="R185:S185">LINEST(F176:F185,D176:D185)</f>
        <v>7.679999999999974</v>
      </c>
      <c r="S185" s="56">
        <v>0.22853333333333431</v>
      </c>
      <c r="T185" s="56" cm="1">
        <f t="array" ref="T185:U185">LINEST(F171:F185,D171:D185)</f>
        <v>23.142857142857142</v>
      </c>
      <c r="U185" s="56">
        <v>-0.38645238095238099</v>
      </c>
      <c r="V185" s="56" cm="1">
        <f t="array" ref="V185:W185">LINEST(F166:F185,D166:D185)</f>
        <v>53.621052631578941</v>
      </c>
      <c r="W185" s="56">
        <v>-1.4303421052631577</v>
      </c>
      <c r="X185" s="56" cm="1">
        <f t="array" ref="X185:Y185">LINEST(F161:F185,D161:D185)</f>
        <v>49.115076923076913</v>
      </c>
      <c r="Y185" s="56">
        <v>-1.3016276923076922</v>
      </c>
      <c r="Z185" s="56" cm="1">
        <f t="array" ref="Z185:AA185">LINEST(F156:F185,D156:D185)</f>
        <v>16.725784204671861</v>
      </c>
      <c r="AA185" s="56">
        <v>-0.28566347793845026</v>
      </c>
      <c r="AB185" s="37" cm="1">
        <f t="array" ref="AB185:AC185">LINEST(G176:G185,D176:D185)</f>
        <v>17.672727272727258</v>
      </c>
      <c r="AC185" s="37">
        <v>-0.50009090909090848</v>
      </c>
      <c r="AD185" s="37" cm="1">
        <f t="array" ref="AD185:AE185">LINEST(G171:G185,D171:D185)</f>
        <v>16.328571428571422</v>
      </c>
      <c r="AE185" s="37">
        <v>-0.45148214285714267</v>
      </c>
      <c r="AF185" s="37" cm="1">
        <f t="array" ref="AF185:AG185">LINEST(G166:G185,D166:D185)</f>
        <v>16.024060150375941</v>
      </c>
      <c r="AG185" s="37">
        <v>-0.44281954887218056</v>
      </c>
      <c r="AH185" s="37" cm="1">
        <f t="array" ref="AH185:AI185">LINEST(G161:G185,D161:D185)</f>
        <v>0.11630769230769354</v>
      </c>
      <c r="AI185" s="37">
        <v>8.0579230769230736E-2</v>
      </c>
      <c r="AJ185" s="37" cm="1">
        <f t="array" ref="AJ185:AK185">LINEST(G156:G185,D156:D185)</f>
        <v>-4.7460734149054504</v>
      </c>
      <c r="AK185" s="37">
        <v>0.23178665183537267</v>
      </c>
    </row>
    <row r="186" spans="1:37" x14ac:dyDescent="0.25">
      <c r="A186" s="61">
        <v>502</v>
      </c>
      <c r="B186" s="14">
        <f t="shared" si="2"/>
        <v>180</v>
      </c>
      <c r="C186" s="15">
        <v>43981</v>
      </c>
      <c r="D186" s="16">
        <v>4.4027777777777777E-2</v>
      </c>
      <c r="E186" s="36">
        <v>20.14</v>
      </c>
      <c r="F186" s="36">
        <v>-0.04</v>
      </c>
      <c r="G186" s="36">
        <v>0.25</v>
      </c>
      <c r="H186" s="56" cm="1">
        <f t="array" ref="H186:I186">LINEST(E177:E186,D177:D186)</f>
        <v>10.952727272727245</v>
      </c>
      <c r="I186" s="56">
        <v>19.663230303030304</v>
      </c>
      <c r="J186" s="56" cm="1">
        <f t="array" ref="J186:K186">LINEST(E172:E186,D172:D186)</f>
        <v>9.0514285714286125</v>
      </c>
      <c r="K186" s="56">
        <v>19.737485714285711</v>
      </c>
      <c r="L186" s="56" cm="1">
        <f t="array" ref="L186:M186">LINEST(E167:E186,D167:D186)</f>
        <v>7.9795488721804713</v>
      </c>
      <c r="M186" s="56">
        <v>19.776963909774434</v>
      </c>
      <c r="N186" s="56" cm="1">
        <f t="array" ref="N186:O186">LINEST(E162:E186,D162:D186)</f>
        <v>5.6049230769231082</v>
      </c>
      <c r="O186" s="56">
        <v>19.857043076923077</v>
      </c>
      <c r="P186" s="56" cm="1">
        <f t="array" ref="P186:Q186">LINEST(E157:E186,D157:D186)</f>
        <v>3.0674082313682138</v>
      </c>
      <c r="Q186" s="56">
        <v>19.93972302558398</v>
      </c>
      <c r="R186" s="56" cm="1">
        <f t="array" ref="R186:S186">LINEST(F177:F186,D177:D186)</f>
        <v>25.134545454545446</v>
      </c>
      <c r="S186" s="56">
        <v>-0.57752727272727244</v>
      </c>
      <c r="T186" s="56" cm="1">
        <f t="array" ref="T186:U186">LINEST(F172:F186,D172:D186)</f>
        <v>20.288571428571423</v>
      </c>
      <c r="U186" s="56">
        <v>-0.36334404761904765</v>
      </c>
      <c r="V186" s="56" cm="1">
        <f t="array" ref="V186:W186">LINEST(F167:F186,D167:D186)</f>
        <v>32.941353383458654</v>
      </c>
      <c r="W186" s="56">
        <v>-0.79419172932330862</v>
      </c>
      <c r="X186" s="56" cm="1">
        <f t="array" ref="X186:Y186">LINEST(F162:F186,D162:D186)</f>
        <v>42.657230769230765</v>
      </c>
      <c r="Y186" s="56">
        <v>-1.1583492307692307</v>
      </c>
      <c r="Z186" s="56" cm="1">
        <f t="array" ref="Z186:AA186">LINEST(F157:F186,D157:D186)</f>
        <v>14.07964404894328</v>
      </c>
      <c r="AA186" s="56">
        <v>-0.23634705228031172</v>
      </c>
      <c r="AB186" s="37" cm="1">
        <f t="array" ref="AB186:AC186">LINEST(G177:G186,D177:D186)</f>
        <v>18.370909090909088</v>
      </c>
      <c r="AC186" s="37">
        <v>-0.53301212121212105</v>
      </c>
      <c r="AD186" s="37" cm="1">
        <f t="array" ref="AD186:AE186">LINEST(G172:G186,D172:D186)</f>
        <v>16.688571428571425</v>
      </c>
      <c r="AE186" s="37">
        <v>-0.46717738095238098</v>
      </c>
      <c r="AF186" s="37" cm="1">
        <f t="array" ref="AF186:AG186">LINEST(G167:G186,D167:D186)</f>
        <v>17.399097744360901</v>
      </c>
      <c r="AG186" s="37">
        <v>-0.49247218045112778</v>
      </c>
      <c r="AH186" s="37" cm="1">
        <f t="array" ref="AH186:AI186">LINEST(G162:G186,D162:D186)</f>
        <v>3.4283076923076914</v>
      </c>
      <c r="AI186" s="37">
        <v>-1.5802307692307671E-2</v>
      </c>
      <c r="AJ186" s="37" cm="1">
        <f t="array" ref="AJ186:AK186">LINEST(G157:G186,D157:D186)</f>
        <v>-3.2468075639599565</v>
      </c>
      <c r="AK186" s="37">
        <v>0.20056262513904341</v>
      </c>
    </row>
    <row r="187" spans="1:37" x14ac:dyDescent="0.25">
      <c r="A187" s="61">
        <v>502</v>
      </c>
      <c r="B187" s="14">
        <f t="shared" si="2"/>
        <v>181</v>
      </c>
      <c r="C187" s="15">
        <v>43981</v>
      </c>
      <c r="D187" s="16">
        <v>4.5416666666666668E-2</v>
      </c>
      <c r="E187" s="36">
        <v>20.149999999999999</v>
      </c>
      <c r="F187" s="36">
        <v>0.15</v>
      </c>
      <c r="G187" s="36">
        <v>0.24</v>
      </c>
      <c r="H187" s="56" cm="1">
        <f t="array" ref="H187:I187">LINEST(E178:E187,D178:D187)</f>
        <v>10.603636363636296</v>
      </c>
      <c r="I187" s="56">
        <v>19.675690909090914</v>
      </c>
      <c r="J187" s="56" cm="1">
        <f t="array" ref="J187:K187">LINEST(E173:E187,D173:D187)</f>
        <v>9.4885714285714382</v>
      </c>
      <c r="K187" s="56">
        <v>19.720644047619047</v>
      </c>
      <c r="L187" s="56" cm="1">
        <f t="array" ref="L187:M187">LINEST(E168:E187,D168:D187)</f>
        <v>8.4559398496240483</v>
      </c>
      <c r="M187" s="56">
        <v>19.760530827067669</v>
      </c>
      <c r="N187" s="56" cm="1">
        <f t="array" ref="N187:O187">LINEST(E163:E187,D163:D187)</f>
        <v>7.4658461538461793</v>
      </c>
      <c r="O187" s="56">
        <v>19.796156923076921</v>
      </c>
      <c r="P187" s="56" cm="1">
        <f t="array" ref="P187:Q187">LINEST(E158:E187,D158:D187)</f>
        <v>3.3413125695217163</v>
      </c>
      <c r="Q187" s="56">
        <v>19.935539043381535</v>
      </c>
      <c r="R187" s="56" cm="1">
        <f t="array" ref="R187:S187">LINEST(F178:F187,D178:D187)</f>
        <v>-10.560000000000004</v>
      </c>
      <c r="S187" s="56">
        <v>0.81960000000000011</v>
      </c>
      <c r="T187" s="56" cm="1">
        <f t="array" ref="T187:U187">LINEST(F173:F187,D173:D187)</f>
        <v>11.597142857142842</v>
      </c>
      <c r="U187" s="56">
        <v>-7.5953571428570898E-2</v>
      </c>
      <c r="V187" s="56" cm="1">
        <f t="array" ref="V187:W187">LINEST(F168:F187,D168:D187)</f>
        <v>12.635187969924811</v>
      </c>
      <c r="W187" s="56">
        <v>-0.10313383458646608</v>
      </c>
      <c r="X187" s="56" cm="1">
        <f t="array" ref="X187:Y187">LINEST(F163:F187,D163:D187)</f>
        <v>56.420307692307681</v>
      </c>
      <c r="Y187" s="56">
        <v>-1.6788838461538458</v>
      </c>
      <c r="Z187" s="56" cm="1">
        <f t="array" ref="Z187:AA187">LINEST(F158:F187,D158:D187)</f>
        <v>12.226384872080091</v>
      </c>
      <c r="AA187" s="56">
        <v>-0.19338917315535786</v>
      </c>
      <c r="AB187" s="37" cm="1">
        <f t="array" ref="AB187:AC187">LINEST(G178:G187,D178:D187)</f>
        <v>16.145454545454541</v>
      </c>
      <c r="AC187" s="37">
        <v>-0.45236363636363625</v>
      </c>
      <c r="AD187" s="37" cm="1">
        <f t="array" ref="AD187:AE187">LINEST(G173:G187,D173:D187)</f>
        <v>16.328571428571419</v>
      </c>
      <c r="AE187" s="37">
        <v>-0.45950595238095215</v>
      </c>
      <c r="AF187" s="37" cm="1">
        <f t="array" ref="AF187:AG187">LINEST(G168:G187,D168:D187)</f>
        <v>16.98225563909774</v>
      </c>
      <c r="AG187" s="37">
        <v>-0.48270601503759381</v>
      </c>
      <c r="AH187" s="37" cm="1">
        <f t="array" ref="AH187:AI187">LINEST(G163:G187,D163:D187)</f>
        <v>7.543384615384614</v>
      </c>
      <c r="AI187" s="37">
        <v>-0.14927230769230768</v>
      </c>
      <c r="AJ187" s="37" cm="1">
        <f t="array" ref="AJ187:AK187">LINEST(G158:G187,D158:D187)</f>
        <v>-2.0230478309232449</v>
      </c>
      <c r="AK187" s="37">
        <v>0.17347148683722646</v>
      </c>
    </row>
    <row r="188" spans="1:37" x14ac:dyDescent="0.25">
      <c r="A188" s="61">
        <v>502</v>
      </c>
      <c r="B188" s="14">
        <f t="shared" si="2"/>
        <v>182</v>
      </c>
      <c r="C188" s="15">
        <v>43981</v>
      </c>
      <c r="D188" s="16">
        <v>4.6805555555555552E-2</v>
      </c>
      <c r="E188" s="36">
        <v>20.16</v>
      </c>
      <c r="F188" s="36">
        <v>0.5</v>
      </c>
      <c r="G188" s="36">
        <v>0.26</v>
      </c>
      <c r="H188" s="56" cm="1">
        <f t="array" ref="H188:I188">LINEST(E179:E188,D179:D188)</f>
        <v>10.385454545454515</v>
      </c>
      <c r="I188" s="56">
        <v>19.682812121212127</v>
      </c>
      <c r="J188" s="56" cm="1">
        <f t="array" ref="J188:K188">LINEST(E174:E188,D174:D188)</f>
        <v>9.4628571428571231</v>
      </c>
      <c r="K188" s="56">
        <v>19.721085714285714</v>
      </c>
      <c r="L188" s="56" cm="1">
        <f t="array" ref="L188:M188">LINEST(E169:E188,D169:D188)</f>
        <v>8.4775939849624127</v>
      </c>
      <c r="M188" s="56">
        <v>19.760058646616539</v>
      </c>
      <c r="N188" s="56" cm="1">
        <f t="array" ref="N188:O188">LINEST(E164:E188,D164:D188)</f>
        <v>8.739692307692339</v>
      </c>
      <c r="O188" s="56">
        <v>19.751795384615381</v>
      </c>
      <c r="P188" s="56" cm="1">
        <f t="array" ref="P188:Q188">LINEST(E159:E188,D159:D188)</f>
        <v>3.693704115684123</v>
      </c>
      <c r="Q188" s="56">
        <v>19.928167890248421</v>
      </c>
      <c r="R188" s="56" cm="1">
        <f t="array" ref="R188:S188">LINEST(F179:F188,D179:D188)</f>
        <v>-8.59636363636365</v>
      </c>
      <c r="S188" s="56">
        <v>0.76763030303030355</v>
      </c>
      <c r="T188" s="56" cm="1">
        <f t="array" ref="T188:U188">LINEST(F174:F188,D174:D188)</f>
        <v>2.2114285714285802</v>
      </c>
      <c r="U188" s="56">
        <v>0.30665952380952355</v>
      </c>
      <c r="V188" s="56" cm="1">
        <f t="array" ref="V188:W188">LINEST(F169:F188,D169:D188)</f>
        <v>1.3046616541353395</v>
      </c>
      <c r="W188" s="56">
        <v>0.32864887218045108</v>
      </c>
      <c r="X188" s="56" cm="1">
        <f t="array" ref="X188:Y188">LINEST(F164:F188,D164:D188)</f>
        <v>49.729846153846182</v>
      </c>
      <c r="Y188" s="56">
        <v>-1.4756023076923084</v>
      </c>
      <c r="Z188" s="56" cm="1">
        <f t="array" ref="Z188:AA188">LINEST(F159:F188,D159:D188)</f>
        <v>11.84836484983315</v>
      </c>
      <c r="AA188" s="56">
        <v>-0.17295639599555065</v>
      </c>
      <c r="AB188" s="37" cm="1">
        <f t="array" ref="AB188:AC188">LINEST(G179:G188,D179:D188)</f>
        <v>14.00727272727273</v>
      </c>
      <c r="AC188" s="37">
        <v>-0.36907272727272727</v>
      </c>
      <c r="AD188" s="37" cm="1">
        <f t="array" ref="AD188:AE188">LINEST(G174:G188,D174:D188)</f>
        <v>15.222857142857142</v>
      </c>
      <c r="AE188" s="37">
        <v>-0.42051428571428573</v>
      </c>
      <c r="AF188" s="37" cm="1">
        <f t="array" ref="AF188:AG188">LINEST(G169:G188,D169:D188)</f>
        <v>15.75879699248121</v>
      </c>
      <c r="AG188" s="37">
        <v>-0.44117067669172949</v>
      </c>
      <c r="AH188" s="37" cm="1">
        <f t="array" ref="AH188:AI188">LINEST(G164:G188,D164:D188)</f>
        <v>10.855384615384621</v>
      </c>
      <c r="AI188" s="37">
        <v>-0.26316923076923093</v>
      </c>
      <c r="AJ188" s="37" cm="1">
        <f t="array" ref="AJ188:AK188">LINEST(G159:G188,D159:D188)</f>
        <v>-0.94825361512791706</v>
      </c>
      <c r="AK188" s="37">
        <v>0.14928676307007777</v>
      </c>
    </row>
    <row r="189" spans="1:37" x14ac:dyDescent="0.25">
      <c r="A189" s="61">
        <v>502</v>
      </c>
      <c r="B189" s="14">
        <f t="shared" si="2"/>
        <v>183</v>
      </c>
      <c r="C189" s="15">
        <v>43981</v>
      </c>
      <c r="D189" s="16">
        <v>4.8194444444444449E-2</v>
      </c>
      <c r="E189" s="36">
        <v>20.149999999999999</v>
      </c>
      <c r="F189" s="36">
        <v>-0.34</v>
      </c>
      <c r="G189" s="36">
        <v>0.21</v>
      </c>
      <c r="H189" s="56" cm="1">
        <f t="array" ref="H189:I189">LINEST(E180:E189,D180:D189)</f>
        <v>9.5999999999999179</v>
      </c>
      <c r="I189" s="56">
        <v>19.711333333333336</v>
      </c>
      <c r="J189" s="56" cm="1">
        <f t="array" ref="J189:K189">LINEST(E175:E189,D175:D189)</f>
        <v>9.3857142857142257</v>
      </c>
      <c r="K189" s="56">
        <v>19.720910714285715</v>
      </c>
      <c r="L189" s="56" cm="1">
        <f t="array" ref="L189:M189">LINEST(E170:E189,D170:D189)</f>
        <v>8.2502255639097495</v>
      </c>
      <c r="M189" s="56">
        <v>19.767242105263161</v>
      </c>
      <c r="N189" s="56" cm="1">
        <f t="array" ref="N189:O189">LINEST(E165:E189,D165:D189)</f>
        <v>7.0061538461538548</v>
      </c>
      <c r="O189" s="56">
        <v>19.814311538461535</v>
      </c>
      <c r="P189" s="56" cm="1">
        <f t="array" ref="P189:Q189">LINEST(E160:E189,D160:D189)</f>
        <v>4.3328142380422872</v>
      </c>
      <c r="Q189" s="56">
        <v>19.908773822766033</v>
      </c>
      <c r="R189" s="56" cm="1">
        <f t="array" ref="R189:S189">LINEST(F180:F189,D180:D189)</f>
        <v>-28.276363636363659</v>
      </c>
      <c r="S189" s="56">
        <v>1.5080363636363643</v>
      </c>
      <c r="T189" s="56" cm="1">
        <f t="array" ref="T189:U189">LINEST(F175:F189,D175:D189)</f>
        <v>-1.6200000000000059</v>
      </c>
      <c r="U189" s="56">
        <v>0.37232500000000035</v>
      </c>
      <c r="V189" s="56" cm="1">
        <f t="array" ref="V189:W189">LINEST(F170:F189,D170:D189)</f>
        <v>-5.4839097744360963</v>
      </c>
      <c r="W189" s="56">
        <v>0.52643684210526343</v>
      </c>
      <c r="X189" s="56" cm="1">
        <f t="array" ref="X189:Y189">LINEST(F165:F189,D165:D189)</f>
        <v>36.348923076923064</v>
      </c>
      <c r="Y189" s="56">
        <v>-1.0764007692307691</v>
      </c>
      <c r="Z189" s="56" cm="1">
        <f t="array" ref="Z189:AA189">LINEST(F160:F189,D160:D189)</f>
        <v>20.513993325917681</v>
      </c>
      <c r="AA189" s="56">
        <v>-0.52186481275491281</v>
      </c>
      <c r="AB189" s="37" cm="1">
        <f t="array" ref="AB189:AC189">LINEST(G180:G189,D180:D189)</f>
        <v>10.647272727272727</v>
      </c>
      <c r="AC189" s="37">
        <v>-0.23859393939393925</v>
      </c>
      <c r="AD189" s="37" cm="1">
        <f t="array" ref="AD189:AE189">LINEST(G175:G189,D175:D189)</f>
        <v>13.86</v>
      </c>
      <c r="AE189" s="37">
        <v>-0.37655833333333333</v>
      </c>
      <c r="AF189" s="37" cm="1">
        <f t="array" ref="AF189:AG189">LINEST(G170:G189,D170:D189)</f>
        <v>14.069774436090221</v>
      </c>
      <c r="AG189" s="37">
        <v>-0.3849421052631577</v>
      </c>
      <c r="AH189" s="37" cm="1">
        <f t="array" ref="AH189:AI189">LINEST(G165:G189,D165:D189)</f>
        <v>12.804923076923073</v>
      </c>
      <c r="AI189" s="37">
        <v>-0.33931076923076914</v>
      </c>
      <c r="AJ189" s="37" cm="1">
        <f t="array" ref="AJ189:AK189">LINEST(G160:G189,D160:D189)</f>
        <v>0.7224026696329271</v>
      </c>
      <c r="AK189" s="37">
        <v>9.8065925101965101E-2</v>
      </c>
    </row>
    <row r="190" spans="1:37" x14ac:dyDescent="0.25">
      <c r="A190" s="61">
        <v>502</v>
      </c>
      <c r="B190" s="14">
        <f t="shared" si="2"/>
        <v>184</v>
      </c>
      <c r="C190" s="15">
        <v>43981</v>
      </c>
      <c r="D190" s="16">
        <v>4.9583333333333333E-2</v>
      </c>
      <c r="E190" s="36">
        <v>20.18</v>
      </c>
      <c r="F190" s="36">
        <v>0.89</v>
      </c>
      <c r="G190" s="36">
        <v>0.27</v>
      </c>
      <c r="H190" s="56" cm="1">
        <f t="array" ref="H190:I190">LINEST(E181:E190,D181:D190)</f>
        <v>8.639999999999862</v>
      </c>
      <c r="I190" s="56">
        <v>19.753600000000006</v>
      </c>
      <c r="J190" s="56" cm="1">
        <f t="array" ref="J190:K190">LINEST(E176:E190,D176:D190)</f>
        <v>9.0514285714285059</v>
      </c>
      <c r="K190" s="56">
        <v>19.734533333333331</v>
      </c>
      <c r="L190" s="56" cm="1">
        <f t="array" ref="L190:M190">LINEST(E171:E190,D171:D190)</f>
        <v>8.4342857142856928</v>
      </c>
      <c r="M190" s="56">
        <v>19.760085714285715</v>
      </c>
      <c r="N190" s="56" cm="1">
        <f t="array" ref="N190:O190">LINEST(E166:E190,D166:D190)</f>
        <v>7.643076923076916</v>
      </c>
      <c r="O190" s="56">
        <v>19.791215384615388</v>
      </c>
      <c r="P190" s="56" cm="1">
        <f t="array" ref="P190:Q190">LINEST(E161:E190,D161:D190)</f>
        <v>5.4236262513904476</v>
      </c>
      <c r="Q190" s="56">
        <v>19.872971004820169</v>
      </c>
      <c r="R190" s="56" cm="1">
        <f t="array" ref="R190:S190">LINEST(F181:F190,D181:D190)</f>
        <v>-25.745454545454582</v>
      </c>
      <c r="S190" s="56">
        <v>1.535636363636365</v>
      </c>
      <c r="T190" s="56" cm="1">
        <f t="array" ref="T190:U190">LINEST(F176:F190,D176:D190)</f>
        <v>-11.957142857142854</v>
      </c>
      <c r="U190" s="56">
        <v>0.89262499999999989</v>
      </c>
      <c r="V190" s="56" cm="1">
        <f t="array" ref="V190:W190">LINEST(F171:F190,D171:D190)</f>
        <v>5.4081203007518663</v>
      </c>
      <c r="W190" s="56">
        <v>0.142704511278196</v>
      </c>
      <c r="X190" s="56" cm="1">
        <f t="array" ref="X190:Y190">LINEST(F166:F190,D166:D190)</f>
        <v>30.50030769230769</v>
      </c>
      <c r="Y190" s="56">
        <v>-0.83876846153846141</v>
      </c>
      <c r="Z190" s="56" cm="1">
        <f t="array" ref="Z190:AA190">LINEST(F161:F190,D161:D190)</f>
        <v>34.013793103448272</v>
      </c>
      <c r="AA190" s="56">
        <v>-0.98451724137931007</v>
      </c>
      <c r="AB190" s="37" cm="1">
        <f t="array" ref="AB190:AC190">LINEST(G181:G190,D181:D190)</f>
        <v>7.8981818181818166</v>
      </c>
      <c r="AC190" s="37">
        <v>-0.11725454545454536</v>
      </c>
      <c r="AD190" s="37" cm="1">
        <f t="array" ref="AD190:AE190">LINEST(G176:G190,D176:D190)</f>
        <v>11.854285714285712</v>
      </c>
      <c r="AE190" s="37">
        <v>-0.29519166666666663</v>
      </c>
      <c r="AF190" s="37" cm="1">
        <f t="array" ref="AF190:AG190">LINEST(G171:G190,D171:D190)</f>
        <v>13.382255639097743</v>
      </c>
      <c r="AG190" s="37">
        <v>-0.36096541353383449</v>
      </c>
      <c r="AH190" s="37" cm="1">
        <f t="array" ref="AH190:AI190">LINEST(G166:G190,D166:D190)</f>
        <v>14.21169230769231</v>
      </c>
      <c r="AI190" s="37">
        <v>-0.39540153846153847</v>
      </c>
      <c r="AJ190" s="37" cm="1">
        <f t="array" ref="AJ190:AK190">LINEST(G161:G190,D161:D190)</f>
        <v>3.3220912124582878</v>
      </c>
      <c r="AK190" s="37">
        <v>1.2849536522061528E-2</v>
      </c>
    </row>
    <row r="191" spans="1:37" x14ac:dyDescent="0.25">
      <c r="A191" s="61">
        <v>502</v>
      </c>
      <c r="B191" s="14">
        <f t="shared" si="2"/>
        <v>185</v>
      </c>
      <c r="C191" s="15">
        <v>43981</v>
      </c>
      <c r="D191" s="16">
        <v>5.0972222222222224E-2</v>
      </c>
      <c r="E191" s="36">
        <v>19.89</v>
      </c>
      <c r="F191" s="36">
        <v>0.89</v>
      </c>
      <c r="G191" s="36">
        <v>0.31</v>
      </c>
      <c r="H191" s="56" cm="1">
        <f t="array" ref="H191:I191">LINEST(E182:E191,D182:D191)</f>
        <v>-4.4509090909091817</v>
      </c>
      <c r="I191" s="56">
        <v>20.311054545454553</v>
      </c>
      <c r="J191" s="56" cm="1">
        <f t="array" ref="J191:K191">LINEST(E177:E191,D177:D191)</f>
        <v>3.8057142857142128</v>
      </c>
      <c r="K191" s="56">
        <v>19.929680952380952</v>
      </c>
      <c r="L191" s="56" cm="1">
        <f t="array" ref="L191:M191">LINEST(E172:E191,D172:D191)</f>
        <v>5.6246616541353234</v>
      </c>
      <c r="M191" s="56">
        <v>19.850012781954884</v>
      </c>
      <c r="N191" s="56" cm="1">
        <f t="array" ref="N191:O191">LINEST(E167:E191,D167:D191)</f>
        <v>6.1033846153846039</v>
      </c>
      <c r="O191" s="56">
        <v>19.830219999999997</v>
      </c>
      <c r="P191" s="56" cm="1">
        <f t="array" ref="P191:Q191">LINEST(E162:E191,D162:D191)</f>
        <v>4.9959510567297043</v>
      </c>
      <c r="Q191" s="56">
        <v>19.872291509084164</v>
      </c>
      <c r="R191" s="56" cm="1">
        <f t="array" ref="R191:S191">LINEST(F182:F191,D182:D191)</f>
        <v>-18.807272727272739</v>
      </c>
      <c r="S191" s="56">
        <v>1.3321030303030308</v>
      </c>
      <c r="T191" s="56" cm="1">
        <f t="array" ref="T191:U191">LINEST(F177:F191,D177:D191)</f>
        <v>15.17142857142855</v>
      </c>
      <c r="U191" s="56">
        <v>-0.23848809523809433</v>
      </c>
      <c r="V191" s="56" cm="1">
        <f t="array" ref="V191:W191">LINEST(F172:F191,D172:D191)</f>
        <v>14.031879699248108</v>
      </c>
      <c r="W191" s="56">
        <v>-0.1760932330827063</v>
      </c>
      <c r="X191" s="56" cm="1">
        <f t="array" ref="X191:Y191">LINEST(F167:F191,D167:D191)</f>
        <v>23.327999999999992</v>
      </c>
      <c r="Y191" s="56">
        <v>-0.53947999999999974</v>
      </c>
      <c r="Z191" s="56" cm="1">
        <f t="array" ref="Z191:AA191">LINEST(F162:F191,D162:D191)</f>
        <v>33.465984427141251</v>
      </c>
      <c r="AA191" s="56">
        <v>-0.95486785317018863</v>
      </c>
      <c r="AB191" s="37" cm="1">
        <f t="array" ref="AB191:AC191">LINEST(G182:G191,D182:D191)</f>
        <v>5.716363636363635</v>
      </c>
      <c r="AC191" s="37">
        <v>-1.0648484848484768E-2</v>
      </c>
      <c r="AD191" s="37" cm="1">
        <f t="array" ref="AD191:AE191">LINEST(G177:G191,D177:D191)</f>
        <v>12.034285714285712</v>
      </c>
      <c r="AE191" s="37">
        <v>-0.30308095238095223</v>
      </c>
      <c r="AF191" s="37" cm="1">
        <f t="array" ref="AF191:AG191">LINEST(G172:G191,D172:D191)</f>
        <v>13.387669172932329</v>
      </c>
      <c r="AG191" s="37">
        <v>-0.3622563909774435</v>
      </c>
      <c r="AH191" s="37" cm="1">
        <f t="array" ref="AH191:AI191">LINEST(G167:G191,D167:D191)</f>
        <v>14.90953846153846</v>
      </c>
      <c r="AI191" s="37">
        <v>-0.42467999999999995</v>
      </c>
      <c r="AJ191" s="37" cm="1">
        <f t="array" ref="AJ191:AK191">LINEST(G162:G191,D162:D191)</f>
        <v>5.6350611790878746</v>
      </c>
      <c r="AK191" s="37">
        <v>-6.5747719688542761E-2</v>
      </c>
    </row>
    <row r="192" spans="1:37" x14ac:dyDescent="0.25">
      <c r="A192" s="61">
        <v>502</v>
      </c>
      <c r="B192" s="14">
        <f t="shared" si="2"/>
        <v>186</v>
      </c>
      <c r="C192" s="15">
        <v>43981</v>
      </c>
      <c r="D192" s="16">
        <v>5.2361111111111108E-2</v>
      </c>
      <c r="E192" s="36">
        <v>19.940000000000001</v>
      </c>
      <c r="F192" s="36">
        <v>0.89</v>
      </c>
      <c r="G192" s="36">
        <v>0.36</v>
      </c>
      <c r="H192" s="56" cm="1">
        <f t="array" ref="H192:I192">LINEST(E183:E192,D183:D192)</f>
        <v>-12.261818181818242</v>
      </c>
      <c r="I192" s="56">
        <v>20.662406060606063</v>
      </c>
      <c r="J192" s="56" cm="1">
        <f t="array" ref="J192:K192">LINEST(E178:E192,D178:D192)</f>
        <v>-0.41142857142859973</v>
      </c>
      <c r="K192" s="56">
        <v>20.099542857142854</v>
      </c>
      <c r="L192" s="56" cm="1">
        <f t="array" ref="L192:M192">LINEST(E173:E192,D173:D192)</f>
        <v>3.4267669172932358</v>
      </c>
      <c r="M192" s="56">
        <v>19.926284962406012</v>
      </c>
      <c r="N192" s="56" cm="1">
        <f t="array" ref="N192:O192">LINEST(E168:E192,D168:D192)</f>
        <v>4.7963076923076802</v>
      </c>
      <c r="O192" s="56">
        <v>19.867998461538459</v>
      </c>
      <c r="P192" s="56" cm="1">
        <f t="array" ref="P192:Q192">LINEST(E163:E192,D163:D192)</f>
        <v>5.159332591768643</v>
      </c>
      <c r="Q192" s="56">
        <v>19.853421505376339</v>
      </c>
      <c r="R192" s="56" cm="1">
        <f t="array" ref="R192:S192">LINEST(F183:F192,D183:D192)</f>
        <v>28.014545454545448</v>
      </c>
      <c r="S192" s="56">
        <v>-0.82578181818181773</v>
      </c>
      <c r="T192" s="56" cm="1">
        <f t="array" ref="T192:U192">LINEST(F178:F192,D178:D192)</f>
        <v>12.342857142857133</v>
      </c>
      <c r="U192" s="56">
        <v>-6.6952380952380541E-2</v>
      </c>
      <c r="V192" s="56" cm="1">
        <f t="array" ref="V192:W192">LINEST(F173:F192,D173:D192)</f>
        <v>16.316390977443607</v>
      </c>
      <c r="W192" s="56">
        <v>-0.24405864661654131</v>
      </c>
      <c r="X192" s="56" cm="1">
        <f t="array" ref="X192:Y192">LINEST(F168:F192,D168:D192)</f>
        <v>14.831999999999997</v>
      </c>
      <c r="Y192" s="56">
        <v>-0.17301999999999984</v>
      </c>
      <c r="Z192" s="56" cm="1">
        <f t="array" ref="Z192:AA192">LINEST(F163:F192,D163:D192)</f>
        <v>45.748431590656281</v>
      </c>
      <c r="AA192" s="56">
        <v>-1.427116129032258</v>
      </c>
      <c r="AB192" s="37" cm="1">
        <f t="array" ref="AB192:AC192">LINEST(G183:G192,D183:D192)</f>
        <v>7.5927272727272719</v>
      </c>
      <c r="AC192" s="37">
        <v>-8.8109090909090859E-2</v>
      </c>
      <c r="AD192" s="37" cm="1">
        <f t="array" ref="AD192:AE192">LINEST(G178:G192,D178:D192)</f>
        <v>12.085714285714287</v>
      </c>
      <c r="AE192" s="37">
        <v>-0.30132142857142863</v>
      </c>
      <c r="AF192" s="37" cm="1">
        <f t="array" ref="AF192:AG192">LINEST(G173:G192,D173:D192)</f>
        <v>13.642105263157893</v>
      </c>
      <c r="AG192" s="37">
        <v>-0.37131578947368421</v>
      </c>
      <c r="AH192" s="37" cm="1">
        <f t="array" ref="AH192:AI192">LINEST(G168:G192,D168:D192)</f>
        <v>14.876307692307689</v>
      </c>
      <c r="AI192" s="37">
        <v>-0.42300153846153843</v>
      </c>
      <c r="AJ192" s="37" cm="1">
        <f t="array" ref="AJ192:AK192">LINEST(G163:G192,D163:D192)</f>
        <v>8.7521245828698557</v>
      </c>
      <c r="AK192" s="37">
        <v>-0.17867956989247313</v>
      </c>
    </row>
    <row r="193" spans="1:37" x14ac:dyDescent="0.25">
      <c r="A193" s="61">
        <v>502</v>
      </c>
      <c r="B193" s="14">
        <f t="shared" si="2"/>
        <v>187</v>
      </c>
      <c r="C193" s="15">
        <v>43981</v>
      </c>
      <c r="D193" s="16">
        <v>5.3749999999999999E-2</v>
      </c>
      <c r="E193" s="36">
        <v>19.93</v>
      </c>
      <c r="F193" s="36">
        <v>0.89</v>
      </c>
      <c r="G193" s="36">
        <v>0.4</v>
      </c>
      <c r="H193" s="56" cm="1">
        <f t="array" ref="H193:I193">LINEST(E184:E193,D184:D193)</f>
        <v>-18.676363636363664</v>
      </c>
      <c r="I193" s="56">
        <v>20.967127272727275</v>
      </c>
      <c r="J193" s="56" cm="1">
        <f t="array" ref="J193:K193">LINEST(E179:E193,D179:D193)</f>
        <v>-4.2171428571428775</v>
      </c>
      <c r="K193" s="56">
        <v>20.261004761904765</v>
      </c>
      <c r="L193" s="56" cm="1">
        <f t="array" ref="L193:M193">LINEST(E174:E193,D174:D193)</f>
        <v>1.0556390977443437</v>
      </c>
      <c r="M193" s="56">
        <v>20.015687969924812</v>
      </c>
      <c r="N193" s="56" cm="1">
        <f t="array" ref="N193:O193">LINEST(E169:E193,D169:D193)</f>
        <v>3.2123076923076872</v>
      </c>
      <c r="O193" s="56">
        <v>19.920476923076919</v>
      </c>
      <c r="P193" s="56" cm="1">
        <f t="array" ref="P193:Q193">LINEST(E164:E193,D164:D193)</f>
        <v>4.8934371523915621</v>
      </c>
      <c r="Q193" s="56">
        <v>19.851192806822393</v>
      </c>
      <c r="R193" s="56" cm="1">
        <f t="array" ref="R193:S193">LINEST(F184:F193,D184:D193)</f>
        <v>47.738181818181822</v>
      </c>
      <c r="S193" s="56">
        <v>-1.7655636363636364</v>
      </c>
      <c r="T193" s="56" cm="1">
        <f t="array" ref="T193:U193">LINEST(F179:F193,D179:D193)</f>
        <v>18.257142857142849</v>
      </c>
      <c r="U193" s="56">
        <v>-0.30982142857142814</v>
      </c>
      <c r="V193" s="56" cm="1">
        <f t="array" ref="V193:W193">LINEST(F174:F193,D174:D193)</f>
        <v>13.961503759398497</v>
      </c>
      <c r="W193" s="56">
        <v>-0.11371654135338338</v>
      </c>
      <c r="X193" s="56" cm="1">
        <f t="array" ref="X193:Y193">LINEST(F169:F193,D169:D193)</f>
        <v>9.5483076923076897</v>
      </c>
      <c r="Y193" s="56">
        <v>7.271692307692329E-2</v>
      </c>
      <c r="Z193" s="56" cm="1">
        <f t="array" ref="Z193:AA193">LINEST(F164:F193,D164:D193)</f>
        <v>41.982647385984414</v>
      </c>
      <c r="AA193" s="56">
        <v>-1.284416759362254</v>
      </c>
      <c r="AB193" s="37" cm="1">
        <f t="array" ref="AB193:AC193">LINEST(G184:G193,D184:D193)</f>
        <v>10.516363636363641</v>
      </c>
      <c r="AC193" s="37">
        <v>-0.2185272727272729</v>
      </c>
      <c r="AD193" s="37" cm="1">
        <f t="array" ref="AD193:AE193">LINEST(G179:G193,D179:D193)</f>
        <v>12.471428571428568</v>
      </c>
      <c r="AE193" s="37">
        <v>-0.31308928571428551</v>
      </c>
      <c r="AF193" s="37" cm="1">
        <f t="array" ref="AF193:AG193">LINEST(G174:G193,D174:D193)</f>
        <v>13.658345864661651</v>
      </c>
      <c r="AG193" s="37">
        <v>-0.36842180451127804</v>
      </c>
      <c r="AH193" s="37" cm="1">
        <f t="array" ref="AH193:AI193">LINEST(G169:G193,D169:D193)</f>
        <v>14.455384615384611</v>
      </c>
      <c r="AI193" s="37">
        <v>-0.40325384615384596</v>
      </c>
      <c r="AJ193" s="37" cm="1">
        <f t="array" ref="AJ193:AK193">LINEST(G164:G193,D164:D193)</f>
        <v>11.355016685205783</v>
      </c>
      <c r="AK193" s="37">
        <v>-0.27665472747497216</v>
      </c>
    </row>
    <row r="194" spans="1:37" x14ac:dyDescent="0.25">
      <c r="A194" s="61">
        <v>502</v>
      </c>
      <c r="B194" s="14">
        <f t="shared" si="2"/>
        <v>188</v>
      </c>
      <c r="C194" s="15">
        <v>43981</v>
      </c>
      <c r="D194" s="16">
        <v>5.5138888888888883E-2</v>
      </c>
      <c r="E194" s="36">
        <v>19.93</v>
      </c>
      <c r="F194" s="36">
        <v>0.16</v>
      </c>
      <c r="G194" s="36">
        <v>0.38</v>
      </c>
      <c r="H194" s="56" cm="1">
        <f t="array" ref="H194:I194">LINEST(E185:E194,D185:D194)</f>
        <v>-22.647272727272728</v>
      </c>
      <c r="I194" s="56">
        <v>21.168199999999999</v>
      </c>
      <c r="J194" s="56" cm="1">
        <f t="array" ref="J194:K194">LINEST(E180:E194,D180:D194)</f>
        <v>-7.3542857142857327</v>
      </c>
      <c r="K194" s="56">
        <v>20.40134047619048</v>
      </c>
      <c r="L194" s="56" cm="1">
        <f t="array" ref="L194:M194">LINEST(E175:E194,D175:D194)</f>
        <v>-0.93112781954889789</v>
      </c>
      <c r="M194" s="56">
        <v>20.094055639097746</v>
      </c>
      <c r="N194" s="56" cm="1">
        <f t="array" ref="N194:O194">LINEST(E170:E194,D170:D194)</f>
        <v>1.6947692307692195</v>
      </c>
      <c r="O194" s="56">
        <v>19.974398461538463</v>
      </c>
      <c r="P194" s="56" cm="1">
        <f t="array" ref="P194:Q194">LINEST(E165:E194,D165:D194)</f>
        <v>2.6797775305895528</v>
      </c>
      <c r="Q194" s="56">
        <v>19.931207786429361</v>
      </c>
      <c r="R194" s="56" cm="1">
        <f t="array" ref="R194:S194">LINEST(F185:F194,D185:D194)</f>
        <v>34.210909090909105</v>
      </c>
      <c r="S194" s="56">
        <v>-1.2045333333333341</v>
      </c>
      <c r="T194" s="56" cm="1">
        <f t="array" ref="T194:U194">LINEST(F180:F194,D180:D194)</f>
        <v>15.042857142857143</v>
      </c>
      <c r="U194" s="56">
        <v>-0.22052976190476181</v>
      </c>
      <c r="V194" s="56" cm="1">
        <f t="array" ref="V194:W194">LINEST(F175:F194,D175:D194)</f>
        <v>15.358195488721814</v>
      </c>
      <c r="W194" s="56">
        <v>-0.22569097744360928</v>
      </c>
      <c r="X194" s="56" cm="1">
        <f t="array" ref="X194:Y194">LINEST(F170:F194,D170:D194)</f>
        <v>7.7261538461538422</v>
      </c>
      <c r="Y194" s="56">
        <v>0.11915769230769263</v>
      </c>
      <c r="Z194" s="56" cm="1">
        <f t="array" ref="Z194:AA194">LINEST(F165:F194,D165:D194)</f>
        <v>34.060244716351505</v>
      </c>
      <c r="AA194" s="56">
        <v>-1.0101085650723025</v>
      </c>
      <c r="AB194" s="37" cm="1">
        <f t="array" ref="AB194:AC194">LINEST(G185:G194,D185:D194)</f>
        <v>12.436363636363639</v>
      </c>
      <c r="AC194" s="37">
        <v>-0.31300000000000022</v>
      </c>
      <c r="AD194" s="37" cm="1">
        <f t="array" ref="AD194:AE194">LINEST(G180:G194,D180:D194)</f>
        <v>12.677142857142856</v>
      </c>
      <c r="AE194" s="37">
        <v>-0.3224202380952379</v>
      </c>
      <c r="AF194" s="37" cm="1">
        <f t="array" ref="AF194:AG194">LINEST(G175:G194,D175:D194)</f>
        <v>13.777443609022555</v>
      </c>
      <c r="AG194" s="37">
        <v>-0.37438721804511271</v>
      </c>
      <c r="AH194" s="37" cm="1">
        <f t="array" ref="AH194:AI194">LINEST(G170:G194,D170:D194)</f>
        <v>13.918153846153846</v>
      </c>
      <c r="AI194" s="37">
        <v>-0.38066230769230752</v>
      </c>
      <c r="AJ194" s="37" cm="1">
        <f t="array" ref="AJ194:AK194">LINEST(G165:G194,D165:D194)</f>
        <v>13.10416017797553</v>
      </c>
      <c r="AK194" s="37">
        <v>-0.34764560622914348</v>
      </c>
    </row>
    <row r="195" spans="1:37" x14ac:dyDescent="0.25">
      <c r="A195" s="61">
        <v>502</v>
      </c>
      <c r="B195" s="14">
        <f t="shared" si="2"/>
        <v>189</v>
      </c>
      <c r="C195" s="15">
        <v>43981</v>
      </c>
      <c r="D195" s="16">
        <v>5.6527777777777781E-2</v>
      </c>
      <c r="E195" s="36">
        <v>19.93</v>
      </c>
      <c r="F195" s="36">
        <v>-0.28999999999999998</v>
      </c>
      <c r="G195" s="36">
        <v>0.33</v>
      </c>
      <c r="H195" s="56" cm="1">
        <f t="array" ref="H195:I195">LINEST(E186:E195,D186:D195)</f>
        <v>-23.999999999999979</v>
      </c>
      <c r="I195" s="56">
        <v>21.24666666666667</v>
      </c>
      <c r="J195" s="56" cm="1">
        <f t="array" ref="J195:K195">LINEST(E181:E195,D181:D195)</f>
        <v>-10.388571428571474</v>
      </c>
      <c r="K195" s="56">
        <v>20.546242857142861</v>
      </c>
      <c r="L195" s="56" cm="1">
        <f t="array" ref="L195:M195">LINEST(E176:E195,D176:D195)</f>
        <v>-3.0694736842105557</v>
      </c>
      <c r="M195" s="56">
        <v>20.185510526315788</v>
      </c>
      <c r="N195" s="56" cm="1">
        <f t="array" ref="N195:O195">LINEST(E171:E195,D171:D195)</f>
        <v>0.39323076923075773</v>
      </c>
      <c r="O195" s="56">
        <v>20.022725384615384</v>
      </c>
      <c r="P195" s="56" cm="1">
        <f t="array" ref="P195:Q195">LINEST(E166:E195,D166:D195)</f>
        <v>2.06469410456062</v>
      </c>
      <c r="Q195" s="56">
        <v>19.947868075639601</v>
      </c>
      <c r="R195" s="56" cm="1">
        <f t="array" ref="R195:S195">LINEST(F186:F195,D186:D195)</f>
        <v>15.098181818181795</v>
      </c>
      <c r="S195" s="56">
        <v>-0.38910303030302906</v>
      </c>
      <c r="T195" s="56" cm="1">
        <f t="array" ref="T195:U195">LINEST(F181:F195,D181:D195)</f>
        <v>-9.8742857142857225</v>
      </c>
      <c r="U195" s="56">
        <v>0.91150476190476204</v>
      </c>
      <c r="V195" s="56" cm="1">
        <f t="array" ref="V195:W195">LINEST(F176:F195,D176:D195)</f>
        <v>-4.6448120300751974</v>
      </c>
      <c r="W195" s="56">
        <v>0.64027518796992522</v>
      </c>
      <c r="X195" s="56" cm="1">
        <f t="array" ref="X195:Y195">LINEST(F171:F195,D171:D195)</f>
        <v>5.7212307692307647</v>
      </c>
      <c r="Y195" s="56">
        <v>0.14514538461538493</v>
      </c>
      <c r="Z195" s="56" cm="1">
        <f t="array" ref="Z195:AA195">LINEST(F166:F195,D166:D195)</f>
        <v>23.515728587319231</v>
      </c>
      <c r="AA195" s="56">
        <v>-0.6333779013718942</v>
      </c>
      <c r="AB195" s="37" cm="1">
        <f t="array" ref="AB195:AC195">LINEST(G186:G195,D186:D195)</f>
        <v>12.610909090909091</v>
      </c>
      <c r="AC195" s="37">
        <v>-0.33304848484848487</v>
      </c>
      <c r="AD195" s="37" cm="1">
        <f t="array" ref="AD195:AE195">LINEST(G181:G195,D181:D195)</f>
        <v>10.902857142857144</v>
      </c>
      <c r="AE195" s="37">
        <v>-0.241647619047619</v>
      </c>
      <c r="AF195" s="37" cm="1">
        <f t="array" ref="AF195:AG195">LINEST(G176:G195,D176:D195)</f>
        <v>12.310375939849621</v>
      </c>
      <c r="AG195" s="37">
        <v>-0.31144962406015009</v>
      </c>
      <c r="AH195" s="37" cm="1">
        <f t="array" ref="AH195:AI195">LINEST(G171:G195,D171:D195)</f>
        <v>13.248000000000001</v>
      </c>
      <c r="AI195" s="37">
        <v>-0.35608000000000001</v>
      </c>
      <c r="AJ195" s="37" cm="1">
        <f t="array" ref="AJ195:AK195">LINEST(G166:G195,D166:D195)</f>
        <v>13.917864293659614</v>
      </c>
      <c r="AK195" s="37">
        <v>-0.38678895068594704</v>
      </c>
    </row>
    <row r="196" spans="1:37" x14ac:dyDescent="0.25">
      <c r="A196" s="61">
        <v>502</v>
      </c>
      <c r="B196" s="14">
        <f t="shared" si="2"/>
        <v>190</v>
      </c>
      <c r="C196" s="15">
        <v>43981</v>
      </c>
      <c r="D196" s="16">
        <v>5.7916666666666665E-2</v>
      </c>
      <c r="E196" s="36">
        <v>19.95</v>
      </c>
      <c r="F196" s="36">
        <v>0.61</v>
      </c>
      <c r="G196" s="36">
        <v>0.35</v>
      </c>
      <c r="H196" s="56" cm="1">
        <f t="array" ref="H196:I196">LINEST(E187:E196,D187:D196)</f>
        <v>-22.734545454545412</v>
      </c>
      <c r="I196" s="56">
        <v>21.19561818181818</v>
      </c>
      <c r="J196" s="56" cm="1">
        <f t="array" ref="J196:K196">LINEST(E182:E196,D182:D196)</f>
        <v>-12.574285714285757</v>
      </c>
      <c r="K196" s="56">
        <v>20.659344047619051</v>
      </c>
      <c r="L196" s="56" cm="1">
        <f t="array" ref="L196:M196">LINEST(E177:E196,D177:D196)</f>
        <v>-4.4932330827068148</v>
      </c>
      <c r="M196" s="56">
        <v>20.249947368421054</v>
      </c>
      <c r="N196" s="56" cm="1">
        <f t="array" ref="N196:O196">LINEST(E172:E196,D172:D196)</f>
        <v>-0.6147692307692455</v>
      </c>
      <c r="O196" s="56">
        <v>20.062559230769232</v>
      </c>
      <c r="P196" s="56" cm="1">
        <f t="array" ref="P196:Q196">LINEST(E167:E196,D167:D196)</f>
        <v>1.462424916573958</v>
      </c>
      <c r="Q196" s="56">
        <v>19.967086169818312</v>
      </c>
      <c r="R196" s="56" cm="1">
        <f t="array" ref="R196:S196">LINEST(F187:F196,D187:D196)</f>
        <v>4.8436363636363167</v>
      </c>
      <c r="S196" s="56">
        <v>0.18474545454545699</v>
      </c>
      <c r="T196" s="56" cm="1">
        <f t="array" ref="T196:U196">LINEST(F182:F196,D182:D196)</f>
        <v>-12.522857142857154</v>
      </c>
      <c r="U196" s="56">
        <v>1.0815321428571432</v>
      </c>
      <c r="V196" s="56" cm="1">
        <f t="array" ref="V196:W196">LINEST(F177:F196,D177:D196)</f>
        <v>7.1296240601503724</v>
      </c>
      <c r="W196" s="56">
        <v>8.4647368421052804E-2</v>
      </c>
      <c r="X196" s="56" cm="1">
        <f t="array" ref="X196:Y196">LINEST(F172:F196,D172:D196)</f>
        <v>8.9279999999999955</v>
      </c>
      <c r="Y196" s="56">
        <v>5.320000000000269E-3</v>
      </c>
      <c r="Z196" s="56" cm="1">
        <f t="array" ref="Z196:AA196">LINEST(F167:F196,D167:D196)</f>
        <v>16.764226918798666</v>
      </c>
      <c r="AA196" s="56">
        <v>-0.34064857248794955</v>
      </c>
      <c r="AB196" s="37" cm="1">
        <f t="array" ref="AB196:AC196">LINEST(G187:G196,D187:D196)</f>
        <v>12.087272727272723</v>
      </c>
      <c r="AC196" s="37">
        <v>-0.31350909090909079</v>
      </c>
      <c r="AD196" s="37" cm="1">
        <f t="array" ref="AD196:AE196">LINEST(G182:G196,D182:D196)</f>
        <v>9.1028571428571396</v>
      </c>
      <c r="AE196" s="37">
        <v>-0.15404047619047595</v>
      </c>
      <c r="AF196" s="37" cm="1">
        <f t="array" ref="AF196:AG196">LINEST(G177:G196,D177:D196)</f>
        <v>11.898947368421052</v>
      </c>
      <c r="AG196" s="37">
        <v>-0.29614736842105238</v>
      </c>
      <c r="AH196" s="37" cm="1">
        <f t="array" ref="AH196:AI196">LINEST(G172:G196,D172:D196)</f>
        <v>12.904615384615388</v>
      </c>
      <c r="AI196" s="37">
        <v>-0.34471538461538465</v>
      </c>
      <c r="AJ196" s="37" cm="1">
        <f t="array" ref="AJ196:AK196">LINEST(G167:G196,D167:D196)</f>
        <v>14.145317018909902</v>
      </c>
      <c r="AK196" s="37">
        <v>-0.4013786429365962</v>
      </c>
    </row>
    <row r="197" spans="1:37" x14ac:dyDescent="0.25">
      <c r="A197" s="61">
        <v>502</v>
      </c>
      <c r="B197" s="14">
        <f t="shared" si="2"/>
        <v>191</v>
      </c>
      <c r="C197" s="15">
        <v>43981</v>
      </c>
      <c r="D197" s="16">
        <v>5.9305555555555556E-2</v>
      </c>
      <c r="E197" s="36">
        <v>19.93</v>
      </c>
      <c r="F197" s="36">
        <v>-0.4</v>
      </c>
      <c r="G197" s="36">
        <v>0.28999999999999998</v>
      </c>
      <c r="H197" s="56" cm="1">
        <f t="array" ref="H197:I197">LINEST(E188:E197,D188:D197)</f>
        <v>-20.116363636363651</v>
      </c>
      <c r="I197" s="56">
        <v>21.066284848484852</v>
      </c>
      <c r="J197" s="56" cm="1">
        <f t="array" ref="J197:K197">LINEST(E183:E197,D183:D197)</f>
        <v>-14.04000000000006</v>
      </c>
      <c r="K197" s="56">
        <v>20.738816666666672</v>
      </c>
      <c r="L197" s="56" cm="1">
        <f t="array" ref="L197:M197">LINEST(E178:E197,D178:D197)</f>
        <v>-6.1606015037594357</v>
      </c>
      <c r="M197" s="56">
        <v>20.329072180451128</v>
      </c>
      <c r="N197" s="56" cm="1">
        <f t="array" ref="N197:O197">LINEST(E173:E197,D173:D197)</f>
        <v>-1.7390769230769387</v>
      </c>
      <c r="O197" s="56">
        <v>20.109352307692308</v>
      </c>
      <c r="P197" s="56" cm="1">
        <f t="array" ref="P197:Q197">LINEST(E168:E197,D168:D197)</f>
        <v>0.67434927697439506</v>
      </c>
      <c r="Q197" s="56">
        <v>19.995254653318497</v>
      </c>
      <c r="R197" s="56" cm="1">
        <f t="array" ref="R197:S197">LINEST(F188:F197,D188:D197)</f>
        <v>-41.629090909090969</v>
      </c>
      <c r="S197" s="56">
        <v>2.5886545454545491</v>
      </c>
      <c r="T197" s="56" cm="1">
        <f t="array" ref="T197:U197">LINEST(F183:F197,D183:D197)</f>
        <v>-14.708571428571437</v>
      </c>
      <c r="U197" s="56">
        <v>1.1046333333333336</v>
      </c>
      <c r="V197" s="56" cm="1">
        <f t="array" ref="V197:W197">LINEST(F178:F197,D178:D197)</f>
        <v>-7.8821052631578983</v>
      </c>
      <c r="W197" s="56">
        <v>0.75645263157894738</v>
      </c>
      <c r="X197" s="56" cm="1">
        <f t="array" ref="X197:Y197">LINEST(F173:F197,D173:D197)</f>
        <v>1.6006153846153803</v>
      </c>
      <c r="Y197" s="56">
        <v>0.28655153846153869</v>
      </c>
      <c r="Z197" s="56" cm="1">
        <f t="array" ref="Z197:AA197">LINEST(F168:F197,D168:D197)</f>
        <v>4.645161290322581</v>
      </c>
      <c r="AA197" s="56">
        <v>0.1473978494623657</v>
      </c>
      <c r="AB197" s="37" cm="1">
        <f t="array" ref="AB197:AC197">LINEST(G188:G197,D188:D197)</f>
        <v>7.8545454545454501</v>
      </c>
      <c r="AC197" s="37">
        <v>-0.10072727272727255</v>
      </c>
      <c r="AD197" s="37" cm="1">
        <f t="array" ref="AD197:AE197">LINEST(G183:G197,D183:D197)</f>
        <v>7.2514285714285718</v>
      </c>
      <c r="AE197" s="37">
        <v>-6.8216666666666592E-2</v>
      </c>
      <c r="AF197" s="37" cm="1">
        <f t="array" ref="AF197:AG197">LINEST(G178:G197,D178:D197)</f>
        <v>10.339849624060154</v>
      </c>
      <c r="AG197" s="37">
        <v>-0.2287819548872182</v>
      </c>
      <c r="AH197" s="37" cm="1">
        <f t="array" ref="AH197:AI197">LINEST(G173:G197,D173:D197)</f>
        <v>12.018461538461541</v>
      </c>
      <c r="AI197" s="37">
        <v>-0.31205384615384624</v>
      </c>
      <c r="AJ197" s="37" cm="1">
        <f t="array" ref="AJ197:AK197">LINEST(G168:G197,D168:D197)</f>
        <v>13.370055617352614</v>
      </c>
      <c r="AK197" s="37">
        <v>-0.37532717834631069</v>
      </c>
    </row>
    <row r="198" spans="1:37" x14ac:dyDescent="0.25">
      <c r="A198" s="61">
        <v>502</v>
      </c>
      <c r="B198" s="14">
        <f t="shared" si="2"/>
        <v>192</v>
      </c>
      <c r="C198" s="15">
        <v>43981</v>
      </c>
      <c r="D198" s="16">
        <v>6.069444444444444E-2</v>
      </c>
      <c r="E198" s="36">
        <v>19.96</v>
      </c>
      <c r="F198" s="36">
        <v>0.8</v>
      </c>
      <c r="G198" s="36">
        <v>0.33</v>
      </c>
      <c r="H198" s="56" cm="1">
        <f t="array" ref="H198:I198">LINEST(E189:E198,D189:D198)</f>
        <v>-13.919999999999961</v>
      </c>
      <c r="I198" s="56">
        <v>20.736866666666668</v>
      </c>
      <c r="J198" s="56" cm="1">
        <f t="array" ref="J198:K198">LINEST(E184:E198,D184:D198)</f>
        <v>-14.348571428571447</v>
      </c>
      <c r="K198" s="56">
        <v>20.764711904761906</v>
      </c>
      <c r="L198" s="56" cm="1">
        <f t="array" ref="L198:M198">LINEST(E179:E198,D179:D198)</f>
        <v>-7.205413533834605</v>
      </c>
      <c r="M198" s="56">
        <v>20.383757142857146</v>
      </c>
      <c r="N198" s="56" cm="1">
        <f t="array" ref="N198:O198">LINEST(E174:E198,D174:D198)</f>
        <v>-2.7083076923077103</v>
      </c>
      <c r="O198" s="56">
        <v>20.154040769230768</v>
      </c>
      <c r="P198" s="56" cm="1">
        <f t="array" ref="P198:Q198">LINEST(E169:E198,D169:D198)</f>
        <v>-0.11692992213571467</v>
      </c>
      <c r="Q198" s="56">
        <v>20.027742157953281</v>
      </c>
      <c r="R198" s="56" cm="1">
        <f t="array" ref="R198:S198">LINEST(F189:F198,D189:D198)</f>
        <v>-19.374545454545522</v>
      </c>
      <c r="S198" s="56">
        <v>1.4648363636363673</v>
      </c>
      <c r="T198" s="56" cm="1">
        <f t="array" ref="T198:U198">LINEST(F184:F198,D184:D198)</f>
        <v>-3.8828571428571546</v>
      </c>
      <c r="U198" s="56">
        <v>0.59125119047619101</v>
      </c>
      <c r="V198" s="56" cm="1">
        <f t="array" ref="V198:W198">LINEST(F179:F198,D179:D198)</f>
        <v>-3.9572932330827095</v>
      </c>
      <c r="W198" s="56">
        <v>0.60247142857142866</v>
      </c>
      <c r="X198" s="56" cm="1">
        <f t="array" ref="X198:Y198">LINEST(F174:F198,D174:D198)</f>
        <v>0.13292307692307073</v>
      </c>
      <c r="Y198" s="56">
        <v>0.39134769230769262</v>
      </c>
      <c r="Z198" s="56" cm="1">
        <f t="array" ref="Z198:AA198">LINEST(F169:F198,D169:D198)</f>
        <v>0.87617352614015398</v>
      </c>
      <c r="AA198" s="56">
        <v>0.34946629588431605</v>
      </c>
      <c r="AB198" s="37" cm="1">
        <f t="array" ref="AB198:AC198">LINEST(G189:G198,D189:D198)</f>
        <v>5.716363636363635</v>
      </c>
      <c r="AC198" s="37">
        <v>1.1775757575757662E-2</v>
      </c>
      <c r="AD198" s="37" cm="1">
        <f t="array" ref="AD198:AE198">LINEST(G184:G198,D184:D198)</f>
        <v>6.274285714285714</v>
      </c>
      <c r="AE198" s="37">
        <v>-2.0480952380952322E-2</v>
      </c>
      <c r="AF198" s="37" cm="1">
        <f t="array" ref="AF198:AG198">LINEST(G179:G198,D179:D198)</f>
        <v>9.159699248120301</v>
      </c>
      <c r="AG198" s="37">
        <v>-0.17408571428571418</v>
      </c>
      <c r="AH198" s="37" cm="1">
        <f t="array" ref="AH198:AI198">LINEST(G174:G198,D174:D198)</f>
        <v>11.076923076923075</v>
      </c>
      <c r="AI198" s="37">
        <v>-0.27209230769230752</v>
      </c>
      <c r="AJ198" s="37" cm="1">
        <f t="array" ref="AJ198:AK198">LINEST(G169:G198,D169:D198)</f>
        <v>12.384961067853167</v>
      </c>
      <c r="AK198" s="37">
        <v>-0.33561230997404501</v>
      </c>
    </row>
    <row r="199" spans="1:37" x14ac:dyDescent="0.25">
      <c r="A199" s="61">
        <v>502</v>
      </c>
      <c r="B199" s="14">
        <f t="shared" si="2"/>
        <v>193</v>
      </c>
      <c r="C199" s="15">
        <v>43981</v>
      </c>
      <c r="D199" s="16">
        <v>6.2083333333333331E-2</v>
      </c>
      <c r="E199" s="36">
        <v>19.97</v>
      </c>
      <c r="F199" s="36">
        <v>0.45</v>
      </c>
      <c r="G199" s="36">
        <v>0.34</v>
      </c>
      <c r="H199" s="56" cm="1">
        <f t="array" ref="H199:I199">LINEST(E190:E199,D190:D199)</f>
        <v>-6.0654545454546085</v>
      </c>
      <c r="I199" s="56">
        <v>20.299654545454551</v>
      </c>
      <c r="J199" s="56" cm="1">
        <f t="array" ref="J199:K199">LINEST(E185:E199,D185:D199)</f>
        <v>-13.705714285714304</v>
      </c>
      <c r="K199" s="56">
        <v>20.740979761904764</v>
      </c>
      <c r="L199" s="56" cm="1">
        <f t="array" ref="L199:M199">LINEST(E180:E199,D180:D199)</f>
        <v>-7.8442105263158144</v>
      </c>
      <c r="M199" s="56">
        <v>20.420994736842108</v>
      </c>
      <c r="N199" s="56" cm="1">
        <f t="array" ref="N199:O199">LINEST(E175:E199,D175:D199)</f>
        <v>-3.3895384615384896</v>
      </c>
      <c r="O199" s="56">
        <v>20.187541538461534</v>
      </c>
      <c r="P199" s="56" cm="1">
        <f t="array" ref="P199:Q199">LINEST(E170:E199,D170:D199)</f>
        <v>-0.8249165739710963</v>
      </c>
      <c r="Q199" s="56">
        <v>20.058934000741566</v>
      </c>
      <c r="R199" s="56" cm="1">
        <f t="array" ref="R199:S199">LINEST(F190:F199,D190:D199)</f>
        <v>-53.803636363636421</v>
      </c>
      <c r="S199" s="56">
        <v>3.4930363636363668</v>
      </c>
      <c r="T199" s="56" cm="1">
        <f t="array" ref="T199:U199">LINEST(F185:F199,D185:D199)</f>
        <v>-0.66857142857144924</v>
      </c>
      <c r="U199" s="56">
        <v>0.42500714285714392</v>
      </c>
      <c r="V199" s="56" cm="1">
        <f t="array" ref="V199:W199">LINEST(F180:F199,D180:D199)</f>
        <v>-1.1422556390977503</v>
      </c>
      <c r="W199" s="56">
        <v>0.46134360902255656</v>
      </c>
      <c r="X199" s="56" cm="1">
        <f t="array" ref="X199:Y199">LINEST(F175:F199,D175:D199)</f>
        <v>3.6719999999999957</v>
      </c>
      <c r="Y199" s="56">
        <v>0.2148300000000003</v>
      </c>
      <c r="Z199" s="56" cm="1">
        <f t="array" ref="Z199:AA199">LINEST(F170:F199,D170:D199)</f>
        <v>1.3519021134593976</v>
      </c>
      <c r="AA199" s="56">
        <v>0.32929521690767538</v>
      </c>
      <c r="AB199" s="37" cm="1">
        <f t="array" ref="AB199:AC199">LINEST(G190:G199,D190:D199)</f>
        <v>0.95999999999999763</v>
      </c>
      <c r="AC199" s="37">
        <v>0.28240000000000015</v>
      </c>
      <c r="AD199" s="37" cm="1">
        <f t="array" ref="AD199:AE199">LINEST(G185:G199,D185:D199)</f>
        <v>5.7857142857142856</v>
      </c>
      <c r="AE199" s="37">
        <v>3.0535714285714888E-3</v>
      </c>
      <c r="AF199" s="37" cm="1">
        <f t="array" ref="AF199:AG199">LINEST(G180:G199,D180:D199)</f>
        <v>8.3693233082706815</v>
      </c>
      <c r="AG199" s="37">
        <v>-0.13716691729323327</v>
      </c>
      <c r="AH199" s="37" cm="1">
        <f t="array" ref="AH199:AI199">LINEST(G175:G199,D175:D199)</f>
        <v>10.495384615384614</v>
      </c>
      <c r="AI199" s="37">
        <v>-0.24826538461538447</v>
      </c>
      <c r="AJ199" s="37" cm="1">
        <f t="array" ref="AJ199:AK199">LINEST(G170:G199,D170:D199)</f>
        <v>11.518398220244714</v>
      </c>
      <c r="AK199" s="37">
        <v>-0.29946614757137535</v>
      </c>
    </row>
    <row r="200" spans="1:37" x14ac:dyDescent="0.25">
      <c r="A200" s="61">
        <v>502</v>
      </c>
      <c r="B200" s="14">
        <f t="shared" si="2"/>
        <v>194</v>
      </c>
      <c r="C200" s="15">
        <v>43981</v>
      </c>
      <c r="D200" s="16">
        <v>6.3472222222222222E-2</v>
      </c>
      <c r="E200" s="36">
        <v>19.97</v>
      </c>
      <c r="F200" s="36">
        <v>-0.08</v>
      </c>
      <c r="G200" s="36">
        <v>0.31</v>
      </c>
      <c r="H200" s="56" cm="1">
        <f t="array" ref="H200:I200">LINEST(E191:E200,D191:D200)</f>
        <v>4.7999999999998826</v>
      </c>
      <c r="I200" s="56">
        <v>19.66533333333334</v>
      </c>
      <c r="J200" s="56" cm="1">
        <f t="array" ref="J200:K200">LINEST(E186:E200,D186:D200)</f>
        <v>-12.265714285714303</v>
      </c>
      <c r="K200" s="56">
        <v>20.671282142857148</v>
      </c>
      <c r="L200" s="56" cm="1">
        <f t="array" ref="L200:M200">LINEST(E181:E200,D181:D200)</f>
        <v>-8.510075187969969</v>
      </c>
      <c r="M200" s="56">
        <v>20.461867669172936</v>
      </c>
      <c r="N200" s="56" cm="1">
        <f t="array" ref="N200:O200">LINEST(E176:E200,D176:D200)</f>
        <v>-4.1981538461538799</v>
      </c>
      <c r="O200" s="56">
        <v>20.229696923076922</v>
      </c>
      <c r="P200" s="56" cm="1">
        <f t="array" ref="P200:Q200">LINEST(E171:E200,D171:D200)</f>
        <v>-1.3967519466073617</v>
      </c>
      <c r="Q200" s="56">
        <v>20.085192584352988</v>
      </c>
      <c r="R200" s="56" cm="1">
        <f t="array" ref="R200:S200">LINEST(F191:F200,D191:D200)</f>
        <v>-56.901818181818221</v>
      </c>
      <c r="S200" s="56">
        <v>3.6480484848484873</v>
      </c>
      <c r="T200" s="56" cm="1">
        <f t="array" ref="T200:U200">LINEST(F186:F200,D186:D200)</f>
        <v>-2.9571428571428751</v>
      </c>
      <c r="U200" s="56">
        <v>0.49761309523809627</v>
      </c>
      <c r="V200" s="56" cm="1">
        <f t="array" ref="V200:W200">LINEST(F181:F200,D181:D200)</f>
        <v>-11.769022556390981</v>
      </c>
      <c r="W200" s="56">
        <v>0.99772030075187956</v>
      </c>
      <c r="X200" s="56" cm="1">
        <f t="array" ref="X200:Y200">LINEST(F176:F200,D176:D200)</f>
        <v>-7.1833846153846235</v>
      </c>
      <c r="Y200" s="56">
        <v>0.74262230769230797</v>
      </c>
      <c r="Z200" s="56" cm="1">
        <f t="array" ref="Z200:AA200">LINEST(F171:F200,D171:D200)</f>
        <v>1.1933259176863125</v>
      </c>
      <c r="AA200" s="56">
        <v>0.30528921023359318</v>
      </c>
      <c r="AB200" s="37" cm="1">
        <f t="array" ref="AB200:AC200">LINEST(G191:G200,D191:D200)</f>
        <v>-3.2290909090909126</v>
      </c>
      <c r="AC200" s="37">
        <v>0.52477575757575778</v>
      </c>
      <c r="AD200" s="37" cm="1">
        <f t="array" ref="AD200:AE200">LINEST(G186:G200,D186:D200)</f>
        <v>5.1171428571428565</v>
      </c>
      <c r="AE200" s="37">
        <v>3.362023809523812E-2</v>
      </c>
      <c r="AF200" s="37" cm="1">
        <f t="array" ref="AF200:AG200">LINEST(G181:G200,D181:D200)</f>
        <v>6.8048120300751886</v>
      </c>
      <c r="AG200" s="37">
        <v>-5.9630827067669201E-2</v>
      </c>
      <c r="AH200" s="37" cm="1">
        <f t="array" ref="AH200:AI200">LINEST(G176:G200,D176:D200)</f>
        <v>9.1052307692307668</v>
      </c>
      <c r="AI200" s="37">
        <v>-0.1837753846153844</v>
      </c>
      <c r="AJ200" s="37" cm="1">
        <f t="array" ref="AJ200:AK200">LINEST(G171:G200,D171:D200)</f>
        <v>10.696685205784204</v>
      </c>
      <c r="AK200" s="37">
        <v>-0.26618969225064876</v>
      </c>
    </row>
    <row r="201" spans="1:37" x14ac:dyDescent="0.25">
      <c r="A201" s="61">
        <v>502</v>
      </c>
      <c r="B201" s="14">
        <f t="shared" ref="B201:B264" si="3">B200+1</f>
        <v>195</v>
      </c>
      <c r="C201" s="15">
        <v>43981</v>
      </c>
      <c r="D201" s="16">
        <v>6.4861111111111105E-2</v>
      </c>
      <c r="E201" s="36">
        <v>19.97</v>
      </c>
      <c r="F201" s="36">
        <v>-0.04</v>
      </c>
      <c r="G201" s="36">
        <v>0.28000000000000003</v>
      </c>
      <c r="H201" s="56" cm="1">
        <f t="array" ref="H201:I201">LINEST(E192:E201,D192:D201)</f>
        <v>3.5781818181816951</v>
      </c>
      <c r="I201" s="56">
        <v>19.738278787878794</v>
      </c>
      <c r="J201" s="56" cm="1">
        <f t="array" ref="J201:K201">LINEST(E187:E201,D187:D201)</f>
        <v>-10.388571428571451</v>
      </c>
      <c r="K201" s="56">
        <v>20.573480952380962</v>
      </c>
      <c r="L201" s="56" cm="1">
        <f t="array" ref="L201:M201">LINEST(E182:E201,D182:D201)</f>
        <v>-8.9864661654135816</v>
      </c>
      <c r="M201" s="56">
        <v>20.494300751879702</v>
      </c>
      <c r="N201" s="56" cm="1">
        <f t="array" ref="N201:O201">LINEST(E177:E201,D177:D201)</f>
        <v>-4.713230769230818</v>
      </c>
      <c r="O201" s="56">
        <v>20.25835153846154</v>
      </c>
      <c r="P201" s="56" cm="1">
        <f t="array" ref="P201:Q201">LINEST(E172:E201,D172:D201)</f>
        <v>-1.8724805339266088</v>
      </c>
      <c r="Q201" s="56">
        <v>20.108074823878386</v>
      </c>
      <c r="R201" s="56" cm="1">
        <f t="array" ref="R201:S201">LINEST(F192:F201,D192:D201)</f>
        <v>-49.963636363636418</v>
      </c>
      <c r="S201" s="56">
        <v>3.2274242424242456</v>
      </c>
      <c r="T201" s="56" cm="1">
        <f t="array" ref="T201:U201">LINEST(F187:F201,D187:D201)</f>
        <v>-17.562857142857158</v>
      </c>
      <c r="U201" s="56">
        <v>1.3070630952380964</v>
      </c>
      <c r="V201" s="56" cm="1">
        <f t="array" ref="V201:W201">LINEST(F182:F201,D182:D201)</f>
        <v>-18.925714285714292</v>
      </c>
      <c r="W201" s="56">
        <v>1.3728285714285713</v>
      </c>
      <c r="X201" s="56" cm="1">
        <f t="array" ref="X201:Y201">LINEST(F177:F201,D177:D201)</f>
        <v>-3.572307692307692</v>
      </c>
      <c r="Y201" s="56">
        <v>0.52416538461538453</v>
      </c>
      <c r="Z201" s="56" cm="1">
        <f t="array" ref="Z201:AA201">LINEST(F172:F201,D172:D201)</f>
        <v>0.55581757508342566</v>
      </c>
      <c r="AA201" s="56">
        <v>0.31080926955876903</v>
      </c>
      <c r="AB201" s="37" cm="1">
        <f t="array" ref="AB201:AC201">LINEST(G192:G201,D192:D201)</f>
        <v>-7.0254545454545463</v>
      </c>
      <c r="AC201" s="37">
        <v>0.74876969696969709</v>
      </c>
      <c r="AD201" s="37" cm="1">
        <f t="array" ref="AD201:AE201">LINEST(G187:G201,D187:D201)</f>
        <v>3.3942857142857146</v>
      </c>
      <c r="AE201" s="37">
        <v>0.12350952380952379</v>
      </c>
      <c r="AF201" s="37" cm="1">
        <f t="array" ref="AF201:AG201">LINEST(G182:G201,D182:D201)</f>
        <v>4.8180451127819559</v>
      </c>
      <c r="AG201" s="37">
        <v>4.2067669172932337E-2</v>
      </c>
      <c r="AH201" s="37" cm="1">
        <f t="array" ref="AH201:AI201">LINEST(G177:G201,D177:D201)</f>
        <v>8.1138461538461559</v>
      </c>
      <c r="AI201" s="37">
        <v>-0.14024230769230767</v>
      </c>
      <c r="AJ201" s="37" cm="1">
        <f t="array" ref="AJ201:AK201">LINEST(G172:G201,D172:D201)</f>
        <v>9.9022024471635142</v>
      </c>
      <c r="AK201" s="37">
        <v>-0.23484849833147922</v>
      </c>
    </row>
    <row r="202" spans="1:37" x14ac:dyDescent="0.25">
      <c r="A202" s="61">
        <v>502</v>
      </c>
      <c r="B202" s="14">
        <f t="shared" si="3"/>
        <v>196</v>
      </c>
      <c r="C202" s="15">
        <v>43981</v>
      </c>
      <c r="D202" s="16">
        <v>6.6249999999999989E-2</v>
      </c>
      <c r="E202" s="36">
        <v>19.95</v>
      </c>
      <c r="F202" s="36">
        <v>-0.62</v>
      </c>
      <c r="G202" s="36">
        <v>0.21</v>
      </c>
      <c r="H202" s="56" cm="1">
        <f t="array" ref="H202:I202">LINEST(E193:E202,D193:D202)</f>
        <v>3.272727272727213</v>
      </c>
      <c r="I202" s="56">
        <v>19.752636363636366</v>
      </c>
      <c r="J202" s="56" cm="1">
        <f t="array" ref="J202:K202">LINEST(E188:E202,D188:D202)</f>
        <v>-8.2285714285714739</v>
      </c>
      <c r="K202" s="56">
        <v>20.45247619047619</v>
      </c>
      <c r="L202" s="56" cm="1">
        <f t="array" ref="L202:M202">LINEST(E183:E202,D183:D202)</f>
        <v>-9.1272180451128406</v>
      </c>
      <c r="M202" s="56">
        <v>20.507249624060158</v>
      </c>
      <c r="N202" s="56" cm="1">
        <f t="array" ref="N202:O202">LINEST(E178:E202,D178:D202)</f>
        <v>-5.4055384615385043</v>
      </c>
      <c r="O202" s="56">
        <v>20.296824615384619</v>
      </c>
      <c r="P202" s="56" cm="1">
        <f t="array" ref="P202:Q202">LINEST(E173:E202,D173:D202)</f>
        <v>-2.4379087875417373</v>
      </c>
      <c r="Q202" s="56">
        <v>20.135748016314427</v>
      </c>
      <c r="R202" s="56" cm="1">
        <f t="array" ref="R202:S202">LINEST(F193:F202,D193:D202)</f>
        <v>-57.687272727272763</v>
      </c>
      <c r="S202" s="56">
        <v>3.6092363636363656</v>
      </c>
      <c r="T202" s="56" cm="1">
        <f t="array" ref="T202:U202">LINEST(F188:F202,D188:D202)</f>
        <v>-38.700000000000045</v>
      </c>
      <c r="U202" s="56">
        <v>2.4749583333333365</v>
      </c>
      <c r="V202" s="56" cm="1">
        <f t="array" ref="V202:W202">LINEST(F183:F202,D183:D202)</f>
        <v>-20.896240601503766</v>
      </c>
      <c r="W202" s="56">
        <v>1.4156616541353384</v>
      </c>
      <c r="X202" s="56" cm="1">
        <f t="array" ref="X202:Y202">LINEST(F178:F202,D178:D202)</f>
        <v>-13.934769230769234</v>
      </c>
      <c r="Y202" s="56">
        <v>1.0257323076923077</v>
      </c>
      <c r="Z202" s="56" cm="1">
        <f t="array" ref="Z202:AA202">LINEST(F173:F202,D173:D202)</f>
        <v>-5.2025806451612908</v>
      </c>
      <c r="AA202" s="56">
        <v>0.55256344086021514</v>
      </c>
      <c r="AB202" s="37" cm="1">
        <f t="array" ref="AB202:AC202">LINEST(G193:G202,D193:D202)</f>
        <v>-10.909090909090914</v>
      </c>
      <c r="AC202" s="37">
        <v>0.97654545454545472</v>
      </c>
      <c r="AD202" s="37" cm="1">
        <f t="array" ref="AD202:AE202">LINEST(G188:G202,D188:D202)</f>
        <v>0.12857142857142909</v>
      </c>
      <c r="AE202" s="37">
        <v>0.30139880952380949</v>
      </c>
      <c r="AF202" s="37" cm="1">
        <f t="array" ref="AF202:AG202">LINEST(G183:G202,D183:D202)</f>
        <v>2.8366917293233094</v>
      </c>
      <c r="AG202" s="37">
        <v>0.14149774436090215</v>
      </c>
      <c r="AH202" s="37" cm="1">
        <f t="array" ref="AH202:AI202">LINEST(G178:G202,D178:D202)</f>
        <v>6.3969230769230787</v>
      </c>
      <c r="AI202" s="37">
        <v>-5.9980769230769282E-2</v>
      </c>
      <c r="AJ202" s="37" cm="1">
        <f t="array" ref="AJ202:AK202">LINEST(G173:G202,D173:D202)</f>
        <v>8.7296996662958861</v>
      </c>
      <c r="AK202" s="37">
        <v>-0.18653615127919906</v>
      </c>
    </row>
    <row r="203" spans="1:37" x14ac:dyDescent="0.25">
      <c r="A203" s="61">
        <v>502</v>
      </c>
      <c r="B203" s="14">
        <f t="shared" si="3"/>
        <v>197</v>
      </c>
      <c r="C203" s="15">
        <v>43981</v>
      </c>
      <c r="D203" s="16">
        <v>6.7638888888888887E-2</v>
      </c>
      <c r="E203" s="36">
        <v>19.97</v>
      </c>
      <c r="F203" s="36">
        <v>0.69</v>
      </c>
      <c r="G203" s="36">
        <v>0.25</v>
      </c>
      <c r="H203" s="56" cm="1">
        <f t="array" ref="H203:I203">LINEST(E194:E203,D194:D203)</f>
        <v>3.1854545454544714</v>
      </c>
      <c r="I203" s="56">
        <v>19.757448484848489</v>
      </c>
      <c r="J203" s="56" cm="1">
        <f t="array" ref="J203:K203">LINEST(E189:E203,D189:D203)</f>
        <v>-4.9885714285714764</v>
      </c>
      <c r="K203" s="56">
        <v>20.263588095238099</v>
      </c>
      <c r="L203" s="56" cm="1">
        <f t="array" ref="L203:M203">LINEST(E184:E203,D184:D203)</f>
        <v>-8.7969924812030609</v>
      </c>
      <c r="M203" s="56">
        <v>20.495447368421058</v>
      </c>
      <c r="N203" s="56" cm="1">
        <f t="array" ref="N203:O203">LINEST(E179:E203,D179:D203)</f>
        <v>-5.7876923076923488</v>
      </c>
      <c r="O203" s="56">
        <v>20.321411538461543</v>
      </c>
      <c r="P203" s="56" cm="1">
        <f t="array" ref="P203:Q203">LINEST(E174:E203,D174:D203)</f>
        <v>-2.9504783092325164</v>
      </c>
      <c r="Q203" s="56">
        <v>20.163481053021879</v>
      </c>
      <c r="R203" s="56" cm="1">
        <f t="array" ref="R203:S203">LINEST(F194:F203,D194:D203)</f>
        <v>-0.78545454545452886</v>
      </c>
      <c r="S203" s="56">
        <v>0.17621818181818077</v>
      </c>
      <c r="T203" s="56" cm="1">
        <f t="array" ref="T203:U203">LINEST(F189:F203,D189:D203)</f>
        <v>-27.077142857142871</v>
      </c>
      <c r="U203" s="56">
        <v>1.8682178571428585</v>
      </c>
      <c r="V203" s="56" cm="1">
        <f t="array" ref="V203:W203">LINEST(F184:F203,D184:D203)</f>
        <v>-14.421654135338352</v>
      </c>
      <c r="W203" s="56">
        <v>1.1001789473684211</v>
      </c>
      <c r="X203" s="56" cm="1">
        <f t="array" ref="X203:Y203">LINEST(F179:F203,D179:D203)</f>
        <v>-11.32061538461539</v>
      </c>
      <c r="Y203" s="56">
        <v>0.92463692307692313</v>
      </c>
      <c r="Z203" s="56" cm="1">
        <f t="array" ref="Z203:AA203">LINEST(F174:F203,D174:D203)</f>
        <v>-6.2933926585094513</v>
      </c>
      <c r="AA203" s="56">
        <v>0.64326948461253219</v>
      </c>
      <c r="AB203" s="37" cm="1">
        <f t="array" ref="AB203:AC203">LINEST(G194:G203,D194:D203)</f>
        <v>-9.992727272727274</v>
      </c>
      <c r="AC203" s="37">
        <v>0.92044242424242428</v>
      </c>
      <c r="AD203" s="37" cm="1">
        <f t="array" ref="AD203:AE203">LINEST(G189:G203,D189:D203)</f>
        <v>-1.9285714285714297</v>
      </c>
      <c r="AE203" s="37">
        <v>0.41969642857142864</v>
      </c>
      <c r="AF203" s="37" cm="1">
        <f t="array" ref="AF203:AG203">LINEST(G184:G203,D184:D203)</f>
        <v>1.4724812030075194</v>
      </c>
      <c r="AG203" s="37">
        <v>0.21383157894736832</v>
      </c>
      <c r="AH203" s="37" cm="1">
        <f t="array" ref="AH203:AI203">LINEST(G179:G203,D179:D203)</f>
        <v>5.0012307692307685</v>
      </c>
      <c r="AI203" s="37">
        <v>9.4761538461539674E-3</v>
      </c>
      <c r="AJ203" s="37" cm="1">
        <f t="array" ref="AJ203:AK203">LINEST(G174:G203,D174:D203)</f>
        <v>7.5668075639599559</v>
      </c>
      <c r="AK203" s="37">
        <v>-0.13342335928809779</v>
      </c>
    </row>
    <row r="204" spans="1:37" x14ac:dyDescent="0.25">
      <c r="A204" s="61">
        <v>502</v>
      </c>
      <c r="B204" s="14">
        <f t="shared" si="3"/>
        <v>198</v>
      </c>
      <c r="C204" s="15">
        <v>43981</v>
      </c>
      <c r="D204" s="16">
        <v>6.9027777777777785E-2</v>
      </c>
      <c r="E204" s="36">
        <v>19.98</v>
      </c>
      <c r="F204" s="36">
        <v>0.28000000000000003</v>
      </c>
      <c r="G204" s="36">
        <v>0.25</v>
      </c>
      <c r="H204" s="56" cm="1">
        <f t="array" ref="H204:I204">LINEST(E195:E204,D195:D204)</f>
        <v>3.1418181818181625</v>
      </c>
      <c r="I204" s="56">
        <v>19.760763636363635</v>
      </c>
      <c r="J204" s="56" cm="1">
        <f t="array" ref="J204:K204">LINEST(E190:E204,D190:D204)</f>
        <v>-1.2857142857143369</v>
      </c>
      <c r="K204" s="56">
        <v>20.039583333333336</v>
      </c>
      <c r="L204" s="56" cm="1">
        <f t="array" ref="L204:M204">LINEST(E185:E204,D185:D204)</f>
        <v>-7.9957894736842361</v>
      </c>
      <c r="M204" s="56">
        <v>20.455931578947371</v>
      </c>
      <c r="N204" s="56" cm="1">
        <f t="array" ref="N204:O204">LINEST(E180:E204,D180:D204)</f>
        <v>-5.9261538461538761</v>
      </c>
      <c r="O204" s="56">
        <v>20.333900000000003</v>
      </c>
      <c r="P204" s="56" cm="1">
        <f t="array" ref="P204:Q204">LINEST(E175:E204,D175:D204)</f>
        <v>-3.267630700778676</v>
      </c>
      <c r="Q204" s="56">
        <v>20.18241750092696</v>
      </c>
      <c r="R204" s="56" cm="1">
        <f t="array" ref="R204:S204">LINEST(F195:F204,D195:D204)</f>
        <v>6.7200000000000113</v>
      </c>
      <c r="S204" s="56">
        <v>-0.28186666666666743</v>
      </c>
      <c r="T204" s="56" cm="1">
        <f t="array" ref="T204:U204">LINEST(F190:F204,D190:D204)</f>
        <v>-40.60285714285714</v>
      </c>
      <c r="U204" s="56">
        <v>2.7493083333333339</v>
      </c>
      <c r="V204" s="56" cm="1">
        <f t="array" ref="V204:W204">LINEST(F185:F204,D185:D204)</f>
        <v>-12.6784962406015</v>
      </c>
      <c r="W204" s="56">
        <v>1.0118827067669169</v>
      </c>
      <c r="X204" s="56" cm="1">
        <f t="array" ref="X204:Y204">LINEST(F180:F204,D180:D204)</f>
        <v>-9.7366153846153871</v>
      </c>
      <c r="Y204" s="56">
        <v>0.84341999999999984</v>
      </c>
      <c r="Z204" s="56" cm="1">
        <f t="array" ref="Z204:AA204">LINEST(F175:F204,D175:D204)</f>
        <v>-4.130989988876542</v>
      </c>
      <c r="AA204" s="56">
        <v>0.52762617723396421</v>
      </c>
      <c r="AB204" s="37" cm="1">
        <f t="array" ref="AB204:AC204">LINEST(G195:G204,D195:D204)</f>
        <v>-8.7272727272727249</v>
      </c>
      <c r="AC204" s="37">
        <v>0.84187878787878778</v>
      </c>
      <c r="AD204" s="37" cm="1">
        <f t="array" ref="AD204:AE204">LINEST(G190:G204,D190:D204)</f>
        <v>-4.9885714285714293</v>
      </c>
      <c r="AE204" s="37">
        <v>0.60651666666666681</v>
      </c>
      <c r="AF204" s="37" cm="1">
        <f t="array" ref="AF204:AG204">LINEST(G185:G204,D185:D204)</f>
        <v>0.40601503759398561</v>
      </c>
      <c r="AG204" s="37">
        <v>0.27183082706766915</v>
      </c>
      <c r="AH204" s="37" cm="1">
        <f t="array" ref="AH204:AI204">LINEST(G180:G204,D180:D204)</f>
        <v>3.8658461538461553</v>
      </c>
      <c r="AI204" s="37">
        <v>6.7179999999999962E-2</v>
      </c>
      <c r="AJ204" s="37" cm="1">
        <f t="array" ref="AJ204:AK204">LINEST(G175:G204,D175:D204)</f>
        <v>6.6553948832035577</v>
      </c>
      <c r="AK204" s="37">
        <v>-9.1708194289951583E-2</v>
      </c>
    </row>
    <row r="205" spans="1:37" x14ac:dyDescent="0.25">
      <c r="A205" s="61">
        <v>502</v>
      </c>
      <c r="B205" s="14">
        <f t="shared" si="3"/>
        <v>199</v>
      </c>
      <c r="C205" s="15">
        <v>43981</v>
      </c>
      <c r="D205" s="16">
        <v>7.0416666666666669E-2</v>
      </c>
      <c r="E205" s="36">
        <v>19.989999999999998</v>
      </c>
      <c r="F205" s="36">
        <v>0.38</v>
      </c>
      <c r="G205" s="36">
        <v>0.26</v>
      </c>
      <c r="H205" s="56" cm="1">
        <f t="array" ref="H205:I205">LINEST(E196:E205,D196:D205)</f>
        <v>3.0545454545454049</v>
      </c>
      <c r="I205" s="56">
        <v>19.768000000000001</v>
      </c>
      <c r="J205" s="56" cm="1">
        <f t="array" ref="J205:K205">LINEST(E191:E205,D191:D205)</f>
        <v>3.6514285714284935</v>
      </c>
      <c r="K205" s="56">
        <v>19.729045238095242</v>
      </c>
      <c r="L205" s="56" cm="1">
        <f t="array" ref="L205:M205">LINEST(E186:E205,D186:D205)</f>
        <v>-6.7127819548872489</v>
      </c>
      <c r="M205" s="56">
        <v>20.386120300751884</v>
      </c>
      <c r="N205" s="56" cm="1">
        <f t="array" ref="N205:O205">LINEST(E181:E205,D181:D205)</f>
        <v>-6.0313846153846615</v>
      </c>
      <c r="O205" s="56">
        <v>20.345786923076929</v>
      </c>
      <c r="P205" s="56" cm="1">
        <f t="array" ref="P205:Q205">LINEST(E176:E205,D176:D205)</f>
        <v>-3.6312347052280693</v>
      </c>
      <c r="Q205" s="56">
        <v>20.205570411568413</v>
      </c>
      <c r="R205" s="56" cm="1">
        <f t="array" ref="R205:S205">LINEST(F196:F205,D196:D205)</f>
        <v>-4.4945454545454169</v>
      </c>
      <c r="S205" s="56">
        <v>0.49539999999999751</v>
      </c>
      <c r="T205" s="56" cm="1">
        <f t="array" ref="T205:U205">LINEST(F191:F205,D191:D205)</f>
        <v>-28.619999999999987</v>
      </c>
      <c r="U205" s="56">
        <v>2.0444083333333332</v>
      </c>
      <c r="V205" s="56" cm="1">
        <f t="array" ref="V205:W205">LINEST(F186:F205,D186:D205)</f>
        <v>-7.5085714285714262</v>
      </c>
      <c r="W205" s="56">
        <v>0.71815714285714272</v>
      </c>
      <c r="X205" s="56" cm="1">
        <f t="array" ref="X205:Y205">LINEST(F181:F205,D181:D205)</f>
        <v>-12.478153846153841</v>
      </c>
      <c r="Y205" s="56">
        <v>1.0231007692307685</v>
      </c>
      <c r="Z205" s="56" cm="1">
        <f t="array" ref="Z205:AA205">LINEST(F176:F205,D176:D205)</f>
        <v>-8.9715684093437194</v>
      </c>
      <c r="AA205" s="56">
        <v>0.81273718946978124</v>
      </c>
      <c r="AB205" s="37" cm="1">
        <f t="array" ref="AB205:AC205">LINEST(G196:G205,D196:D205)</f>
        <v>-8.3345454545454469</v>
      </c>
      <c r="AC205" s="37">
        <v>0.82179999999999953</v>
      </c>
      <c r="AD205" s="37" cm="1">
        <f t="array" ref="AD205:AE205">LINEST(G191:G205,D191:D205)</f>
        <v>-6.7371428571428531</v>
      </c>
      <c r="AE205" s="37">
        <v>0.71890714285714274</v>
      </c>
      <c r="AF205" s="37" cm="1">
        <f t="array" ref="AF205:AG205">LINEST(G186:G205,D186:D205)</f>
        <v>-0.22736842105263144</v>
      </c>
      <c r="AG205" s="37">
        <v>0.30701052631578946</v>
      </c>
      <c r="AH205" s="37" cm="1">
        <f t="array" ref="AH205:AI205">LINEST(G181:G205,D181:D205)</f>
        <v>2.580923076923078</v>
      </c>
      <c r="AI205" s="37">
        <v>0.1372753846153846</v>
      </c>
      <c r="AJ205" s="37" cm="1">
        <f t="array" ref="AJ205:AK205">LINEST(G176:G205,D176:D205)</f>
        <v>5.4188209121245841</v>
      </c>
      <c r="AK205" s="37">
        <v>-2.8779606970708166E-2</v>
      </c>
    </row>
    <row r="206" spans="1:37" x14ac:dyDescent="0.25">
      <c r="A206" s="61">
        <v>502</v>
      </c>
      <c r="B206" s="14">
        <f t="shared" si="3"/>
        <v>200</v>
      </c>
      <c r="C206" s="15">
        <v>43981</v>
      </c>
      <c r="D206" s="16">
        <v>7.1805555555555553E-2</v>
      </c>
      <c r="E206" s="36">
        <v>20.02</v>
      </c>
      <c r="F206" s="36">
        <v>0.86</v>
      </c>
      <c r="G206" s="36">
        <v>0.31</v>
      </c>
      <c r="H206" s="56" cm="1">
        <f t="array" ref="H206:I206">LINEST(E197:E206,D197:D206)</f>
        <v>4.5818181818181385</v>
      </c>
      <c r="I206" s="56">
        <v>19.670636363636365</v>
      </c>
      <c r="J206" s="56" cm="1">
        <f t="array" ref="J206:K206">LINEST(E192:E206,D192:D206)</f>
        <v>3.6514285714285108</v>
      </c>
      <c r="K206" s="56">
        <v>19.732640476190479</v>
      </c>
      <c r="L206" s="56" cm="1">
        <f t="array" ref="L206:M206">LINEST(E187:E206,D187:D206)</f>
        <v>-4.9587969924812239</v>
      </c>
      <c r="M206" s="56">
        <v>20.286640601503763</v>
      </c>
      <c r="N206" s="56" cm="1">
        <f t="array" ref="N206:O206">LINEST(E182:E206,D182:D206)</f>
        <v>-5.8375384615385029</v>
      </c>
      <c r="O206" s="56">
        <v>20.342275384615384</v>
      </c>
      <c r="P206" s="56" cm="1">
        <f t="array" ref="P206:Q206">LINEST(E177:E206,D177:D206)</f>
        <v>-3.6600667408231797</v>
      </c>
      <c r="Q206" s="56">
        <v>20.212103448275869</v>
      </c>
      <c r="R206" s="56" cm="1">
        <f t="array" ref="R206:S206">LINEST(F197:F206,D197:D206)</f>
        <v>40.494545454545481</v>
      </c>
      <c r="S206" s="56">
        <v>-2.4226424242424258</v>
      </c>
      <c r="T206" s="56" cm="1">
        <f t="array" ref="T206:U206">LINEST(F192:F206,D192:D206)</f>
        <v>-6.6857142857142717</v>
      </c>
      <c r="U206" s="56">
        <v>0.7204047619047611</v>
      </c>
      <c r="V206" s="56" cm="1">
        <f t="array" ref="V206:W206">LINEST(F187:F206,D187:D206)</f>
        <v>-5.3648120300751883</v>
      </c>
      <c r="W206" s="56">
        <v>0.64793759398496253</v>
      </c>
      <c r="X206" s="56" cm="1">
        <f t="array" ref="X206:Y206">LINEST(F182:F206,D182:D206)</f>
        <v>-10.345846153846153</v>
      </c>
      <c r="Y206" s="56">
        <v>0.95005846153846107</v>
      </c>
      <c r="Z206" s="56" cm="1">
        <f t="array" ref="Z206:AA206">LINEST(F177:F206,D177:D206)</f>
        <v>-1.8981090100111238</v>
      </c>
      <c r="AA206" s="56">
        <v>0.44440229885057458</v>
      </c>
      <c r="AB206" s="37" cm="1">
        <f t="array" ref="AB206:AC206">LINEST(G197:G206,D197:D206)</f>
        <v>-4.4072727272727246</v>
      </c>
      <c r="AC206" s="37">
        <v>0.57192121212121194</v>
      </c>
      <c r="AD206" s="37" cm="1">
        <f t="array" ref="AD206:AE206">LINEST(G192:G206,D192:D206)</f>
        <v>-6.7371428571428549</v>
      </c>
      <c r="AE206" s="37">
        <v>0.72826428571428559</v>
      </c>
      <c r="AF206" s="37" cm="1">
        <f t="array" ref="AF206:AG206">LINEST(G187:G206,D187:D206)</f>
        <v>-0.56300751879699307</v>
      </c>
      <c r="AG206" s="37">
        <v>0.32999849624060151</v>
      </c>
      <c r="AH206" s="37" cm="1">
        <f t="array" ref="AH206:AI206">LINEST(G182:G206,D182:D206)</f>
        <v>1.6116923076923071</v>
      </c>
      <c r="AI206" s="37">
        <v>0.19513307692307696</v>
      </c>
      <c r="AJ206" s="37" cm="1">
        <f t="array" ref="AJ206:AK206">LINEST(G177:G206,D177:D206)</f>
        <v>4.8646051167964401</v>
      </c>
      <c r="AK206" s="37">
        <v>3.2873563218405177E-4</v>
      </c>
    </row>
    <row r="207" spans="1:37" x14ac:dyDescent="0.25">
      <c r="A207" s="61">
        <v>502</v>
      </c>
      <c r="B207" s="14">
        <f t="shared" si="3"/>
        <v>201</v>
      </c>
      <c r="C207" s="15">
        <v>43981</v>
      </c>
      <c r="D207" s="16">
        <v>7.3194444444444437E-2</v>
      </c>
      <c r="E207" s="36">
        <v>20.04</v>
      </c>
      <c r="F207" s="36">
        <v>0.37</v>
      </c>
      <c r="G207" s="36">
        <v>0.31</v>
      </c>
      <c r="H207" s="56" cm="1">
        <f t="array" ref="H207:I207">LINEST(E198:E207,D198:D207)</f>
        <v>5.323636363636326</v>
      </c>
      <c r="I207" s="56">
        <v>19.625612121212125</v>
      </c>
      <c r="J207" s="56" cm="1">
        <f t="array" ref="J207:K207">LINEST(E193:E207,D193:D207)</f>
        <v>4.7057142857142544</v>
      </c>
      <c r="K207" s="56">
        <v>19.667317857142855</v>
      </c>
      <c r="L207" s="56" cm="1">
        <f t="array" ref="L207:M207">LINEST(E188:E207,D188:D207)</f>
        <v>-2.755488721804543</v>
      </c>
      <c r="M207" s="56">
        <v>20.155829323308275</v>
      </c>
      <c r="N207" s="56" cm="1">
        <f t="array" ref="N207:O207">LINEST(E183:E207,D183:D207)</f>
        <v>-5.2061538461538897</v>
      </c>
      <c r="O207" s="56">
        <v>20.312692307692313</v>
      </c>
      <c r="P207" s="56" cm="1">
        <f t="array" ref="P207:Q207">LINEST(E178:E207,D178:D207)</f>
        <v>-3.6456507230256232</v>
      </c>
      <c r="Q207" s="56">
        <v>20.217422024471635</v>
      </c>
      <c r="R207" s="56" cm="1">
        <f t="array" ref="R207:S207">LINEST(F198:F207,D198:D207)</f>
        <v>15.578181818181847</v>
      </c>
      <c r="S207" s="56">
        <v>-0.73387272727272923</v>
      </c>
      <c r="T207" s="56" cm="1">
        <f t="array" ref="T207:U207">LINEST(F193:F207,D193:D207)</f>
        <v>6.5057142857142951</v>
      </c>
      <c r="U207" s="56">
        <v>-0.1422654761904768</v>
      </c>
      <c r="V207" s="56" cm="1">
        <f t="array" ref="V207:W207">LINEST(F188:F207,D188:D207)</f>
        <v>-7.0754887218045095</v>
      </c>
      <c r="W207" s="56">
        <v>0.76902932330827056</v>
      </c>
      <c r="X207" s="56" cm="1">
        <f t="array" ref="X207:Y207">LINEST(F183:F207,D183:D207)</f>
        <v>-4.9347692307692332</v>
      </c>
      <c r="Y207" s="56">
        <v>0.62775153846153842</v>
      </c>
      <c r="Z207" s="56" cm="1">
        <f t="array" ref="Z207:AA207">LINEST(F178:F207,D178:D207)</f>
        <v>-4.4513459399332609</v>
      </c>
      <c r="AA207" s="56">
        <v>0.60116863181312552</v>
      </c>
      <c r="AB207" s="37" cm="1">
        <f t="array" ref="AB207:AC207">LINEST(G198:G207,D198:D207)</f>
        <v>-3.0109090909090925</v>
      </c>
      <c r="AC207" s="37">
        <v>0.48656363636363653</v>
      </c>
      <c r="AD207" s="37" cm="1">
        <f t="array" ref="AD207:AE207">LINEST(G193:G207,D193:D207)</f>
        <v>-5.7085714285714264</v>
      </c>
      <c r="AE207" s="37">
        <v>0.66900238095238074</v>
      </c>
      <c r="AF207" s="37" cm="1">
        <f t="array" ref="AF207:AG207">LINEST(G188:G207,D188:D207)</f>
        <v>-1.0772932330827072</v>
      </c>
      <c r="AG207" s="37">
        <v>0.36513759398496237</v>
      </c>
      <c r="AH207" s="37" cm="1">
        <f t="array" ref="AH207:AI207">LINEST(G183:G207,D183:D207)</f>
        <v>1.1076923076923075</v>
      </c>
      <c r="AI207" s="37">
        <v>0.22618461538461537</v>
      </c>
      <c r="AJ207" s="37" cm="1">
        <f t="array" ref="AJ207:AK207">LINEST(G178:G207,D178:D207)</f>
        <v>4.1341935483870991</v>
      </c>
      <c r="AK207" s="37">
        <v>4.0991397849462291E-2</v>
      </c>
    </row>
    <row r="208" spans="1:37" x14ac:dyDescent="0.25">
      <c r="A208" s="61">
        <v>502</v>
      </c>
      <c r="B208" s="14">
        <f t="shared" si="3"/>
        <v>202</v>
      </c>
      <c r="C208" s="15">
        <v>43981</v>
      </c>
      <c r="D208" s="16">
        <v>7.4583333333333335E-2</v>
      </c>
      <c r="E208" s="36">
        <v>20.059999999999999</v>
      </c>
      <c r="F208" s="36">
        <v>0.64</v>
      </c>
      <c r="G208" s="36">
        <v>0.34</v>
      </c>
      <c r="H208" s="56" cm="1">
        <f t="array" ref="H208:I208">LINEST(E199:E208,D199:D208)</f>
        <v>7.3309090909091044</v>
      </c>
      <c r="I208" s="56">
        <v>19.491054545454546</v>
      </c>
      <c r="J208" s="56" cm="1">
        <f t="array" ref="J208:K208">LINEST(E194:E208,D194:D208)</f>
        <v>5.6571428571428184</v>
      </c>
      <c r="K208" s="56">
        <v>19.607738095238098</v>
      </c>
      <c r="L208" s="56" cm="1">
        <f t="array" ref="L208:M208">LINEST(E189:E208,D189:D208)</f>
        <v>-0.11368421052635179</v>
      </c>
      <c r="M208" s="56">
        <v>19.992478947368426</v>
      </c>
      <c r="N208" s="56" cm="1">
        <f t="array" ref="N208:O208">LINEST(E184:E208,D184:D208)</f>
        <v>-4.3421538461538844</v>
      </c>
      <c r="O208" s="56">
        <v>20.268283076923083</v>
      </c>
      <c r="P208" s="56" cm="1">
        <f t="array" ref="P208:Q208">LINEST(E179:E208,D179:D208)</f>
        <v>-3.448631813125731</v>
      </c>
      <c r="Q208" s="56">
        <v>20.212758843159065</v>
      </c>
      <c r="R208" s="56" cm="1">
        <f t="array" ref="R208:S208">LINEST(F199:F208,D199:D208)</f>
        <v>52.145454545454605</v>
      </c>
      <c r="S208" s="56">
        <v>-3.2702727272727308</v>
      </c>
      <c r="T208" s="56" cm="1">
        <f t="array" ref="T208:U208">LINEST(F194:F208,D194:D208)</f>
        <v>25.894285714285729</v>
      </c>
      <c r="U208" s="56">
        <v>-1.4255321428571437</v>
      </c>
      <c r="V208" s="56" cm="1">
        <f t="array" ref="V208:W208">LINEST(F189:F208,D189:D208)</f>
        <v>-2.2682706766917162</v>
      </c>
      <c r="W208" s="56">
        <v>0.49074661654135265</v>
      </c>
      <c r="X208" s="56" cm="1">
        <f t="array" ref="X208:Y208">LINEST(F184:F208,D184:D208)</f>
        <v>-1.6947692307692319</v>
      </c>
      <c r="Y208" s="56">
        <v>0.45135538461538466</v>
      </c>
      <c r="Z208" s="56" cm="1">
        <f t="array" ref="Z208:AA208">LINEST(F179:F208,D179:D208)</f>
        <v>-3.1490989988876543</v>
      </c>
      <c r="AA208" s="56">
        <v>0.5454509454949944</v>
      </c>
      <c r="AB208" s="37" cm="1">
        <f t="array" ref="AB208:AC208">LINEST(G199:G208,D199:D208)</f>
        <v>1.3090909090909102</v>
      </c>
      <c r="AC208" s="37">
        <v>0.19654545454545447</v>
      </c>
      <c r="AD208" s="37" cm="1">
        <f t="array" ref="AD208:AE208">LINEST(G194:G208,D194:D208)</f>
        <v>-3.1885714285714273</v>
      </c>
      <c r="AE208" s="37">
        <v>0.50948095238095226</v>
      </c>
      <c r="AF208" s="37" cm="1">
        <f t="array" ref="AF208:AG208">LINEST(G189:G208,D189:D208)</f>
        <v>-1.131428571428573</v>
      </c>
      <c r="AG208" s="37">
        <v>0.37395714285714288</v>
      </c>
      <c r="AH208" s="37" cm="1">
        <f t="array" ref="AH208:AI208">LINEST(G184:G208,D184:D208)</f>
        <v>0.88061538461538447</v>
      </c>
      <c r="AI208" s="37">
        <v>0.24299769230769225</v>
      </c>
      <c r="AJ208" s="37" cm="1">
        <f t="array" ref="AJ208:AK208">LINEST(G179:G208,D179:D208)</f>
        <v>3.5591546162402676</v>
      </c>
      <c r="AK208" s="37">
        <v>7.5557137560252119E-2</v>
      </c>
    </row>
    <row r="209" spans="1:37" x14ac:dyDescent="0.25">
      <c r="A209" s="61">
        <v>502</v>
      </c>
      <c r="B209" s="14">
        <f t="shared" si="3"/>
        <v>203</v>
      </c>
      <c r="C209" s="15">
        <v>43981</v>
      </c>
      <c r="D209" s="16">
        <v>7.5972222222222219E-2</v>
      </c>
      <c r="E209" s="36">
        <v>20.04</v>
      </c>
      <c r="F209" s="36">
        <v>-0.43</v>
      </c>
      <c r="G209" s="36">
        <v>0.28000000000000003</v>
      </c>
      <c r="H209" s="56" cm="1">
        <f t="array" ref="H209:I209">LINEST(E200:E209,D200:D209)</f>
        <v>8.1600000000000037</v>
      </c>
      <c r="I209" s="56">
        <v>19.430066666666665</v>
      </c>
      <c r="J209" s="56" cm="1">
        <f t="array" ref="J209:K209">LINEST(E195:E209,D195:D209)</f>
        <v>5.9142857142856808</v>
      </c>
      <c r="K209" s="56">
        <v>19.590178571428577</v>
      </c>
      <c r="L209" s="56" cm="1">
        <f t="array" ref="L209:M209">LINEST(E190:E209,D190:D209)</f>
        <v>2.3169924812029552</v>
      </c>
      <c r="M209" s="56">
        <v>19.834544360902264</v>
      </c>
      <c r="N209" s="56" cm="1">
        <f t="array" ref="N209:O209">LINEST(E185:E209,D185:D209)</f>
        <v>-3.4449230769231085</v>
      </c>
      <c r="O209" s="56">
        <v>20.217903076923083</v>
      </c>
      <c r="P209" s="56" cm="1">
        <f t="array" ref="P209:Q209">LINEST(E180:E209,D180:D209)</f>
        <v>-3.25481646273641</v>
      </c>
      <c r="Q209" s="56">
        <v>20.206393919169447</v>
      </c>
      <c r="R209" s="56" cm="1">
        <f t="array" ref="R209:S209">LINEST(F200:F209,D200:D209)</f>
        <v>31.2872727272728</v>
      </c>
      <c r="S209" s="56">
        <v>-1.976418181818187</v>
      </c>
      <c r="T209" s="56" cm="1">
        <f t="array" ref="T209:U209">LINEST(F195:F209,D195:D209)</f>
        <v>11.64857142857144</v>
      </c>
      <c r="U209" s="56">
        <v>-0.55705119047619123</v>
      </c>
      <c r="V209" s="56" cm="1">
        <f t="array" ref="V209:W209">LINEST(F190:F209,D190:D209)</f>
        <v>-18.167819548872174</v>
      </c>
      <c r="W209" s="56">
        <v>1.4875353383458643</v>
      </c>
      <c r="X209" s="56" cm="1">
        <f t="array" ref="X209:Y209">LINEST(F185:F209,D185:D209)</f>
        <v>-5.8430769230769224</v>
      </c>
      <c r="Y209" s="56">
        <v>0.66252692307692285</v>
      </c>
      <c r="Z209" s="56" cm="1">
        <f t="array" ref="Z209:AA209">LINEST(F180:F209,D180:D209)</f>
        <v>-5.6126362625139068</v>
      </c>
      <c r="AA209" s="56">
        <v>0.65203885799035954</v>
      </c>
      <c r="AB209" s="37" cm="1">
        <f t="array" ref="AB209:AC209">LINEST(G200:G209,D200:D209)</f>
        <v>3.6654545454545486</v>
      </c>
      <c r="AC209" s="37">
        <v>2.4436363636363367E-2</v>
      </c>
      <c r="AD209" s="37" cm="1">
        <f t="array" ref="AD209:AE209">LINEST(G195:G209,D195:D209)</f>
        <v>-2.005714285714284</v>
      </c>
      <c r="AE209" s="37">
        <v>0.42887857142857133</v>
      </c>
      <c r="AF209" s="37" cm="1">
        <f t="array" ref="AF209:AG209">LINEST(G190:G209,D190:D209)</f>
        <v>-2.4577443609022556</v>
      </c>
      <c r="AG209" s="37">
        <v>0.4622917293233082</v>
      </c>
      <c r="AH209" s="37" cm="1">
        <f t="array" ref="AH209:AI209">LINEST(G185:G209,D185:D209)</f>
        <v>0.39876923076923038</v>
      </c>
      <c r="AI209" s="37">
        <v>0.27195076923076922</v>
      </c>
      <c r="AJ209" s="37" cm="1">
        <f t="array" ref="AJ209:AK209">LINEST(G180:G209,D180:D209)</f>
        <v>2.867185761957733</v>
      </c>
      <c r="AK209" s="37">
        <v>0.11458212829069328</v>
      </c>
    </row>
    <row r="210" spans="1:37" x14ac:dyDescent="0.25">
      <c r="A210" s="61">
        <v>502</v>
      </c>
      <c r="B210" s="14">
        <f t="shared" si="3"/>
        <v>204</v>
      </c>
      <c r="C210" s="15">
        <v>43981</v>
      </c>
      <c r="D210" s="16">
        <v>7.7361111111111117E-2</v>
      </c>
      <c r="E210" s="36">
        <v>20.03</v>
      </c>
      <c r="F210" s="36">
        <v>-0.42</v>
      </c>
      <c r="G210" s="36">
        <v>0.22</v>
      </c>
      <c r="H210" s="56" cm="1">
        <f t="array" ref="H210:I210">LINEST(E201:E210,D201:D210)</f>
        <v>7.985454545454612</v>
      </c>
      <c r="I210" s="56">
        <v>19.437145454545448</v>
      </c>
      <c r="J210" s="56" cm="1">
        <f t="array" ref="J210:K210">LINEST(E196:E210,D196:D210)</f>
        <v>5.7085714285714344</v>
      </c>
      <c r="K210" s="56">
        <v>19.602545238095242</v>
      </c>
      <c r="L210" s="56" cm="1">
        <f t="array" ref="L210:M210">LINEST(E191:E210,D191:D210)</f>
        <v>5.1049624060150052</v>
      </c>
      <c r="M210" s="56">
        <v>19.644931578947375</v>
      </c>
      <c r="N210" s="56" cm="1">
        <f t="array" ref="N210:O210">LINEST(E186:E210,D186:D210)</f>
        <v>-2.4258461538461678</v>
      </c>
      <c r="O210" s="56">
        <v>20.156435384615392</v>
      </c>
      <c r="P210" s="56" cm="1">
        <f t="array" ref="P210:Q210">LINEST(E181:E210,D181:D210)</f>
        <v>-3.1539043381535352</v>
      </c>
      <c r="Q210" s="56">
        <v>20.204806748238784</v>
      </c>
      <c r="R210" s="56" cm="1">
        <f t="array" ref="R210:S210">LINEST(F201:F210,D201:D210)</f>
        <v>-6.9381818181817723</v>
      </c>
      <c r="S210" s="56">
        <v>0.66438181818181485</v>
      </c>
      <c r="T210" s="56" cm="1">
        <f t="array" ref="T210:U210">LINEST(F196:F210,D196:D210)</f>
        <v>-10.157142857142849</v>
      </c>
      <c r="U210" s="56">
        <v>0.89301785714285653</v>
      </c>
      <c r="V210" s="56" cm="1">
        <f t="array" ref="V210:W210">LINEST(F191:F210,D191:D210)</f>
        <v>-19.883909774436081</v>
      </c>
      <c r="W210" s="56">
        <v>1.5573842105263154</v>
      </c>
      <c r="X210" s="56" cm="1">
        <f t="array" ref="X210:Y210">LINEST(F186:F210,D186:D210)</f>
        <v>-8.0418461538461532</v>
      </c>
      <c r="Y210" s="56">
        <v>0.75969538461538444</v>
      </c>
      <c r="Z210" s="56" cm="1">
        <f t="array" ref="Z210:AA210">LINEST(F181:F210,D181:D210)</f>
        <v>-11.265317018909899</v>
      </c>
      <c r="AA210" s="56">
        <v>0.9722931405265105</v>
      </c>
      <c r="AB210" s="37" cm="1">
        <f t="array" ref="AB210:AC210">LINEST(G201:G210,D201:D210)</f>
        <v>2.7490909090909077</v>
      </c>
      <c r="AC210" s="37">
        <v>7.5509090909091026E-2</v>
      </c>
      <c r="AD210" s="37" cm="1">
        <f t="array" ref="AD210:AE210">LINEST(G196:G210,D196:D210)</f>
        <v>-2.6742857142857126</v>
      </c>
      <c r="AE210" s="37">
        <v>0.46955238095238083</v>
      </c>
      <c r="AF210" s="37" cm="1">
        <f t="array" ref="AF210:AG210">LINEST(G191:G210,D191:D210)</f>
        <v>-3.7948872180451141</v>
      </c>
      <c r="AG210" s="37">
        <v>0.54900526315789477</v>
      </c>
      <c r="AH210" s="37" cm="1">
        <f t="array" ref="AH210:AI210">LINEST(G186:G210,D186:D210)</f>
        <v>-0.28799999999999998</v>
      </c>
      <c r="AI210" s="37">
        <v>0.31107999999999997</v>
      </c>
      <c r="AJ210" s="37" cm="1">
        <f t="array" ref="AJ210:AK210">LINEST(G181:G210,D181:D210)</f>
        <v>1.7459399332591763</v>
      </c>
      <c r="AK210" s="37">
        <v>0.17876010381905819</v>
      </c>
    </row>
    <row r="211" spans="1:37" x14ac:dyDescent="0.25">
      <c r="A211" s="61">
        <v>502</v>
      </c>
      <c r="B211" s="14">
        <f t="shared" si="3"/>
        <v>205</v>
      </c>
      <c r="C211" s="15">
        <v>43981</v>
      </c>
      <c r="D211" s="16">
        <v>7.8750000000000001E-2</v>
      </c>
      <c r="E211" s="36">
        <v>20.05</v>
      </c>
      <c r="F211" s="36">
        <v>0.65</v>
      </c>
      <c r="G211" s="36">
        <v>0.26</v>
      </c>
      <c r="H211" s="56" cm="1">
        <f t="array" ref="H211:I211">LINEST(E202:E211,D202:D211)</f>
        <v>8.0727272727273682</v>
      </c>
      <c r="I211" s="56">
        <v>19.427727272727264</v>
      </c>
      <c r="J211" s="56" cm="1">
        <f t="array" ref="J211:K211">LINEST(E197:E211,D197:D211)</f>
        <v>6.0171428571428827</v>
      </c>
      <c r="K211" s="56">
        <v>19.579983333333335</v>
      </c>
      <c r="L211" s="56" cm="1">
        <f t="array" ref="L211:M211">LINEST(E192:E211,D192:D211)</f>
        <v>4.9642105263157799</v>
      </c>
      <c r="M211" s="56">
        <v>19.655068421052636</v>
      </c>
      <c r="N211" s="56" cm="1">
        <f t="array" ref="N211:O211">LINEST(E187:E211,D187:D211)</f>
        <v>-1.2129230769230777</v>
      </c>
      <c r="O211" s="56">
        <v>20.080902307692313</v>
      </c>
      <c r="P211" s="56" cm="1">
        <f t="array" ref="P211:Q211">LINEST(E182:E211,D182:D211)</f>
        <v>-2.9072302558398455</v>
      </c>
      <c r="Q211" s="56">
        <v>20.194729328883941</v>
      </c>
      <c r="R211" s="56" cm="1">
        <f t="array" ref="R211:S211">LINEST(F202:F211,D202:D211)</f>
        <v>1.7454545454545725</v>
      </c>
      <c r="S211" s="56">
        <v>0.11345454545454348</v>
      </c>
      <c r="T211" s="56" cm="1">
        <f t="array" ref="T211:U211">LINEST(F197:F211,D197:D211)</f>
        <v>6.1457142857142957</v>
      </c>
      <c r="U211" s="56">
        <v>-0.21555833333333396</v>
      </c>
      <c r="V211" s="56" cm="1">
        <f t="array" ref="V211:W211">LINEST(F192:F211,D192:D211)</f>
        <v>-9.1759398496240649</v>
      </c>
      <c r="W211" s="56">
        <v>0.87103383458646655</v>
      </c>
      <c r="X211" s="56" cm="1">
        <f t="array" ref="X211:Y211">LINEST(F187:F211,D187:D211)</f>
        <v>-7.770461538461535</v>
      </c>
      <c r="Y211" s="56">
        <v>0.78161615384615368</v>
      </c>
      <c r="Z211" s="56" cm="1">
        <f t="array" ref="Z211:AA211">LINEST(F182:F211,D182:D211)</f>
        <v>-10.501268075639601</v>
      </c>
      <c r="AA211" s="56">
        <v>0.95882432332220957</v>
      </c>
      <c r="AB211" s="37" cm="1">
        <f t="array" ref="AB211:AC211">LINEST(G202:G211,D202:D211)</f>
        <v>2.7490909090909081</v>
      </c>
      <c r="AC211" s="37">
        <v>6.9690909090909164E-2</v>
      </c>
      <c r="AD211" s="37" cm="1">
        <f t="array" ref="AD211:AE211">LINEST(G197:G211,D197:D211)</f>
        <v>-1.9285714285714277</v>
      </c>
      <c r="AE211" s="37">
        <v>0.41579166666666662</v>
      </c>
      <c r="AF211" s="37" cm="1">
        <f t="array" ref="AF211:AG211">LINEST(G192:G211,D192:D211)</f>
        <v>-4.2117293233082727</v>
      </c>
      <c r="AG211" s="37">
        <v>0.5791022556390979</v>
      </c>
      <c r="AH211" s="37" cm="1">
        <f t="array" ref="AH211:AI211">LINEST(G187:G211,D187:D211)</f>
        <v>-0.82523076923076955</v>
      </c>
      <c r="AI211" s="37">
        <v>0.34523307692307686</v>
      </c>
      <c r="AJ211" s="37" cm="1">
        <f t="array" ref="AJ211:AK211">LINEST(G182:G211,D182:D211)</f>
        <v>0.82171301446051181</v>
      </c>
      <c r="AK211" s="37">
        <v>0.23550515387467552</v>
      </c>
    </row>
    <row r="212" spans="1:37" x14ac:dyDescent="0.25">
      <c r="A212" s="61">
        <v>502</v>
      </c>
      <c r="B212" s="14">
        <f t="shared" si="3"/>
        <v>206</v>
      </c>
      <c r="C212" s="15">
        <v>43981</v>
      </c>
      <c r="D212" s="16">
        <v>8.0138888888888885E-2</v>
      </c>
      <c r="E212" s="36">
        <v>20.04</v>
      </c>
      <c r="F212" s="36">
        <v>-0.21</v>
      </c>
      <c r="G212" s="36">
        <v>0.22</v>
      </c>
      <c r="H212" s="56" cm="1">
        <f t="array" ref="H212:I212">LINEST(E203:E212,D203:D212)</f>
        <v>6.1090909090909813</v>
      </c>
      <c r="I212" s="56">
        <v>19.570606060606053</v>
      </c>
      <c r="J212" s="56" cm="1">
        <f t="array" ref="J212:K212">LINEST(E198:E212,D198:D212)</f>
        <v>5.4771428571428817</v>
      </c>
      <c r="K212" s="56">
        <v>19.616984523809528</v>
      </c>
      <c r="L212" s="56" cm="1">
        <f t="array" ref="L212:M212">LINEST(E193:E212,D193:D212)</f>
        <v>5.115789473684214</v>
      </c>
      <c r="M212" s="56">
        <v>19.643026315789474</v>
      </c>
      <c r="N212" s="56" cm="1">
        <f t="array" ref="N212:O212">LINEST(E188:E212,D188:D212)</f>
        <v>5.5384615384604131E-2</v>
      </c>
      <c r="O212" s="56">
        <v>19.997684615384621</v>
      </c>
      <c r="P212" s="56" cm="1">
        <f t="array" ref="P212:Q212">LINEST(E183:E212,D183:D212)</f>
        <v>-2.5083870967742197</v>
      </c>
      <c r="Q212" s="56">
        <v>20.173169892473119</v>
      </c>
      <c r="R212" s="56" cm="1">
        <f t="array" ref="R212:S212">LINEST(F203:F212,D203:D212)</f>
        <v>-57.207272727272766</v>
      </c>
      <c r="S212" s="56">
        <v>4.5079818181818201</v>
      </c>
      <c r="T212" s="56" cm="1">
        <f t="array" ref="T212:U212">LINEST(F198:F212,D198:D212)</f>
        <v>-13.911428571428555</v>
      </c>
      <c r="U212" s="56">
        <v>1.2009297619047605</v>
      </c>
      <c r="V212" s="56" cm="1">
        <f t="array" ref="V212:W212">LINEST(F193:F212,D193:D212)</f>
        <v>-7.0538345864661665</v>
      </c>
      <c r="W212" s="56">
        <v>0.68671503759398511</v>
      </c>
      <c r="X212" s="56" cm="1">
        <f t="array" ref="X212:Y212">LINEST(F188:F212,D188:D212)</f>
        <v>-12.228923076923079</v>
      </c>
      <c r="Y212" s="56">
        <v>1.0609969230769232</v>
      </c>
      <c r="Z212" s="56" cm="1">
        <f t="array" ref="Z212:AA212">LINEST(F183:F212,D183:D212)</f>
        <v>-9.1157285873192482</v>
      </c>
      <c r="AA212" s="56">
        <v>0.84527704857248809</v>
      </c>
      <c r="AB212" s="37" cm="1">
        <f t="array" ref="AB212:AC212">LINEST(G203:G212,D203:D212)</f>
        <v>-2.0072727272727309</v>
      </c>
      <c r="AC212" s="37">
        <v>0.41831515151515186</v>
      </c>
      <c r="AD212" s="37" cm="1">
        <f t="array" ref="AD212:AE212">LINEST(G198:G212,D198:D212)</f>
        <v>-2.9057142857142852</v>
      </c>
      <c r="AE212" s="37">
        <v>0.48261071428571423</v>
      </c>
      <c r="AF212" s="37" cm="1">
        <f t="array" ref="AF212:AG212">LINEST(G193:G212,D193:D212)</f>
        <v>-4.4174436090225573</v>
      </c>
      <c r="AG212" s="37">
        <v>0.59172330827067676</v>
      </c>
      <c r="AH212" s="37" cm="1">
        <f t="array" ref="AH212:AI212">LINEST(G188:G212,D188:D212)</f>
        <v>-1.7058461538461542</v>
      </c>
      <c r="AI212" s="37">
        <v>0.40147384615384607</v>
      </c>
      <c r="AJ212" s="37" cm="1">
        <f t="array" ref="AJ212:AK212">LINEST(G183:G212,D183:D212)</f>
        <v>6.0867630700779052E-2</v>
      </c>
      <c r="AK212" s="37">
        <v>0.28101460882461987</v>
      </c>
    </row>
    <row r="213" spans="1:37" x14ac:dyDescent="0.25">
      <c r="A213" s="61">
        <v>502</v>
      </c>
      <c r="B213" s="14">
        <f t="shared" si="3"/>
        <v>207</v>
      </c>
      <c r="C213" s="15">
        <v>43981</v>
      </c>
      <c r="D213" s="16">
        <v>8.1527777777777768E-2</v>
      </c>
      <c r="E213" s="36">
        <v>20.07</v>
      </c>
      <c r="F213" s="36">
        <v>0.73</v>
      </c>
      <c r="G213" s="36">
        <v>0.26</v>
      </c>
      <c r="H213" s="56" cm="1">
        <f t="array" ref="H213:I213">LINEST(E204:E213,D204:D213)</f>
        <v>5.4981818181818891</v>
      </c>
      <c r="I213" s="56">
        <v>19.618109090909087</v>
      </c>
      <c r="J213" s="56" cm="1">
        <f t="array" ref="J213:K213">LINEST(E199:E213,D199:D213)</f>
        <v>5.8114285714286398</v>
      </c>
      <c r="K213" s="56">
        <v>19.59270714285714</v>
      </c>
      <c r="L213" s="56" cm="1">
        <f t="array" ref="L213:M213">LINEST(E194:E213,D194:D213)</f>
        <v>5.3539849624060274</v>
      </c>
      <c r="M213" s="56">
        <v>19.626644360902258</v>
      </c>
      <c r="N213" s="56" cm="1">
        <f t="array" ref="N213:O213">LINEST(E189:E213,D189:D213)</f>
        <v>1.6559999999999968</v>
      </c>
      <c r="O213" s="56">
        <v>19.890190000000004</v>
      </c>
      <c r="P213" s="56" cm="1">
        <f t="array" ref="P213:Q213">LINEST(E184:E213,D184:D213)</f>
        <v>-1.904516129032271</v>
      </c>
      <c r="Q213" s="56">
        <v>20.138582795698923</v>
      </c>
      <c r="R213" s="56" cm="1">
        <f t="array" ref="R213:S213">LINEST(F204:F213,D204:D213)</f>
        <v>-19.941818181818238</v>
      </c>
      <c r="S213" s="56">
        <v>1.7861757575757617</v>
      </c>
      <c r="T213" s="56" cm="1">
        <f t="array" ref="T213:U213">LINEST(F199:F213,D199:D213)</f>
        <v>7.1485714285714428</v>
      </c>
      <c r="U213" s="56">
        <v>-0.29664047619047718</v>
      </c>
      <c r="V213" s="56" cm="1">
        <f t="array" ref="V213:W213">LINEST(F194:F213,D194:D213)</f>
        <v>5.927819548872181</v>
      </c>
      <c r="W213" s="56">
        <v>-0.19856766917293253</v>
      </c>
      <c r="X213" s="56" cm="1">
        <f t="array" ref="X213:Y213">LINEST(F189:F213,D189:D213)</f>
        <v>-7.7206153846153844</v>
      </c>
      <c r="Y213" s="56">
        <v>0.7947676923076924</v>
      </c>
      <c r="Z213" s="56" cm="1">
        <f t="array" ref="Z213:AA213">LINEST(F184:F213,D184:D213)</f>
        <v>-5.9602224694104544</v>
      </c>
      <c r="AA213" s="56">
        <v>0.67089143492769732</v>
      </c>
      <c r="AB213" s="37" cm="1">
        <f t="array" ref="AB213:AC213">LINEST(G204:G213,D204:D213)</f>
        <v>-3.3600000000000065</v>
      </c>
      <c r="AC213" s="37">
        <v>0.52393333333333392</v>
      </c>
      <c r="AD213" s="37" cm="1">
        <f t="array" ref="AD213:AE213">LINEST(G199:G213,D199:D213)</f>
        <v>-2.16</v>
      </c>
      <c r="AE213" s="37">
        <v>0.42843333333333339</v>
      </c>
      <c r="AF213" s="37" cm="1">
        <f t="array" ref="AF213:AG213">LINEST(G194:G213,D194:D213)</f>
        <v>-3.6054135338345863</v>
      </c>
      <c r="AG213" s="37">
        <v>0.53536992481203016</v>
      </c>
      <c r="AH213" s="37" cm="1">
        <f t="array" ref="AH213:AI213">LINEST(G189:G213,D189:D213)</f>
        <v>-2.165538461538461</v>
      </c>
      <c r="AI213" s="37">
        <v>0.43365923076923063</v>
      </c>
      <c r="AJ213" s="37" cm="1">
        <f t="array" ref="AJ213:AK213">LINEST(G184:G213,D184:D213)</f>
        <v>-0.42447163515016684</v>
      </c>
      <c r="AK213" s="37">
        <v>0.31239117538005184</v>
      </c>
    </row>
    <row r="214" spans="1:37" x14ac:dyDescent="0.25">
      <c r="A214" s="61">
        <v>502</v>
      </c>
      <c r="B214" s="14">
        <f t="shared" si="3"/>
        <v>208</v>
      </c>
      <c r="C214" s="15">
        <v>43981</v>
      </c>
      <c r="D214" s="16">
        <v>8.2916666666666666E-2</v>
      </c>
      <c r="E214" s="36">
        <v>20.059999999999999</v>
      </c>
      <c r="F214" s="36">
        <v>-0.12</v>
      </c>
      <c r="G214" s="36">
        <v>0.23</v>
      </c>
      <c r="H214" s="56" cm="1">
        <f t="array" ref="H214:I214">LINEST(E205:E214,D205:D214)</f>
        <v>4.1018181818182491</v>
      </c>
      <c r="I214" s="56">
        <v>19.725527272727266</v>
      </c>
      <c r="J214" s="56" cm="1">
        <f t="array" ref="J214:K214">LINEST(E200:E214,D200:D214)</f>
        <v>5.8885714285714723</v>
      </c>
      <c r="K214" s="56">
        <v>19.584989285714283</v>
      </c>
      <c r="L214" s="56" cm="1">
        <f t="array" ref="L214:M214">LINEST(E195:E214,D195:D214)</f>
        <v>5.3377443609022626</v>
      </c>
      <c r="M214" s="56">
        <v>19.626840601503762</v>
      </c>
      <c r="N214" s="56" cm="1">
        <f t="array" ref="N214:O214">LINEST(E190:E214,D190:D214)</f>
        <v>3.1679999999999837</v>
      </c>
      <c r="O214" s="56">
        <v>19.784120000000009</v>
      </c>
      <c r="P214" s="56" cm="1">
        <f t="array" ref="P214:Q214">LINEST(E185:E214,D185:D214)</f>
        <v>-1.2381757508342708</v>
      </c>
      <c r="Q214" s="56">
        <v>20.097396588802376</v>
      </c>
      <c r="R214" s="56" cm="1">
        <f t="array" ref="R214:S214">LINEST(F205:F214,D205:D214)</f>
        <v>-36.087272727272776</v>
      </c>
      <c r="S214" s="56">
        <v>3.0116909090909125</v>
      </c>
      <c r="T214" s="56" cm="1">
        <f t="array" ref="T214:U214">LINEST(F200:F214,D200:D214)</f>
        <v>5.8885714285714323</v>
      </c>
      <c r="U214" s="56">
        <v>-0.25234404761904805</v>
      </c>
      <c r="V214" s="56" cm="1">
        <f t="array" ref="V214:W214">LINEST(F195:F214,D195:D214)</f>
        <v>2.0409022556390948</v>
      </c>
      <c r="W214" s="56">
        <v>5.0203759398496389E-2</v>
      </c>
      <c r="X214" s="56" cm="1">
        <f t="array" ref="X214:Y214">LINEST(F190:F214,D190:D214)</f>
        <v>-15.036923076923067</v>
      </c>
      <c r="Y214" s="56">
        <v>1.2989961538461534</v>
      </c>
      <c r="Z214" s="56" cm="1">
        <f t="array" ref="Z214:AA214">LINEST(F185:F214,D185:D214)</f>
        <v>-6.9661401557285876</v>
      </c>
      <c r="AA214" s="56">
        <v>0.72165213199851697</v>
      </c>
      <c r="AB214" s="37" cm="1">
        <f t="array" ref="AB214:AC214">LINEST(G205:G214,D205:D214)</f>
        <v>-5.978181818181822</v>
      </c>
      <c r="AC214" s="37">
        <v>0.72732727272727304</v>
      </c>
      <c r="AD214" s="37" cm="1">
        <f t="array" ref="AD214:AE214">LINEST(G200:G214,D200:D214)</f>
        <v>-1.5685714285714287</v>
      </c>
      <c r="AE214" s="37">
        <v>0.38081071428571439</v>
      </c>
      <c r="AF214" s="37" cm="1">
        <f t="array" ref="AF214:AG214">LINEST(G195:G214,D195:D214)</f>
        <v>-3.1777443609022558</v>
      </c>
      <c r="AG214" s="37">
        <v>0.5030593984962406</v>
      </c>
      <c r="AH214" s="37" cm="1">
        <f t="array" ref="AH214:AI214">LINEST(G190:G214,D190:D214)</f>
        <v>-3.184615384615384</v>
      </c>
      <c r="AI214" s="37">
        <v>0.50498076923076918</v>
      </c>
      <c r="AJ214" s="37" cm="1">
        <f t="array" ref="AJ214:AK214">LINEST(G185:G214,D185:D214)</f>
        <v>-0.91621802002224706</v>
      </c>
      <c r="AK214" s="37">
        <v>0.34351813125695208</v>
      </c>
    </row>
    <row r="215" spans="1:37" x14ac:dyDescent="0.25">
      <c r="A215" s="61">
        <v>502</v>
      </c>
      <c r="B215" s="14">
        <f t="shared" si="3"/>
        <v>209</v>
      </c>
      <c r="C215" s="15">
        <v>43981</v>
      </c>
      <c r="D215" s="16">
        <v>8.4305555555555564E-2</v>
      </c>
      <c r="E215" s="36">
        <v>20.059999999999999</v>
      </c>
      <c r="F215" s="36">
        <v>0</v>
      </c>
      <c r="G215" s="36">
        <v>0.21</v>
      </c>
      <c r="H215" s="56" cm="1">
        <f t="array" ref="H215:I215">LINEST(E206:E215,D206:D215)</f>
        <v>2.4872727272727113</v>
      </c>
      <c r="I215" s="56">
        <v>19.852854545454548</v>
      </c>
      <c r="J215" s="56" cm="1">
        <f t="array" ref="J215:K215">LINEST(E201:E215,D201:D215)</f>
        <v>5.7342857142857326</v>
      </c>
      <c r="K215" s="56">
        <v>19.594317857142855</v>
      </c>
      <c r="L215" s="56" cm="1">
        <f t="array" ref="L215:M215">LINEST(E196:E215,D196:D215)</f>
        <v>5.1807518796992502</v>
      </c>
      <c r="M215" s="56">
        <v>19.637090977443613</v>
      </c>
      <c r="N215" s="56" cm="1">
        <f t="array" ref="N215:O215">LINEST(E191:E215,D191:D215)</f>
        <v>4.9458461538461327</v>
      </c>
      <c r="O215" s="56">
        <v>19.654668461538467</v>
      </c>
      <c r="P215" s="56" cm="1">
        <f t="array" ref="P215:Q215">LINEST(E186:E215,D186:D215)</f>
        <v>-0.45330367074528377</v>
      </c>
      <c r="Q215" s="56">
        <v>20.046086985539489</v>
      </c>
      <c r="R215" s="56" cm="1">
        <f t="array" ref="R215:S215">LINEST(F206:F215,D206:D215)</f>
        <v>-39.229090909090928</v>
      </c>
      <c r="S215" s="56">
        <v>3.2690484848484855</v>
      </c>
      <c r="T215" s="56" cm="1">
        <f t="array" ref="T215:U215">LINEST(F201:F215,D201:D215)</f>
        <v>-2.6485714285714237</v>
      </c>
      <c r="U215" s="56">
        <v>0.38153928571428541</v>
      </c>
      <c r="V215" s="56" cm="1">
        <f t="array" ref="V215:W215">LINEST(F196:F215,D196:D215)</f>
        <v>-5.4243609022556321</v>
      </c>
      <c r="W215" s="56">
        <v>0.59273233082706733</v>
      </c>
      <c r="X215" s="56" cm="1">
        <f t="array" ref="X215:Y215">LINEST(F191:F215,D191:D215)</f>
        <v>-12.821538461538459</v>
      </c>
      <c r="Y215" s="56">
        <v>1.1344346153846157</v>
      </c>
      <c r="Z215" s="56" cm="1">
        <f t="array" ref="Z215:AA215">LINEST(F186:F215,D186:D215)</f>
        <v>-6.2725695216907678</v>
      </c>
      <c r="AA215" s="56">
        <v>0.66382321097515762</v>
      </c>
      <c r="AB215" s="37" cm="1">
        <f t="array" ref="AB215:AC215">LINEST(G206:G215,D206:D215)</f>
        <v>-8.7272727272727266</v>
      </c>
      <c r="AC215" s="37">
        <v>0.94521212121212106</v>
      </c>
      <c r="AD215" s="37" cm="1">
        <f t="array" ref="AD215:AE215">LINEST(G201:G215,D201:D215)</f>
        <v>-1.6714285714285719</v>
      </c>
      <c r="AE215" s="37">
        <v>0.38399404761904776</v>
      </c>
      <c r="AF215" s="37" cm="1">
        <f t="array" ref="AF215:AG215">LINEST(G196:G215,D196:D215)</f>
        <v>-3.3618045112781947</v>
      </c>
      <c r="AG215" s="37">
        <v>0.51456165413533839</v>
      </c>
      <c r="AH215" s="37" cm="1">
        <f t="array" ref="AH215:AI215">LINEST(G191:G215,D191:D215)</f>
        <v>-3.9156923076923067</v>
      </c>
      <c r="AI215" s="37">
        <v>0.55645307692307688</v>
      </c>
      <c r="AJ215" s="37" cm="1">
        <f t="array" ref="AJ215:AK215">LINEST(G186:G215,D186:D215)</f>
        <v>-1.3486985539488325</v>
      </c>
      <c r="AK215" s="37">
        <v>0.37054149054505003</v>
      </c>
    </row>
    <row r="216" spans="1:37" x14ac:dyDescent="0.25">
      <c r="A216" s="61">
        <v>502</v>
      </c>
      <c r="B216" s="14">
        <f t="shared" si="3"/>
        <v>210</v>
      </c>
      <c r="C216" s="15">
        <v>43981</v>
      </c>
      <c r="D216" s="16">
        <v>8.5694444444444448E-2</v>
      </c>
      <c r="E216" s="36">
        <v>20.07</v>
      </c>
      <c r="F216" s="36">
        <v>0.2</v>
      </c>
      <c r="G216" s="36">
        <v>0.21</v>
      </c>
      <c r="H216" s="56" cm="1">
        <f t="array" ref="H216:I216">LINEST(E207:E216,D207:D216)</f>
        <v>2.0945454545454703</v>
      </c>
      <c r="I216" s="56">
        <v>19.885599999999997</v>
      </c>
      <c r="J216" s="56" cm="1">
        <f t="array" ref="J216:K216">LINEST(E202:E216,D202:D216)</f>
        <v>5.5285714285714516</v>
      </c>
      <c r="K216" s="56">
        <v>19.608648809523803</v>
      </c>
      <c r="L216" s="56" cm="1">
        <f t="array" ref="L216:M216">LINEST(E197:E216,D197:D216)</f>
        <v>5.2132330827067763</v>
      </c>
      <c r="M216" s="56">
        <v>19.633540601503761</v>
      </c>
      <c r="N216" s="56" cm="1">
        <f t="array" ref="N216:O216">LINEST(E192:E216,D192:D216)</f>
        <v>4.7686153846153738</v>
      </c>
      <c r="O216" s="56">
        <v>19.667233076923083</v>
      </c>
      <c r="P216" s="56" cm="1">
        <f t="array" ref="P216:Q216">LINEST(E187:E216,D187:D216)</f>
        <v>0.40364849833147642</v>
      </c>
      <c r="Q216" s="56">
        <v>19.988205265109389</v>
      </c>
      <c r="R216" s="56" cm="1">
        <f t="array" ref="R216:S216">LINEST(F207:F216,D207:D216)</f>
        <v>-8.1600000000000286</v>
      </c>
      <c r="S216" s="56">
        <v>0.78926666666666878</v>
      </c>
      <c r="T216" s="56" cm="1">
        <f t="array" ref="T216:U216">LINEST(F202:F216,D202:D216)</f>
        <v>-6.9685714285714253</v>
      </c>
      <c r="U216" s="56">
        <v>0.7294178571428569</v>
      </c>
      <c r="V216" s="56" cm="1">
        <f t="array" ref="V216:W216">LINEST(F197:F216,D197:D216)</f>
        <v>-0.9148872180451102</v>
      </c>
      <c r="W216" s="56">
        <v>0.25282932330827051</v>
      </c>
      <c r="X216" s="56" cm="1">
        <f t="array" ref="X216:Y216">LINEST(F192:F216,D192:D216)</f>
        <v>-8.7840000000000007</v>
      </c>
      <c r="Y216" s="56">
        <v>0.84594000000000025</v>
      </c>
      <c r="Z216" s="56" cm="1">
        <f t="array" ref="Z216:AA216">LINEST(F187:F216,D187:D216)</f>
        <v>-8.0537486095661883</v>
      </c>
      <c r="AA216" s="56">
        <v>0.79730129773822789</v>
      </c>
      <c r="AB216" s="37" cm="1">
        <f t="array" ref="AB216:AC216">LINEST(G207:G216,D207:D216)</f>
        <v>-8.6399999999999988</v>
      </c>
      <c r="AC216" s="37">
        <v>0.94039999999999979</v>
      </c>
      <c r="AD216" s="37" cm="1">
        <f t="array" ref="AD216:AE216">LINEST(G202:G216,D202:D216)</f>
        <v>-2.1342857142857152</v>
      </c>
      <c r="AE216" s="37">
        <v>0.4168130952380954</v>
      </c>
      <c r="AF216" s="37" cm="1">
        <f t="array" ref="AF216:AG216">LINEST(G197:G216,D197:D216)</f>
        <v>-3.1885714285714273</v>
      </c>
      <c r="AG216" s="37">
        <v>0.49967142857142854</v>
      </c>
      <c r="AH216" s="37" cm="1">
        <f t="array" ref="AH216:AI216">LINEST(G192:G216,D192:D216)</f>
        <v>-4.3255384615384607</v>
      </c>
      <c r="AI216" s="37">
        <v>0.58618230769230761</v>
      </c>
      <c r="AJ216" s="37" cm="1">
        <f t="array" ref="AJ216:AK216">LINEST(G187:G216,D187:D216)</f>
        <v>-1.8612680756396007</v>
      </c>
      <c r="AK216" s="37">
        <v>0.40468312940304052</v>
      </c>
    </row>
    <row r="217" spans="1:37" x14ac:dyDescent="0.25">
      <c r="A217" s="61">
        <v>502</v>
      </c>
      <c r="B217" s="14">
        <f t="shared" si="3"/>
        <v>211</v>
      </c>
      <c r="C217" s="15">
        <v>43981</v>
      </c>
      <c r="D217" s="16">
        <v>8.7083333333333332E-2</v>
      </c>
      <c r="E217" s="36">
        <v>20.100000000000001</v>
      </c>
      <c r="F217" s="36">
        <v>0.97</v>
      </c>
      <c r="G217" s="36">
        <v>0.27</v>
      </c>
      <c r="H217" s="56" cm="1">
        <f t="array" ref="H217:I217">LINEST(E208:E217,D208:D217)</f>
        <v>3.4036363636364282</v>
      </c>
      <c r="I217" s="56">
        <v>19.782872727272721</v>
      </c>
      <c r="J217" s="56" cm="1">
        <f t="array" ref="J217:K217">LINEST(E203:E217,D203:D217)</f>
        <v>5.194285714285769</v>
      </c>
      <c r="K217" s="56">
        <v>19.636830952380947</v>
      </c>
      <c r="L217" s="56" cm="1">
        <f t="array" ref="L217:M217">LINEST(E198:E217,D198:D217)</f>
        <v>5.1969924812030373</v>
      </c>
      <c r="M217" s="56">
        <v>19.635999999999999</v>
      </c>
      <c r="N217" s="56" cm="1">
        <f t="array" ref="N217:O217">LINEST(E193:E217,D193:D217)</f>
        <v>5.0510769230769368</v>
      </c>
      <c r="O217" s="56">
        <v>19.647120000000001</v>
      </c>
      <c r="P217" s="56" cm="1">
        <f t="array" ref="P217:Q217">LINEST(E188:E217,D188:D217)</f>
        <v>1.4720355951056749</v>
      </c>
      <c r="Q217" s="56">
        <v>19.914455394883205</v>
      </c>
      <c r="R217" s="56" cm="1">
        <f t="array" ref="R217:S217">LINEST(F208:F217,D208:D217)</f>
        <v>35.389090909090847</v>
      </c>
      <c r="S217" s="56">
        <v>-2.6596181818181761</v>
      </c>
      <c r="T217" s="56" cm="1">
        <f t="array" ref="T217:U217">LINEST(F203:F217,D203:D217)</f>
        <v>-9.9771428571428729</v>
      </c>
      <c r="U217" s="56">
        <v>1.0778428571428584</v>
      </c>
      <c r="V217" s="56" cm="1">
        <f t="array" ref="V217:W217">LINEST(F198:F217,D198:D217)</f>
        <v>0.47639097744360664</v>
      </c>
      <c r="W217" s="56">
        <v>0.21980000000000016</v>
      </c>
      <c r="X217" s="56" cm="1">
        <f t="array" ref="X217:Y217">LINEST(F193:F217,D193:D217)</f>
        <v>0.7532307692307697</v>
      </c>
      <c r="Y217" s="56">
        <v>0.18975999999999993</v>
      </c>
      <c r="Z217" s="56" cm="1">
        <f t="array" ref="Z217:AA217">LINEST(F188:F217,D188:D217)</f>
        <v>-5.391590656284766</v>
      </c>
      <c r="AA217" s="56">
        <v>0.65760370782350808</v>
      </c>
      <c r="AB217" s="37" cm="1">
        <f t="array" ref="AB217:AC217">LINEST(G208:G217,D208:D217)</f>
        <v>-5.3236363636363659</v>
      </c>
      <c r="AC217" s="37">
        <v>0.68032727272727278</v>
      </c>
      <c r="AD217" s="37" cm="1">
        <f t="array" ref="AD217:AE217">LINEST(G203:G217,D203:D217)</f>
        <v>-2.7771428571428602</v>
      </c>
      <c r="AE217" s="37">
        <v>0.4735095238095241</v>
      </c>
      <c r="AF217" s="37" cm="1">
        <f t="array" ref="AF217:AG217">LINEST(G198:G217,D198:D217)</f>
        <v>-2.9287218045112779</v>
      </c>
      <c r="AG217" s="37">
        <v>0.4839</v>
      </c>
      <c r="AH217" s="37" cm="1">
        <f t="array" ref="AH217:AI217">LINEST(G193:G217,D193:D217)</f>
        <v>-3.9212307692307689</v>
      </c>
      <c r="AI217" s="37">
        <v>0.56011999999999995</v>
      </c>
      <c r="AJ217" s="37" cm="1">
        <f t="array" ref="AJ217:AK217">LINEST(G188:G217,D188:D217)</f>
        <v>-2.1319688542825377</v>
      </c>
      <c r="AK217" s="37">
        <v>0.42639013718946994</v>
      </c>
    </row>
    <row r="218" spans="1:37" x14ac:dyDescent="0.25">
      <c r="A218" s="61">
        <v>502</v>
      </c>
      <c r="B218" s="14">
        <f t="shared" si="3"/>
        <v>212</v>
      </c>
      <c r="C218" s="15">
        <v>43981</v>
      </c>
      <c r="D218" s="16">
        <v>8.847222222222223E-2</v>
      </c>
      <c r="E218" s="36">
        <v>20.12</v>
      </c>
      <c r="F218" s="36">
        <v>0.44</v>
      </c>
      <c r="G218" s="36">
        <v>0.28000000000000003</v>
      </c>
      <c r="H218" s="56" cm="1">
        <f t="array" ref="H218:I218">LINEST(E209:E218,D209:D218)</f>
        <v>5.9345454545455105</v>
      </c>
      <c r="I218" s="56">
        <v>19.576048484848481</v>
      </c>
      <c r="J218" s="56" cm="1">
        <f t="array" ref="J218:K218">LINEST(E204:E218,D204:D218)</f>
        <v>5.2457142857143468</v>
      </c>
      <c r="K218" s="56">
        <v>19.635566666666666</v>
      </c>
      <c r="L218" s="56" cm="1">
        <f t="array" ref="L218:M218">LINEST(E199:E218,D199:D218)</f>
        <v>5.5434586466166005</v>
      </c>
      <c r="M218" s="56">
        <v>19.610700751879698</v>
      </c>
      <c r="N218" s="56" cm="1">
        <f t="array" ref="N218:O218">LINEST(E194:E218,D194:D218)</f>
        <v>5.3058461538461765</v>
      </c>
      <c r="O218" s="56">
        <v>19.629410769230773</v>
      </c>
      <c r="P218" s="56" cm="1">
        <f t="array" ref="P218:Q218">LINEST(E189:E218,D189:D218)</f>
        <v>2.6989988876529578</v>
      </c>
      <c r="Q218" s="56">
        <v>19.827235076010385</v>
      </c>
      <c r="R218" s="56" cm="1">
        <f t="array" ref="R218:S218">LINEST(F209:F218,D209:D218)</f>
        <v>65.847272727272653</v>
      </c>
      <c r="S218" s="56">
        <v>-5.2331090909090827</v>
      </c>
      <c r="T218" s="56" cm="1">
        <f t="array" ref="T218:U218">LINEST(F204:F218,D204:D218)</f>
        <v>0.33428571428570003</v>
      </c>
      <c r="U218" s="56">
        <v>0.26300833333333451</v>
      </c>
      <c r="V218" s="56" cm="1">
        <f t="array" ref="V218:W218">LINEST(F199:F218,D199:D218)</f>
        <v>8.5750375939849626</v>
      </c>
      <c r="W218" s="56">
        <v>-0.40850977443609049</v>
      </c>
      <c r="X218" s="56" cm="1">
        <f t="array" ref="X218:Y218">LINEST(F194:F218,D194:D218)</f>
        <v>6.7236923076922972</v>
      </c>
      <c r="Y218" s="56">
        <v>-0.25799846153846107</v>
      </c>
      <c r="Z218" s="56" cm="1">
        <f t="array" ref="Z218:AA218">LINEST(F189:F218,D189:D218)</f>
        <v>-3.7161290322580638</v>
      </c>
      <c r="AA218" s="56">
        <v>0.5486021505376345</v>
      </c>
      <c r="AB218" s="37" cm="1">
        <f t="array" ref="AB218:AC218">LINEST(G209:G218,D209:D218)</f>
        <v>0.17454545454545131</v>
      </c>
      <c r="AC218" s="37">
        <v>0.22964848484848516</v>
      </c>
      <c r="AD218" s="37" cm="1">
        <f t="array" ref="AD218:AE218">LINEST(G204:G218,D204:D218)</f>
        <v>-2.571428571428573</v>
      </c>
      <c r="AE218" s="37">
        <v>0.46316666666666684</v>
      </c>
      <c r="AF218" s="37" cm="1">
        <f t="array" ref="AF218:AG218">LINEST(G199:G218,D199:D218)</f>
        <v>-2.0896240601503759</v>
      </c>
      <c r="AG218" s="37">
        <v>0.42230225563909785</v>
      </c>
      <c r="AH218" s="37" cm="1">
        <f t="array" ref="AH218:AI218">LINEST(G194:G218,D194:D218)</f>
        <v>-3.1126153846153839</v>
      </c>
      <c r="AI218" s="37">
        <v>0.50270307692307703</v>
      </c>
      <c r="AJ218" s="37" cm="1">
        <f t="array" ref="AJ218:AK218">LINEST(G189:G218,D189:D218)</f>
        <v>-2.2665183537263633</v>
      </c>
      <c r="AK218" s="37">
        <v>0.43921208750463481</v>
      </c>
    </row>
    <row r="219" spans="1:37" x14ac:dyDescent="0.25">
      <c r="A219" s="61">
        <v>502</v>
      </c>
      <c r="B219" s="14">
        <f t="shared" si="3"/>
        <v>213</v>
      </c>
      <c r="C219" s="15">
        <v>43981</v>
      </c>
      <c r="D219" s="16">
        <v>8.9861111111111114E-2</v>
      </c>
      <c r="E219" s="36">
        <v>20.12</v>
      </c>
      <c r="F219" s="36">
        <v>0.04</v>
      </c>
      <c r="G219" s="36">
        <v>0.27</v>
      </c>
      <c r="H219" s="56" cm="1">
        <f t="array" ref="H219:I219">LINEST(E210:E219,D210:D219)</f>
        <v>6.9818181818182321</v>
      </c>
      <c r="I219" s="56">
        <v>19.488242424242419</v>
      </c>
      <c r="J219" s="56" cm="1">
        <f t="array" ref="J219:K219">LINEST(E205:E219,D205:D219)</f>
        <v>5.1171428571429534</v>
      </c>
      <c r="K219" s="56">
        <v>19.647917857142851</v>
      </c>
      <c r="L219" s="56" cm="1">
        <f t="array" ref="L219:M219">LINEST(E200:E219,D200:D219)</f>
        <v>5.8303759398496906</v>
      </c>
      <c r="M219" s="56">
        <v>19.588504511278192</v>
      </c>
      <c r="N219" s="56" cm="1">
        <f t="array" ref="N219:O219">LINEST(E195:E219,D195:D219)</f>
        <v>5.4553846153846486</v>
      </c>
      <c r="O219" s="56">
        <v>19.618696153846152</v>
      </c>
      <c r="P219" s="56" cm="1">
        <f t="array" ref="P219:Q219">LINEST(E190:E219,D190:D219)</f>
        <v>3.8891212458287083</v>
      </c>
      <c r="Q219" s="56">
        <v>19.739508490915838</v>
      </c>
      <c r="R219" s="56" cm="1">
        <f t="array" ref="R219:S219">LINEST(F210:F219,D210:D219)</f>
        <v>30.98181818181811</v>
      </c>
      <c r="S219" s="56">
        <v>-2.3624242424242365</v>
      </c>
      <c r="T219" s="56" cm="1">
        <f t="array" ref="T219:U219">LINEST(F205:F219,D205:D219)</f>
        <v>-4.3457142857143021</v>
      </c>
      <c r="U219" s="56">
        <v>0.62159404761904902</v>
      </c>
      <c r="V219" s="56" cm="1">
        <f t="array" ref="V219:W219">LINEST(F200:F219,D200:D219)</f>
        <v>8.9702255639097732</v>
      </c>
      <c r="W219" s="56">
        <v>-0.47121729323308281</v>
      </c>
      <c r="X219" s="56" cm="1">
        <f t="array" ref="X219:Y219">LINEST(F195:F219,D195:D219)</f>
        <v>5.0289230769230784</v>
      </c>
      <c r="Y219" s="56">
        <v>-0.14808923076923106</v>
      </c>
      <c r="Z219" s="56" cm="1">
        <f t="array" ref="Z219:AA219">LINEST(F190:F219,D190:D219)</f>
        <v>-8.0505450500556162</v>
      </c>
      <c r="AA219" s="56">
        <v>0.8686352243233223</v>
      </c>
      <c r="AB219" s="37" cm="1">
        <f t="array" ref="AB219:AC219">LINEST(G210:G219,D210:D219)</f>
        <v>2.9236363636363616</v>
      </c>
      <c r="AC219" s="37">
        <v>-1.4484848484846991E-3</v>
      </c>
      <c r="AD219" s="37" cm="1">
        <f t="array" ref="AD219:AE219">LINEST(G205:G219,D205:D219)</f>
        <v>-2.6228571428571441</v>
      </c>
      <c r="AE219" s="37">
        <v>0.4721928571428573</v>
      </c>
      <c r="AF219" s="37" cm="1">
        <f t="array" ref="AF219:AG219">LINEST(G200:G219,D200:D219)</f>
        <v>-1.1855639097744359</v>
      </c>
      <c r="AG219" s="37">
        <v>0.35239323308270687</v>
      </c>
      <c r="AH219" s="37" cm="1">
        <f t="array" ref="AH219:AI219">LINEST(G195:G219,D195:D219)</f>
        <v>-2.4479999999999991</v>
      </c>
      <c r="AI219" s="37">
        <v>0.45398000000000005</v>
      </c>
      <c r="AJ219" s="37" cm="1">
        <f t="array" ref="AJ219:AK219">LINEST(G190:G219,D190:D219)</f>
        <v>-2.7022024471635153</v>
      </c>
      <c r="AK219" s="37">
        <v>0.47473689284390064</v>
      </c>
    </row>
    <row r="220" spans="1:37" x14ac:dyDescent="0.25">
      <c r="A220" s="61">
        <v>502</v>
      </c>
      <c r="B220" s="14">
        <f t="shared" si="3"/>
        <v>214</v>
      </c>
      <c r="C220" s="15">
        <v>43981</v>
      </c>
      <c r="D220" s="16">
        <v>9.1249999999999998E-2</v>
      </c>
      <c r="E220" s="36">
        <v>20.13</v>
      </c>
      <c r="F220" s="36">
        <v>0.46</v>
      </c>
      <c r="G220" s="36">
        <v>0.28000000000000003</v>
      </c>
      <c r="H220" s="56" cm="1">
        <f t="array" ref="H220:I220">LINEST(E211:E220,D211:D220)</f>
        <v>7.2436363636364058</v>
      </c>
      <c r="I220" s="56">
        <v>19.466290909090905</v>
      </c>
      <c r="J220" s="56" cm="1">
        <f t="array" ref="J220:K220">LINEST(E206:E220,D206:D220)</f>
        <v>5.0142857142857675</v>
      </c>
      <c r="K220" s="56">
        <v>19.658529761904759</v>
      </c>
      <c r="L220" s="56" cm="1">
        <f t="array" ref="L220:M220">LINEST(E201:E220,D201:D220)</f>
        <v>6.0577443609023058</v>
      </c>
      <c r="M220" s="56">
        <v>19.57065939849624</v>
      </c>
      <c r="N220" s="56" cm="1">
        <f t="array" ref="N220:O220">LINEST(E196:E220,D196:D220)</f>
        <v>5.566153846153874</v>
      </c>
      <c r="O220" s="56">
        <v>19.610857692307693</v>
      </c>
      <c r="P220" s="56" cm="1">
        <f t="array" ref="P220:Q220">LINEST(E191:E220,D191:D220)</f>
        <v>5.2842714126807602</v>
      </c>
      <c r="Q220" s="56">
        <v>19.633229588431593</v>
      </c>
      <c r="R220" s="56" cm="1">
        <f t="array" ref="R220:S220">LINEST(F211:F220,D211:D220)</f>
        <v>8.9890909090908675</v>
      </c>
      <c r="S220" s="56">
        <v>-0.44807272727272385</v>
      </c>
      <c r="T220" s="56" cm="1">
        <f t="array" ref="T220:U220">LINEST(F206:F220,D206:D220)</f>
        <v>1.2085714285714122</v>
      </c>
      <c r="U220" s="56">
        <v>0.18013452380952522</v>
      </c>
      <c r="V220" s="56" cm="1">
        <f t="array" ref="V220:W220">LINEST(F201:F220,D201:D220)</f>
        <v>8.1040601503759415</v>
      </c>
      <c r="W220" s="56">
        <v>-0.38906691729323334</v>
      </c>
      <c r="X220" s="56" cm="1">
        <f t="array" ref="X220:Y220">LINEST(F196:F220,D196:D220)</f>
        <v>2.9519999999999911</v>
      </c>
      <c r="Y220" s="56">
        <v>2.9830000000000578E-2</v>
      </c>
      <c r="Z220" s="56" cm="1">
        <f t="array" ref="Z220:AA220">LINEST(F191:F220,D191:D220)</f>
        <v>-4.4481423804226878</v>
      </c>
      <c r="AA220" s="56">
        <v>0.60931234705228021</v>
      </c>
      <c r="AB220" s="37" cm="1">
        <f t="array" ref="AB220:AC220">LINEST(G211:G220,D211:D220)</f>
        <v>3.2727272727272676</v>
      </c>
      <c r="AC220" s="37">
        <v>-2.9181818181817726E-2</v>
      </c>
      <c r="AD220" s="37" cm="1">
        <f t="array" ref="AD220:AE220">LINEST(G206:G220,D206:D220)</f>
        <v>-2.3400000000000007</v>
      </c>
      <c r="AE220" s="37">
        <v>0.45410833333333345</v>
      </c>
      <c r="AF220" s="37" cm="1">
        <f t="array" ref="AF220:AG220">LINEST(G201:G220,D201:D220)</f>
        <v>-0.44390977443609081</v>
      </c>
      <c r="AG220" s="37">
        <v>0.29464962406015055</v>
      </c>
      <c r="AH220" s="37" cm="1">
        <f t="array" ref="AH220:AI220">LINEST(G196:G220,D196:D220)</f>
        <v>-2.0159999999999991</v>
      </c>
      <c r="AI220" s="37">
        <v>0.42316000000000004</v>
      </c>
      <c r="AJ220" s="37" cm="1">
        <f t="array" ref="AJ220:AK220">LINEST(G191:G220,D191:D220)</f>
        <v>-2.8127252502780857</v>
      </c>
      <c r="AK220" s="37">
        <v>0.48668268446421936</v>
      </c>
    </row>
    <row r="221" spans="1:37" x14ac:dyDescent="0.25">
      <c r="A221" s="61">
        <v>502</v>
      </c>
      <c r="B221" s="14">
        <f t="shared" si="3"/>
        <v>215</v>
      </c>
      <c r="C221" s="15">
        <v>43981</v>
      </c>
      <c r="D221" s="16">
        <v>9.2638888888888882E-2</v>
      </c>
      <c r="E221" s="36">
        <v>20.13</v>
      </c>
      <c r="F221" s="36">
        <v>0.01</v>
      </c>
      <c r="G221" s="36">
        <v>0.26</v>
      </c>
      <c r="H221" s="56" cm="1">
        <f t="array" ref="H221:I221">LINEST(E212:E221,D212:D221)</f>
        <v>7.5927272727273101</v>
      </c>
      <c r="I221" s="56">
        <v>19.434072727272724</v>
      </c>
      <c r="J221" s="56" cm="1">
        <f t="array" ref="J221:K221">LINEST(E207:E221,D207:D221)</f>
        <v>5.1685714285714592</v>
      </c>
      <c r="K221" s="56">
        <v>19.646105952380946</v>
      </c>
      <c r="L221" s="56" cm="1">
        <f t="array" ref="L221:M221">LINEST(E202:E221,D202:D221)</f>
        <v>6.1118796992481546</v>
      </c>
      <c r="M221" s="56">
        <v>19.56594511278195</v>
      </c>
      <c r="N221" s="56" cm="1">
        <f t="array" ref="N221:O221">LINEST(E197:E221,D197:D221)</f>
        <v>5.7101538461538688</v>
      </c>
      <c r="O221" s="56">
        <v>19.599386923076921</v>
      </c>
      <c r="P221" s="56" cm="1">
        <f t="array" ref="P221:Q221">LINEST(E192:E221,D192:D221)</f>
        <v>5.2554393770856578</v>
      </c>
      <c r="Q221" s="56">
        <v>19.635980645161293</v>
      </c>
      <c r="R221" s="56" cm="1">
        <f t="array" ref="R221:S221">LINEST(F212:F221,D212:D221)</f>
        <v>13.003636363636343</v>
      </c>
      <c r="S221" s="56">
        <v>-0.87136969696969557</v>
      </c>
      <c r="T221" s="56" cm="1">
        <f t="array" ref="T221:U221">LINEST(F207:F221,D207:D221)</f>
        <v>8.3314285714285621</v>
      </c>
      <c r="U221" s="56">
        <v>-0.46881428571428496</v>
      </c>
      <c r="V221" s="56" cm="1">
        <f t="array" ref="V221:W221">LINEST(F202:F221,D202:D221)</f>
        <v>2.4793984962406022</v>
      </c>
      <c r="W221" s="56">
        <v>4.9025563909774361E-2</v>
      </c>
      <c r="X221" s="56" cm="1">
        <f t="array" ref="X221:Y221">LINEST(F197:F221,D197:D221)</f>
        <v>3.9489230769230783</v>
      </c>
      <c r="Y221" s="56">
        <v>-7.4008461538461717E-2</v>
      </c>
      <c r="Z221" s="56" cm="1">
        <f t="array" ref="Z221:AA221">LINEST(F192:F221,D192:D221)</f>
        <v>-2.7983092324805363</v>
      </c>
      <c r="AA221" s="56">
        <v>0.46654408602150554</v>
      </c>
      <c r="AB221" s="37" cm="1">
        <f t="array" ref="AB221:AC221">LINEST(G212:G221,D212:D221)</f>
        <v>4.2327272727272724</v>
      </c>
      <c r="AC221" s="37">
        <v>-0.11666060606060616</v>
      </c>
      <c r="AD221" s="37" cm="1">
        <f t="array" ref="AD221:AE221">LINEST(G207:G221,D207:D221)</f>
        <v>-1.4400000000000002</v>
      </c>
      <c r="AE221" s="37">
        <v>0.37939999999999996</v>
      </c>
      <c r="AF221" s="37" cm="1">
        <f t="array" ref="AF221:AG221">LINEST(G202:G221,D202:D221)</f>
        <v>-0.21654135338345873</v>
      </c>
      <c r="AG221" s="37">
        <v>0.27620300751879701</v>
      </c>
      <c r="AH221" s="37" cm="1">
        <f t="array" ref="AH221:AI221">LINEST(G197:G221,D197:D221)</f>
        <v>-1.5452307692307694</v>
      </c>
      <c r="AI221" s="37">
        <v>0.38659461538461548</v>
      </c>
      <c r="AJ221" s="37" cm="1">
        <f t="array" ref="AJ221:AK221">LINEST(G192:G221,D192:D221)</f>
        <v>-2.8207341490545055</v>
      </c>
      <c r="AK221" s="37">
        <v>0.48950322580645167</v>
      </c>
    </row>
    <row r="222" spans="1:37" x14ac:dyDescent="0.25">
      <c r="A222" s="61">
        <v>502</v>
      </c>
      <c r="B222" s="14">
        <f t="shared" si="3"/>
        <v>216</v>
      </c>
      <c r="C222" s="15">
        <v>43981</v>
      </c>
      <c r="D222" s="16">
        <v>9.402777777777778E-2</v>
      </c>
      <c r="E222" s="36">
        <v>20.13</v>
      </c>
      <c r="F222" s="36">
        <v>-0.15</v>
      </c>
      <c r="G222" s="36">
        <v>0.23</v>
      </c>
      <c r="H222" s="56" cm="1">
        <f t="array" ref="H222:I222">LINEST(E213:E222,D213:D222)</f>
        <v>6.7636363636363344</v>
      </c>
      <c r="I222" s="56">
        <v>19.505303030303029</v>
      </c>
      <c r="J222" s="56" cm="1">
        <f t="array" ref="J222:K222">LINEST(E208:E222,D208:D222)</f>
        <v>5.4514285714285746</v>
      </c>
      <c r="K222" s="56">
        <v>19.62108095238095</v>
      </c>
      <c r="L222" s="56" cm="1">
        <f t="array" ref="L222:M222">LINEST(E203:E222,D203:D222)</f>
        <v>5.7654135338346073</v>
      </c>
      <c r="M222" s="56">
        <v>19.594462406015033</v>
      </c>
      <c r="N222" s="56" cm="1">
        <f t="array" ref="N222:O222">LINEST(E198:E222,D198:D222)</f>
        <v>5.6104615384615562</v>
      </c>
      <c r="O222" s="56">
        <v>19.607168461538464</v>
      </c>
      <c r="P222" s="56" cm="1">
        <f t="array" ref="P222:Q222">LINEST(E193:E222,D193:D222)</f>
        <v>5.3979977753059076</v>
      </c>
      <c r="Q222" s="56">
        <v>19.624481275491284</v>
      </c>
      <c r="R222" s="56" cm="1">
        <f t="array" ref="R222:S222">LINEST(F213:F222,D213:D222)</f>
        <v>-24.960000000000019</v>
      </c>
      <c r="S222" s="56">
        <v>2.4489333333333354</v>
      </c>
      <c r="T222" s="56" cm="1">
        <f t="array" ref="T222:U222">LINEST(F208:F222,D208:D222)</f>
        <v>4.6799999999999882</v>
      </c>
      <c r="U222" s="56">
        <v>-0.20721666666666577</v>
      </c>
      <c r="V222" s="56" cm="1">
        <f t="array" ref="V222:W222">LINEST(F203:F222,D203:D222)</f>
        <v>-11.438796992481208</v>
      </c>
      <c r="W222" s="56">
        <v>1.1941360902255642</v>
      </c>
      <c r="X222" s="56" cm="1">
        <f t="array" ref="X222:Y222">LINEST(F198:F222,D198:D222)</f>
        <v>-3.0572307692307721</v>
      </c>
      <c r="Y222" s="56">
        <v>0.47251076923076951</v>
      </c>
      <c r="Z222" s="56" cm="1">
        <f t="array" ref="Z222:AA222">LINEST(F193:F222,D193:D222)</f>
        <v>-1.6097886540600632</v>
      </c>
      <c r="AA222" s="56">
        <v>0.347945494994438</v>
      </c>
      <c r="AB222" s="37" cm="1">
        <f t="array" ref="AB222:AC222">LINEST(G213:G222,D213:D222)</f>
        <v>2.0945454545454529</v>
      </c>
      <c r="AC222" s="37">
        <v>6.6145454545454591E-2</v>
      </c>
      <c r="AD222" s="37" cm="1">
        <f t="array" ref="AD222:AE222">LINEST(G208:G222,D208:D222)</f>
        <v>-0.95142857142857207</v>
      </c>
      <c r="AE222" s="37">
        <v>0.33487738095238101</v>
      </c>
      <c r="AF222" s="37" cm="1">
        <f t="array" ref="AF222:AG222">LINEST(G203:G222,D203:D222)</f>
        <v>-1.071879699248121</v>
      </c>
      <c r="AG222" s="37">
        <v>0.34664360902255659</v>
      </c>
      <c r="AH222" s="37" cm="1">
        <f t="array" ref="AH222:AI222">LINEST(G198:G222,D198:D222)</f>
        <v>-1.6559999999999993</v>
      </c>
      <c r="AI222" s="37">
        <v>0.39490999999999998</v>
      </c>
      <c r="AJ222" s="37" cm="1">
        <f t="array" ref="AJ222:AK222">LINEST(G193:G222,D193:D222)</f>
        <v>-2.7038042269187996</v>
      </c>
      <c r="AK222" s="37">
        <v>0.48044775676677803</v>
      </c>
    </row>
    <row r="223" spans="1:37" x14ac:dyDescent="0.25">
      <c r="A223" s="61">
        <v>502</v>
      </c>
      <c r="B223" s="14">
        <f t="shared" si="3"/>
        <v>217</v>
      </c>
      <c r="C223" s="15">
        <v>43981</v>
      </c>
      <c r="D223" s="16">
        <v>9.5416666666666664E-2</v>
      </c>
      <c r="E223" s="36">
        <v>20.170000000000002</v>
      </c>
      <c r="F223" s="36">
        <v>1.28</v>
      </c>
      <c r="G223" s="36">
        <v>0.31</v>
      </c>
      <c r="H223" s="56" cm="1">
        <f t="array" ref="H223:I223">LINEST(E214:E223,D214:D223)</f>
        <v>8.1600000000000747</v>
      </c>
      <c r="I223" s="56">
        <v>19.381399999999992</v>
      </c>
      <c r="J223" s="56" cm="1">
        <f t="array" ref="J223:K223">LINEST(E209:E223,D209:D223)</f>
        <v>6.6342857142857294</v>
      </c>
      <c r="K223" s="56">
        <v>19.519478571428571</v>
      </c>
      <c r="L223" s="56" cm="1">
        <f t="array" ref="L223:M223">LINEST(E204:E223,D204:D223)</f>
        <v>5.862857142857175</v>
      </c>
      <c r="M223" s="56">
        <v>19.588442857142859</v>
      </c>
      <c r="N223" s="56" cm="1">
        <f t="array" ref="N223:O223">LINEST(E199:E223,D199:D223)</f>
        <v>5.8818461538461957</v>
      </c>
      <c r="O223" s="56">
        <v>19.586404615384613</v>
      </c>
      <c r="P223" s="56" cm="1">
        <f t="array" ref="P223:Q223">LINEST(E194:E223,D194:D223)</f>
        <v>5.6158398220244949</v>
      </c>
      <c r="Q223" s="56">
        <v>19.608585391175382</v>
      </c>
      <c r="R223" s="56" cm="1">
        <f t="array" ref="R223:S223">LINEST(F214:F223,D214:D223)</f>
        <v>37.83272727272729</v>
      </c>
      <c r="S223" s="56">
        <v>-3.0604181818181839</v>
      </c>
      <c r="T223" s="56" cm="1">
        <f t="array" ref="T223:U223">LINEST(F209:F223,D209:D223)</f>
        <v>33.659999999999989</v>
      </c>
      <c r="U223" s="56">
        <v>-2.6544749999999993</v>
      </c>
      <c r="V223" s="56" cm="1">
        <f t="array" ref="V223:W223">LINEST(F204:F223,D204:D223)</f>
        <v>3.7353383458646547</v>
      </c>
      <c r="W223" s="56">
        <v>-8.1278195488716509E-3</v>
      </c>
      <c r="X223" s="56" cm="1">
        <f t="array" ref="X223:Y223">LINEST(F199:F223,D199:D223)</f>
        <v>7.9421538461538432</v>
      </c>
      <c r="Y223" s="56">
        <v>-0.37024461538461539</v>
      </c>
      <c r="Z223" s="56" cm="1">
        <f t="array" ref="Z223:AA223">LINEST(F194:F223,D194:D223)</f>
        <v>6.5544827586206926</v>
      </c>
      <c r="AA223" s="56">
        <v>-0.25140689655172455</v>
      </c>
      <c r="AB223" s="37" cm="1">
        <f t="array" ref="AB223:AC223">LINEST(G214:G223,D214:D223)</f>
        <v>4.9309090909090934</v>
      </c>
      <c r="AC223" s="37">
        <v>-0.1846727272727276</v>
      </c>
      <c r="AD223" s="37" cm="1">
        <f t="array" ref="AD223:AE223">LINEST(G209:G223,D209:D223)</f>
        <v>1.7999999999999985</v>
      </c>
      <c r="AE223" s="37">
        <v>9.8416666666666763E-2</v>
      </c>
      <c r="AF223" s="37" cm="1">
        <f t="array" ref="AF223:AG223">LINEST(G204:G223,D204:D223)</f>
        <v>-0.67127819548872247</v>
      </c>
      <c r="AG223" s="37">
        <v>0.31819398496240614</v>
      </c>
      <c r="AH223" s="37" cm="1">
        <f t="array" ref="AH223:AI223">LINEST(G199:G223,D199:D223)</f>
        <v>-0.91384615384615409</v>
      </c>
      <c r="AI223" s="37">
        <v>0.33796538461538472</v>
      </c>
      <c r="AJ223" s="37" cm="1">
        <f t="array" ref="AJ223:AK223">LINEST(G194:G223,D194:D223)</f>
        <v>-1.9749944382647373</v>
      </c>
      <c r="AK223" s="37">
        <v>0.42633985910270666</v>
      </c>
    </row>
    <row r="224" spans="1:37" x14ac:dyDescent="0.25">
      <c r="A224" s="61">
        <v>502</v>
      </c>
      <c r="B224" s="14">
        <f t="shared" si="3"/>
        <v>218</v>
      </c>
      <c r="C224" s="15">
        <v>43981</v>
      </c>
      <c r="D224" s="16">
        <v>9.6805555555555547E-2</v>
      </c>
      <c r="E224" s="36">
        <v>19.89</v>
      </c>
      <c r="F224" s="36">
        <v>1.28</v>
      </c>
      <c r="G224" s="36">
        <v>0.39</v>
      </c>
      <c r="H224" s="56" cm="1">
        <f t="array" ref="H224:I224">LINEST(E215:E224,D215:D224)</f>
        <v>-2.7927272727272441</v>
      </c>
      <c r="I224" s="56">
        <v>20.344896969696961</v>
      </c>
      <c r="J224" s="56" cm="1">
        <f t="array" ref="J224:K224">LINEST(E210:E224,D210:D224)</f>
        <v>2.0828571428571503</v>
      </c>
      <c r="K224" s="56">
        <v>19.896617857142857</v>
      </c>
      <c r="L224" s="56" cm="1">
        <f t="array" ref="L224:M224">LINEST(E205:E224,D205:D224)</f>
        <v>2.9774436090226053</v>
      </c>
      <c r="M224" s="56">
        <v>19.817052631578942</v>
      </c>
      <c r="N224" s="56" cm="1">
        <f t="array" ref="N224:O224">LINEST(E200:E224,D200:D224)</f>
        <v>4.2480000000000429</v>
      </c>
      <c r="O224" s="56">
        <v>19.705969999999997</v>
      </c>
      <c r="P224" s="56" cm="1">
        <f t="array" ref="P224:Q224">LINEST(E195:E224,D195:D224)</f>
        <v>4.4561512791991333</v>
      </c>
      <c r="Q224" s="56">
        <v>19.688361735261399</v>
      </c>
      <c r="R224" s="56" cm="1">
        <f t="array" ref="R224:S224">LINEST(F215:F224,D215:D224)</f>
        <v>55.025454545454565</v>
      </c>
      <c r="S224" s="56">
        <v>-4.5298606060606081</v>
      </c>
      <c r="T224" s="56" cm="1">
        <f t="array" ref="T224:U224">LINEST(F210:F224,D210:D224)</f>
        <v>38.982857142857142</v>
      </c>
      <c r="U224" s="56">
        <v>-3.0507571428571438</v>
      </c>
      <c r="V224" s="56" cm="1">
        <f t="array" ref="V224:W224">LINEST(F205:F224,D205:D224)</f>
        <v>13.609624060150363</v>
      </c>
      <c r="W224" s="56">
        <v>-0.78891578947368335</v>
      </c>
      <c r="X224" s="56" cm="1">
        <f t="array" ref="X224:Y224">LINEST(F200:F224,D200:D224)</f>
        <v>16.155692307692302</v>
      </c>
      <c r="Y224" s="56">
        <v>-1.0062992307692307</v>
      </c>
      <c r="Z224" s="56" cm="1">
        <f t="array" ref="Z224:AA224">LINEST(F195:F224,D195:D224)</f>
        <v>10.968987764182421</v>
      </c>
      <c r="AA224" s="56">
        <v>-0.56162239525398583</v>
      </c>
      <c r="AB224" s="37" cm="1">
        <f t="array" ref="AB224:AC224">LINEST(G215:G224,D215:D224)</f>
        <v>9.0327272727272803</v>
      </c>
      <c r="AC224" s="37">
        <v>-0.54696363636363721</v>
      </c>
      <c r="AD224" s="37" cm="1">
        <f t="array" ref="AD224:AE224">LINEST(G210:G224,D210:D224)</f>
        <v>4.8342857142857145</v>
      </c>
      <c r="AE224" s="37">
        <v>-0.1609857142857144</v>
      </c>
      <c r="AF224" s="37" cm="1">
        <f t="array" ref="AF224:AG224">LINEST(G205:G224,D205:D224)</f>
        <v>0.48721804511278038</v>
      </c>
      <c r="AG224" s="37">
        <v>0.22926315789473695</v>
      </c>
      <c r="AH224" s="37" cm="1">
        <f t="array" ref="AH224:AI224">LINEST(G200:G224,D200:D224)</f>
        <v>0.44307692307692237</v>
      </c>
      <c r="AI224" s="37">
        <v>0.2324923076923078</v>
      </c>
      <c r="AJ224" s="37" cm="1">
        <f t="array" ref="AJ224:AK224">LINEST(G195:G224,D195:D224)</f>
        <v>-0.94505005561735256</v>
      </c>
      <c r="AK224" s="37">
        <v>0.35045383759733045</v>
      </c>
    </row>
    <row r="225" spans="1:37" x14ac:dyDescent="0.25">
      <c r="A225" s="61">
        <v>502</v>
      </c>
      <c r="B225" s="14">
        <f t="shared" si="3"/>
        <v>219</v>
      </c>
      <c r="C225" s="15">
        <v>43981</v>
      </c>
      <c r="D225" s="16">
        <v>9.8194444444444431E-2</v>
      </c>
      <c r="E225" s="36">
        <v>19.97</v>
      </c>
      <c r="F225" s="36">
        <v>1.28</v>
      </c>
      <c r="G225" s="36">
        <v>0.45</v>
      </c>
      <c r="H225" s="56" cm="1">
        <f t="array" ref="H225:I225">LINEST(E216:E225,D216:D225)</f>
        <v>-9.1200000000000969</v>
      </c>
      <c r="I225" s="56">
        <v>20.921533333333343</v>
      </c>
      <c r="J225" s="56" cm="1">
        <f t="array" ref="J225:K225">LINEST(E211:E225,D211:D225)</f>
        <v>-0.84857142857142065</v>
      </c>
      <c r="K225" s="56">
        <v>20.149075</v>
      </c>
      <c r="L225" s="56" cm="1">
        <f t="array" ref="L225:M225">LINEST(E206:E225,D206:D225)</f>
        <v>1.1260150375940099</v>
      </c>
      <c r="M225" s="56">
        <v>19.969288721804507</v>
      </c>
      <c r="N225" s="56" cm="1">
        <f t="array" ref="N225:O225">LINEST(E201:E225,D201:D225)</f>
        <v>3.1901538461538776</v>
      </c>
      <c r="O225" s="56">
        <v>19.786313846153842</v>
      </c>
      <c r="P225" s="56" cm="1">
        <f t="array" ref="P225:Q225">LINEST(E196:E225,D196:D225)</f>
        <v>3.6808898776418468</v>
      </c>
      <c r="Q225" s="56">
        <v>19.74401942899518</v>
      </c>
      <c r="R225" s="56" cm="1">
        <f t="array" ref="R225:S225">LINEST(F216:F225,D216:D225)</f>
        <v>65.760000000000034</v>
      </c>
      <c r="S225" s="56">
        <v>-5.46526666666667</v>
      </c>
      <c r="T225" s="56" cm="1">
        <f t="array" ref="T225:U225">LINEST(F211:F225,D211:D225)</f>
        <v>40.1142857142857</v>
      </c>
      <c r="U225" s="56">
        <v>-3.0916666666666659</v>
      </c>
      <c r="V225" s="56" cm="1">
        <f t="array" ref="V225:W225">LINEST(F206:F225,D206:D225)</f>
        <v>23.538045112781941</v>
      </c>
      <c r="W225" s="56">
        <v>-1.606733834586465</v>
      </c>
      <c r="X225" s="56" cm="1">
        <f t="array" ref="X225:Y225">LINEST(F201:F225,D201:D225)</f>
        <v>20.093538461538458</v>
      </c>
      <c r="Y225" s="56">
        <v>-1.2953815384615388</v>
      </c>
      <c r="Z225" s="56" cm="1">
        <f t="array" ref="Z225:AA225">LINEST(F196:F225,D196:D225)</f>
        <v>12.79021134593993</v>
      </c>
      <c r="AA225" s="56">
        <v>-0.66668038561364473</v>
      </c>
      <c r="AB225" s="37" cm="1">
        <f t="array" ref="AB225:AC225">LINEST(G216:G225,D216:D225)</f>
        <v>13.134545454545467</v>
      </c>
      <c r="AC225" s="37">
        <v>-0.91264848484848604</v>
      </c>
      <c r="AD225" s="37" cm="1">
        <f t="array" ref="AD225:AE225">LINEST(G211:G225,D211:D225)</f>
        <v>7.4314285714285688</v>
      </c>
      <c r="AE225" s="37">
        <v>-0.3821416666666666</v>
      </c>
      <c r="AF225" s="37" cm="1">
        <f t="array" ref="AF225:AG225">LINEST(G206:G225,D206:D225)</f>
        <v>2.2249624060150355</v>
      </c>
      <c r="AG225" s="37">
        <v>9.0378195488721946E-2</v>
      </c>
      <c r="AH225" s="37" cm="1">
        <f t="array" ref="AH225:AI225">LINEST(G201:G225,D201:D225)</f>
        <v>1.955076923076922</v>
      </c>
      <c r="AI225" s="37">
        <v>0.11420692307692315</v>
      </c>
      <c r="AJ225" s="37" cm="1">
        <f t="array" ref="AJ225:AK225">LINEST(G196:G225,D196:D225)</f>
        <v>0.11212458286985488</v>
      </c>
      <c r="AK225" s="37">
        <v>0.27324805339265856</v>
      </c>
    </row>
    <row r="226" spans="1:37" x14ac:dyDescent="0.25">
      <c r="A226" s="61">
        <v>502</v>
      </c>
      <c r="B226" s="14">
        <f t="shared" si="3"/>
        <v>220</v>
      </c>
      <c r="C226" s="15">
        <v>43981</v>
      </c>
      <c r="D226" s="16">
        <v>9.9583333333333343E-2</v>
      </c>
      <c r="E226" s="36">
        <v>20</v>
      </c>
      <c r="F226" s="36">
        <v>1.28</v>
      </c>
      <c r="G226" s="36">
        <v>0.52</v>
      </c>
      <c r="H226" s="56" cm="1">
        <f t="array" ref="H226:I226">LINEST(E217:E226,D217:D226)</f>
        <v>-13.003636363636458</v>
      </c>
      <c r="I226" s="56">
        <v>21.289672727272734</v>
      </c>
      <c r="J226" s="56" cm="1">
        <f t="array" ref="J226:K226">LINEST(E212:E226,D212:D226)</f>
        <v>-2.6742857142856913</v>
      </c>
      <c r="K226" s="56">
        <v>20.310980952380948</v>
      </c>
      <c r="L226" s="56" cm="1">
        <f t="array" ref="L226:M226">LINEST(E207:E226,D207:D226)</f>
        <v>-5.4135338345842499E-2</v>
      </c>
      <c r="M226" s="56">
        <v>20.068676691729323</v>
      </c>
      <c r="N226" s="56" cm="1">
        <f t="array" ref="N226:O226">LINEST(E202:E226,D202:D226)</f>
        <v>2.331692307692335</v>
      </c>
      <c r="O226" s="56">
        <v>19.854263846153842</v>
      </c>
      <c r="P226" s="56" cm="1">
        <f t="array" ref="P226:Q226">LINEST(E197:E226,D197:D226)</f>
        <v>3.1314794215795545</v>
      </c>
      <c r="Q226" s="56">
        <v>19.784221357063402</v>
      </c>
      <c r="R226" s="56" cm="1">
        <f t="array" ref="R226:S226">LINEST(F217:F226,D217:D226)</f>
        <v>74.923636363636362</v>
      </c>
      <c r="S226" s="56">
        <v>-6.3038727272727284</v>
      </c>
      <c r="T226" s="56" cm="1">
        <f t="array" ref="T226:U226">LINEST(F212:F226,D212:D226)</f>
        <v>58.885714285714272</v>
      </c>
      <c r="U226" s="56">
        <v>-4.7922023809523813</v>
      </c>
      <c r="V226" s="56" cm="1">
        <f t="array" ref="V226:W226">LINEST(F207:F226,D207:D226)</f>
        <v>37.948872180451112</v>
      </c>
      <c r="W226" s="56">
        <v>-2.8633609022556379</v>
      </c>
      <c r="X226" s="56" cm="1">
        <f t="array" ref="X226:Y226">LINEST(F202:F226,D202:D226)</f>
        <v>23.566153846153846</v>
      </c>
      <c r="Y226" s="56">
        <v>-1.5584269230769234</v>
      </c>
      <c r="Z226" s="56" cm="1">
        <f t="array" ref="Z226:AA226">LINEST(F197:F226,D197:D226)</f>
        <v>18.577441601779753</v>
      </c>
      <c r="AA226" s="56">
        <v>-1.121874527252503</v>
      </c>
      <c r="AB226" s="37" cm="1">
        <f t="array" ref="AB226:AC226">LINEST(G217:G226,D217:D226)</f>
        <v>17.890909090909101</v>
      </c>
      <c r="AC226" s="37">
        <v>-1.3438181818181831</v>
      </c>
      <c r="AD226" s="37" cm="1">
        <f t="array" ref="AD226:AE226">LINEST(G212:G226,D212:D226)</f>
        <v>11.519999999999998</v>
      </c>
      <c r="AE226" s="37">
        <v>-0.74253333333333349</v>
      </c>
      <c r="AF226" s="37" cm="1">
        <f t="array" ref="AF226:AG226">LINEST(G207:G226,D207:D226)</f>
        <v>5.0454135338345862</v>
      </c>
      <c r="AG226" s="37">
        <v>-0.14586766917293237</v>
      </c>
      <c r="AH226" s="37" cm="1">
        <f t="array" ref="AH226:AI226">LINEST(G202:G226,D202:D226)</f>
        <v>3.6387692307692299</v>
      </c>
      <c r="AI226" s="37">
        <v>-1.8514615384615352E-2</v>
      </c>
      <c r="AJ226" s="37" cm="1">
        <f t="array" ref="AJ226:AK226">LINEST(G197:G226,D197:D226)</f>
        <v>1.5553281423804233</v>
      </c>
      <c r="AK226" s="37">
        <v>0.16410448646644415</v>
      </c>
    </row>
    <row r="227" spans="1:37" x14ac:dyDescent="0.25">
      <c r="A227" s="61">
        <v>502</v>
      </c>
      <c r="B227" s="14">
        <f t="shared" si="3"/>
        <v>221</v>
      </c>
      <c r="C227" s="15">
        <v>43981</v>
      </c>
      <c r="D227" s="16">
        <v>0.10097222222222223</v>
      </c>
      <c r="E227" s="36">
        <v>19.98</v>
      </c>
      <c r="F227" s="36">
        <v>-0.51</v>
      </c>
      <c r="G227" s="36">
        <v>0.44</v>
      </c>
      <c r="H227" s="56" cm="1">
        <f t="array" ref="H227:I227">LINEST(E218:E227,D218:D227)</f>
        <v>-15.621818181818202</v>
      </c>
      <c r="I227" s="56">
        <v>21.543733333333336</v>
      </c>
      <c r="J227" s="56" cm="1">
        <f t="array" ref="J227:K227">LINEST(E213:E227,D213:D227)</f>
        <v>-4.9371428571428408</v>
      </c>
      <c r="K227" s="56">
        <v>20.517180952380951</v>
      </c>
      <c r="L227" s="56" cm="1">
        <f t="array" ref="L227:M227">LINEST(E208:E227,D208:D227)</f>
        <v>-1.1909774436090044</v>
      </c>
      <c r="M227" s="56">
        <v>20.165541353383457</v>
      </c>
      <c r="N227" s="56" cm="1">
        <f t="array" ref="N227:O227">LINEST(E203:E227,D203:D227)</f>
        <v>1.1796923076923351</v>
      </c>
      <c r="O227" s="56">
        <v>19.949345384615381</v>
      </c>
      <c r="P227" s="56" cm="1">
        <f t="array" ref="P227:Q227">LINEST(E198:E227,D198:D227)</f>
        <v>2.3738375973303909</v>
      </c>
      <c r="Q227" s="56">
        <v>19.842781460882463</v>
      </c>
      <c r="R227" s="56" cm="1">
        <f t="array" ref="R227:S227">LINEST(F218:F227,D218:D227)</f>
        <v>41.323636363636275</v>
      </c>
      <c r="S227" s="56">
        <v>-3.3732666666666589</v>
      </c>
      <c r="T227" s="56" cm="1">
        <f t="array" ref="T227:U227">LINEST(F213:F227,D213:D227)</f>
        <v>26.125714285714263</v>
      </c>
      <c r="U227" s="56">
        <v>-1.9046380952380937</v>
      </c>
      <c r="V227" s="56" cm="1">
        <f t="array" ref="V227:W227">LINEST(F208:F227,D208:D227)</f>
        <v>27.923007518796986</v>
      </c>
      <c r="W227" s="56">
        <v>-2.0800195488721802</v>
      </c>
      <c r="X227" s="56" cm="1">
        <f t="array" ref="X227:Y227">LINEST(F203:F227,D203:D227)</f>
        <v>10.235076923076917</v>
      </c>
      <c r="Y227" s="56">
        <v>-0.46287384615384564</v>
      </c>
      <c r="Z227" s="56" cm="1">
        <f t="array" ref="Z227:AA227">LINEST(F198:F227,D198:D227)</f>
        <v>10.820022246941043</v>
      </c>
      <c r="AA227" s="56">
        <v>-0.52428513162773449</v>
      </c>
      <c r="AB227" s="37" cm="1">
        <f t="array" ref="AB227:AC227">LINEST(G218:G227,D218:D227)</f>
        <v>19.680000000000007</v>
      </c>
      <c r="AC227" s="37">
        <v>-1.5211333333333343</v>
      </c>
      <c r="AD227" s="37" cm="1">
        <f t="array" ref="AD227:AE227">LINEST(G213:G227,D213:D227)</f>
        <v>12.677142857142858</v>
      </c>
      <c r="AE227" s="37">
        <v>-0.84945595238095273</v>
      </c>
      <c r="AF227" s="37" cm="1">
        <f t="array" ref="AF227:AG227">LINEST(G208:G227,D208:D227)</f>
        <v>6.8156390977443637</v>
      </c>
      <c r="AG227" s="37">
        <v>-0.30176165413533867</v>
      </c>
      <c r="AH227" s="37" cm="1">
        <f t="array" ref="AH227:AI227">LINEST(G203:G227,D203:D227)</f>
        <v>4.1538461538461542</v>
      </c>
      <c r="AI227" s="37">
        <v>-5.7792307692307643E-2</v>
      </c>
      <c r="AJ227" s="37" cm="1">
        <f t="array" ref="AJ227:AK227">LINEST(G198:G227,D198:D227)</f>
        <v>2.2745272525027804</v>
      </c>
      <c r="AK227" s="37">
        <v>0.10880904708935854</v>
      </c>
    </row>
    <row r="228" spans="1:37" x14ac:dyDescent="0.25">
      <c r="A228" s="61">
        <v>502</v>
      </c>
      <c r="B228" s="14">
        <f t="shared" si="3"/>
        <v>222</v>
      </c>
      <c r="C228" s="15">
        <v>43981</v>
      </c>
      <c r="D228" s="16">
        <v>0.10236111111111111</v>
      </c>
      <c r="E228" s="36">
        <v>20.03</v>
      </c>
      <c r="F228" s="36">
        <v>1.39</v>
      </c>
      <c r="G228" s="36">
        <v>0.51</v>
      </c>
      <c r="H228" s="56" cm="1">
        <f t="array" ref="H228:I228">LINEST(E219:E228,D219:D228)</f>
        <v>-14.269090909090833</v>
      </c>
      <c r="I228" s="56">
        <v>21.426418181818175</v>
      </c>
      <c r="J228" s="56" cm="1">
        <f t="array" ref="J228:K228">LINEST(E214:E228,D214:D228)</f>
        <v>-5.5285714285713876</v>
      </c>
      <c r="K228" s="56">
        <v>20.576160714285706</v>
      </c>
      <c r="L228" s="56" cm="1">
        <f t="array" ref="L228:M228">LINEST(E209:E228,D209:D228)</f>
        <v>-1.5212030075187792</v>
      </c>
      <c r="M228" s="56">
        <v>20.195140601503756</v>
      </c>
      <c r="N228" s="56" cm="1">
        <f t="array" ref="N228:O228">LINEST(E204:E228,D204:D228)</f>
        <v>0.48738461538464484</v>
      </c>
      <c r="O228" s="56">
        <v>20.00943384615384</v>
      </c>
      <c r="P228" s="56" cm="1">
        <f t="array" ref="P228:Q228">LINEST(E199:E228,D199:D228)</f>
        <v>1.9814015572859096</v>
      </c>
      <c r="Q228" s="56">
        <v>19.874084760845385</v>
      </c>
      <c r="R228" s="56" cm="1">
        <f t="array" ref="R228:S228">LINEST(F219:F228,D219:D228)</f>
        <v>69.818181818181699</v>
      </c>
      <c r="S228" s="56">
        <v>-6.0743030303030192</v>
      </c>
      <c r="T228" s="56" cm="1">
        <f t="array" ref="T228:U228">LINEST(F214:F228,D214:D228)</f>
        <v>47.674285714285709</v>
      </c>
      <c r="U228" s="56">
        <v>-3.8931595238095245</v>
      </c>
      <c r="V228" s="56" cm="1">
        <f t="array" ref="V228:W228">LINEST(F209:F228,D209:D228)</f>
        <v>41.462255639097705</v>
      </c>
      <c r="W228" s="56">
        <v>-3.2885511278195456</v>
      </c>
      <c r="X228" s="56" cm="1">
        <f t="array" ref="X228:Y228">LINEST(F204:F228,D204:D228)</f>
        <v>18.90276923076922</v>
      </c>
      <c r="Y228" s="56">
        <v>-1.1918623076923072</v>
      </c>
      <c r="Z228" s="56" cm="1">
        <f t="array" ref="Z228:AA228">LINEST(F199:F228,D199:D228)</f>
        <v>17.882269187986655</v>
      </c>
      <c r="AA228" s="56">
        <v>-1.1003199110122361</v>
      </c>
      <c r="AB228" s="37" cm="1">
        <f t="array" ref="AB228:AC228">LINEST(G219:G228,D219:D228)</f>
        <v>23.214545454545455</v>
      </c>
      <c r="AC228" s="37">
        <v>-1.8651757575757575</v>
      </c>
      <c r="AD228" s="37" cm="1">
        <f t="array" ref="AD228:AE228">LINEST(G214:G228,D214:D228)</f>
        <v>15.351428571428576</v>
      </c>
      <c r="AE228" s="37">
        <v>-1.0981392857142864</v>
      </c>
      <c r="AF228" s="37" cm="1">
        <f t="array" ref="AF228:AG228">LINEST(G209:G228,D209:D228)</f>
        <v>9.5061654135338305</v>
      </c>
      <c r="AG228" s="37">
        <v>-0.54263308270676658</v>
      </c>
      <c r="AH228" s="37" cm="1">
        <f t="array" ref="AH228:AI228">LINEST(G204:G228,D204:D228)</f>
        <v>5.2947692307692291</v>
      </c>
      <c r="AI228" s="37">
        <v>-0.15093230769230759</v>
      </c>
      <c r="AJ228" s="37" cm="1">
        <f t="array" ref="AJ228:AK228">LINEST(G199:G228,D199:D228)</f>
        <v>3.4694549499443825</v>
      </c>
      <c r="AK228" s="37">
        <v>1.340037078235079E-2</v>
      </c>
    </row>
    <row r="229" spans="1:37" x14ac:dyDescent="0.25">
      <c r="A229" s="61">
        <v>502</v>
      </c>
      <c r="B229" s="14">
        <f t="shared" si="3"/>
        <v>223</v>
      </c>
      <c r="C229" s="15">
        <v>43981</v>
      </c>
      <c r="D229" s="16">
        <v>0.10375000000000001</v>
      </c>
      <c r="E229" s="36">
        <v>20.02</v>
      </c>
      <c r="F229" s="36">
        <v>-0.34</v>
      </c>
      <c r="G229" s="36">
        <v>0.45</v>
      </c>
      <c r="H229" s="56" cm="1">
        <f t="array" ref="H229:I229">LINEST(E220:E229,D220:D229)</f>
        <v>-12.523636363636252</v>
      </c>
      <c r="I229" s="56">
        <v>21.266054545454537</v>
      </c>
      <c r="J229" s="56" cm="1">
        <f t="array" ref="J229:K229">LINEST(E215:E229,D215:D229)</f>
        <v>-6.4028571428571395</v>
      </c>
      <c r="K229" s="56">
        <v>20.663379761904757</v>
      </c>
      <c r="L229" s="56" cm="1">
        <f t="array" ref="L229:M229">LINEST(E210:E229,D210:D229)</f>
        <v>-2.1491729323308255</v>
      </c>
      <c r="M229" s="56">
        <v>20.253119548872178</v>
      </c>
      <c r="N229" s="56" cm="1">
        <f t="array" ref="N229:O229">LINEST(E205:E229,D205:D229)</f>
        <v>-0.23261538461535361</v>
      </c>
      <c r="O229" s="56">
        <v>20.073056923076919</v>
      </c>
      <c r="P229" s="56" cm="1">
        <f t="array" ref="P229:Q229">LINEST(E200:E229,D200:D229)</f>
        <v>1.5697441601780064</v>
      </c>
      <c r="Q229" s="56">
        <v>19.907418613274004</v>
      </c>
      <c r="R229" s="56" cm="1">
        <f t="array" ref="R229:S229">LINEST(F220:F229,D220:D229)</f>
        <v>2.8799999999998418</v>
      </c>
      <c r="S229" s="56">
        <v>0.31720000000001553</v>
      </c>
      <c r="T229" s="56" cm="1">
        <f t="array" ref="T229:U229">LINEST(F215:F229,D215:D229)</f>
        <v>18.899999999999952</v>
      </c>
      <c r="U229" s="56">
        <v>-1.2684583333333292</v>
      </c>
      <c r="V229" s="56" cm="1">
        <f t="array" ref="V229:W229">LINEST(F210:F229,D210:D229)</f>
        <v>24.230977443608996</v>
      </c>
      <c r="W229" s="56">
        <v>-1.7812496240601485</v>
      </c>
      <c r="X229" s="56" cm="1">
        <f t="array" ref="X229:Y229">LINEST(F205:F229,D205:D229)</f>
        <v>12.732923076923063</v>
      </c>
      <c r="Y229" s="56">
        <v>-0.70562538461538371</v>
      </c>
      <c r="Z229" s="56" cm="1">
        <f t="array" ref="Z229:AA229">LINEST(F200:F229,D200:D229)</f>
        <v>14.981446051167959</v>
      </c>
      <c r="AA229" s="56">
        <v>-0.90894868372265447</v>
      </c>
      <c r="AB229" s="37" cm="1">
        <f t="array" ref="AB229:AC229">LINEST(G220:G229,D220:D229)</f>
        <v>21.905454545454525</v>
      </c>
      <c r="AC229" s="37">
        <v>-1.7517818181818161</v>
      </c>
      <c r="AD229" s="37" cm="1">
        <f t="array" ref="AD229:AE229">LINEST(G215:G229,D215:D229)</f>
        <v>15.685714285714292</v>
      </c>
      <c r="AE229" s="37">
        <v>-1.1362261904761912</v>
      </c>
      <c r="AF229" s="37" cm="1">
        <f t="array" ref="AF229:AG229">LINEST(G210:G229,D210:D229)</f>
        <v>10.713383458646618</v>
      </c>
      <c r="AG229" s="37">
        <v>-0.65665639097744399</v>
      </c>
      <c r="AH229" s="37" cm="1">
        <f t="array" ref="AH229:AI229">LINEST(G205:G229,D205:D229)</f>
        <v>5.8929230769230783</v>
      </c>
      <c r="AI229" s="37">
        <v>-0.20237538461538496</v>
      </c>
      <c r="AJ229" s="37" cm="1">
        <f t="array" ref="AJ229:AK229">LINEST(G200:G229,D200:D229)</f>
        <v>4.3776640711902113</v>
      </c>
      <c r="AK229" s="37">
        <v>-6.3688023730070487E-2</v>
      </c>
    </row>
    <row r="230" spans="1:37" x14ac:dyDescent="0.25">
      <c r="A230" s="61">
        <v>502</v>
      </c>
      <c r="B230" s="14">
        <f t="shared" si="3"/>
        <v>224</v>
      </c>
      <c r="C230" s="15">
        <v>43981</v>
      </c>
      <c r="D230" s="16">
        <v>0.10513888888888889</v>
      </c>
      <c r="E230" s="36">
        <v>20.010000000000002</v>
      </c>
      <c r="F230" s="36">
        <v>-0.26</v>
      </c>
      <c r="G230" s="36">
        <v>0.39</v>
      </c>
      <c r="H230" s="56" cm="1">
        <f t="array" ref="H230:I230">LINEST(E221:E230,D221:D230)</f>
        <v>-9.8181818181816904</v>
      </c>
      <c r="I230" s="56">
        <v>21.003909090909076</v>
      </c>
      <c r="J230" s="56" cm="1">
        <f t="array" ref="J230:K230">LINEST(E216:E230,D216:D230)</f>
        <v>-7.3542857142857097</v>
      </c>
      <c r="K230" s="56">
        <v>20.759721428571428</v>
      </c>
      <c r="L230" s="56" cm="1">
        <f t="array" ref="L230:M230">LINEST(E211:E230,D211:D230)</f>
        <v>-2.9720300751879405</v>
      </c>
      <c r="M230" s="56">
        <v>20.330761654135333</v>
      </c>
      <c r="N230" s="56" cm="1">
        <f t="array" ref="N230:O230">LINEST(E206:E230,D206:D230)</f>
        <v>-0.96923076923073659</v>
      </c>
      <c r="O230" s="56">
        <v>20.139349999999993</v>
      </c>
      <c r="P230" s="56" cm="1">
        <f t="array" ref="P230:Q230">LINEST(E201:E230,D201:D230)</f>
        <v>1.09561735261405</v>
      </c>
      <c r="Q230" s="56">
        <v>19.946872525027803</v>
      </c>
      <c r="R230" s="56" cm="1">
        <f t="array" ref="R230:S230">LINEST(F221:F230,D221:D230)</f>
        <v>-37.44000000000009</v>
      </c>
      <c r="S230" s="56">
        <v>4.2284000000000086</v>
      </c>
      <c r="T230" s="56" cm="1">
        <f t="array" ref="T230:U230">LINEST(F216:F230,D216:D230)</f>
        <v>-5.400000000000059</v>
      </c>
      <c r="U230" s="56">
        <v>1.0065833333333392</v>
      </c>
      <c r="V230" s="56" cm="1">
        <f t="array" ref="V230:W230">LINEST(F211:F230,D211:D230)</f>
        <v>7.8387969924811864</v>
      </c>
      <c r="W230" s="56">
        <v>-0.29973383458646469</v>
      </c>
      <c r="X230" s="56" cm="1">
        <f t="array" ref="X230:Y230">LINEST(F206:F230,D206:D230)</f>
        <v>8.1581538461538301</v>
      </c>
      <c r="Y230" s="56">
        <v>-0.34416999999999853</v>
      </c>
      <c r="Z230" s="56" cm="1">
        <f t="array" ref="Z230:AA230">LINEST(F201:F230,D201:D230)</f>
        <v>10.073592880978854</v>
      </c>
      <c r="AA230" s="56">
        <v>-0.51858872821653612</v>
      </c>
      <c r="AB230" s="37" cm="1">
        <f t="array" ref="AB230:AC230">LINEST(G221:G230,D221:D230)</f>
        <v>17.149090909090891</v>
      </c>
      <c r="AC230" s="37">
        <v>-1.3008545454545435</v>
      </c>
      <c r="AD230" s="37" cm="1">
        <f t="array" ref="AD230:AE230">LINEST(G216:G230,D216:D230)</f>
        <v>13.962857142857141</v>
      </c>
      <c r="AE230" s="37">
        <v>-0.98162261904761894</v>
      </c>
      <c r="AF230" s="37" cm="1">
        <f t="array" ref="AF230:AG230">LINEST(G211:G230,D211:D230)</f>
        <v>10.437293233082706</v>
      </c>
      <c r="AG230" s="37">
        <v>-0.63765112781954891</v>
      </c>
      <c r="AH230" s="37" cm="1">
        <f t="array" ref="AH230:AI230">LINEST(G206:G230,D206:D230)</f>
        <v>6.0535384615384595</v>
      </c>
      <c r="AI230" s="37">
        <v>-0.21956999999999977</v>
      </c>
      <c r="AJ230" s="37" cm="1">
        <f t="array" ref="AJ230:AK230">LINEST(G201:G230,D201:D230)</f>
        <v>4.8229588431590642</v>
      </c>
      <c r="AK230" s="37">
        <v>-0.10495150166852052</v>
      </c>
    </row>
    <row r="231" spans="1:37" x14ac:dyDescent="0.25">
      <c r="A231" s="61">
        <v>502</v>
      </c>
      <c r="B231" s="14">
        <f t="shared" si="3"/>
        <v>225</v>
      </c>
      <c r="C231" s="15">
        <v>43981</v>
      </c>
      <c r="D231" s="16">
        <v>0.10652777777777778</v>
      </c>
      <c r="E231" s="36">
        <v>20.05</v>
      </c>
      <c r="F231" s="36">
        <v>1.22</v>
      </c>
      <c r="G231" s="36">
        <v>0.46</v>
      </c>
      <c r="H231" s="56" cm="1">
        <f t="array" ref="H231:I231">LINEST(E222:E231,D222:D231)</f>
        <v>-4.494545454545368</v>
      </c>
      <c r="I231" s="56">
        <v>20.475703030303023</v>
      </c>
      <c r="J231" s="56" cm="1">
        <f t="array" ref="J231:K231">LINEST(E217:E231,D217:D231)</f>
        <v>-7.2514285714285611</v>
      </c>
      <c r="K231" s="56">
        <v>20.758645238095234</v>
      </c>
      <c r="L231" s="56" cm="1">
        <f t="array" ref="L231:M231">LINEST(E212:E231,D212:D231)</f>
        <v>-3.1344360902255217</v>
      </c>
      <c r="M231" s="56">
        <v>20.350047368421045</v>
      </c>
      <c r="N231" s="56" cm="1">
        <f t="array" ref="N231:O231">LINEST(E207:E231,D207:D231)</f>
        <v>-1.2350769230768888</v>
      </c>
      <c r="O231" s="56">
        <v>20.165785384615379</v>
      </c>
      <c r="P231" s="56" cm="1">
        <f t="array" ref="P231:Q231">LINEST(E202:E231,D202:D231)</f>
        <v>0.79448275862072326</v>
      </c>
      <c r="Q231" s="56">
        <v>19.97403218390804</v>
      </c>
      <c r="R231" s="56" cm="1">
        <f t="array" ref="R231:S231">LINEST(F222:F231,D222:D231)</f>
        <v>-34.952727272727422</v>
      </c>
      <c r="S231" s="56">
        <v>4.1519818181818327</v>
      </c>
      <c r="T231" s="56" cm="1">
        <f t="array" ref="T231:U231">LINEST(F217:F231,D217:D231)</f>
        <v>1.7228571428570956</v>
      </c>
      <c r="U231" s="56">
        <v>0.39255119047619502</v>
      </c>
      <c r="V231" s="56" cm="1">
        <f t="array" ref="V231:W231">LINEST(F212:F231,D212:D231)</f>
        <v>18.660451127819513</v>
      </c>
      <c r="W231" s="56">
        <v>-1.2921421052631548</v>
      </c>
      <c r="X231" s="56" cm="1">
        <f t="array" ref="X231:Y231">LINEST(F207:F231,D207:D231)</f>
        <v>17.230153846153826</v>
      </c>
      <c r="Y231" s="56">
        <v>-1.1563207692307673</v>
      </c>
      <c r="Z231" s="56" cm="1">
        <f t="array" ref="Z231:AA231">LINEST(F202:F231,D202:D231)</f>
        <v>12.296863181312574</v>
      </c>
      <c r="AA231" s="56">
        <v>-0.68264568038561391</v>
      </c>
      <c r="AB231" s="37" cm="1">
        <f t="array" ref="AB231:AC231">LINEST(G222:G231,D222:D231)</f>
        <v>13.221818181818177</v>
      </c>
      <c r="AC231" s="37">
        <v>-0.91085454545454481</v>
      </c>
      <c r="AD231" s="37" cm="1">
        <f t="array" ref="AD231:AE231">LINEST(G217:G231,D217:D231)</f>
        <v>13.037142857142856</v>
      </c>
      <c r="AE231" s="37">
        <v>-0.89473452380952367</v>
      </c>
      <c r="AF231" s="37" cm="1">
        <f t="array" ref="AF231:AG231">LINEST(G212:G231,D212:D231)</f>
        <v>11.15187969924812</v>
      </c>
      <c r="AG231" s="37">
        <v>-0.70884210526315794</v>
      </c>
      <c r="AH231" s="37" cm="1">
        <f t="array" ref="AH231:AI231">LINEST(G207:G231,D207:D231)</f>
        <v>6.9673846153846135</v>
      </c>
      <c r="AI231" s="37">
        <v>-0.30409692307692293</v>
      </c>
      <c r="AJ231" s="37" cm="1">
        <f t="array" ref="AJ231:AK231">LINEST(G202:G231,D202:D231)</f>
        <v>5.4188209121245841</v>
      </c>
      <c r="AK231" s="37">
        <v>-0.15712591768631817</v>
      </c>
    </row>
    <row r="232" spans="1:37" x14ac:dyDescent="0.25">
      <c r="A232" s="61">
        <v>502</v>
      </c>
      <c r="B232" s="14">
        <f t="shared" si="3"/>
        <v>226</v>
      </c>
      <c r="C232" s="15">
        <v>43981</v>
      </c>
      <c r="D232" s="16">
        <v>0.10791666666666666</v>
      </c>
      <c r="E232" s="36">
        <v>20.04</v>
      </c>
      <c r="F232" s="36">
        <v>-0.4</v>
      </c>
      <c r="G232" s="36">
        <v>0.39</v>
      </c>
      <c r="H232" s="56" cm="1">
        <f t="array" ref="H232:I232">LINEST(E223:E232,D223:D232)</f>
        <v>1.1345454545454174</v>
      </c>
      <c r="I232" s="56">
        <v>19.900654545454547</v>
      </c>
      <c r="J232" s="56" cm="1">
        <f t="array" ref="J232:K232">LINEST(E218:E232,D218:D232)</f>
        <v>-6.6599999999999877</v>
      </c>
      <c r="K232" s="56">
        <v>20.706641666666666</v>
      </c>
      <c r="L232" s="56" cm="1">
        <f t="array" ref="L232:M232">LINEST(E213:E232,D213:D232)</f>
        <v>-3.5133834586465955</v>
      </c>
      <c r="M232" s="56">
        <v>20.390295488721801</v>
      </c>
      <c r="N232" s="56" cm="1">
        <f t="array" ref="N232:O232">LINEST(E208:E232,D208:D232)</f>
        <v>-1.4399999999999784</v>
      </c>
      <c r="O232" s="56">
        <v>20.186199999999999</v>
      </c>
      <c r="P232" s="56" cm="1">
        <f t="array" ref="P232:Q232">LINEST(E203:E232,D203:D232)</f>
        <v>0.32195773081204077</v>
      </c>
      <c r="Q232" s="56">
        <v>20.017405932517605</v>
      </c>
      <c r="R232" s="56" cm="1">
        <f t="array" ref="R232:S232">LINEST(F223:F232,D223:D232)</f>
        <v>-114.32727272727274</v>
      </c>
      <c r="S232" s="56">
        <v>12.245272727272727</v>
      </c>
      <c r="T232" s="56" cm="1">
        <f t="array" ref="T232:U232">LINEST(F218:F232,D218:D232)</f>
        <v>-7.097142857142912</v>
      </c>
      <c r="U232" s="56">
        <v>1.1649000000000054</v>
      </c>
      <c r="V232" s="56" cm="1">
        <f t="array" ref="V232:W232">LINEST(F213:F232,D213:D232)</f>
        <v>2.4252631578947219</v>
      </c>
      <c r="W232" s="56">
        <v>0.21027368421052781</v>
      </c>
      <c r="X232" s="56" cm="1">
        <f t="array" ref="X232:Y232">LINEST(F208:F232,D208:D232)</f>
        <v>11.807999999999996</v>
      </c>
      <c r="Y232" s="56">
        <v>-0.71627999999999981</v>
      </c>
      <c r="Z232" s="56" cm="1">
        <f t="array" ref="Z232:AA232">LINEST(F203:F232,D203:D232)</f>
        <v>3.7113236929922038</v>
      </c>
      <c r="AA232" s="56">
        <v>6.1228253615128847E-2</v>
      </c>
      <c r="AB232" s="37" cm="1">
        <f t="array" ref="AB232:AC232">LINEST(G223:G232,D223:D232)</f>
        <v>3.3600000000000079</v>
      </c>
      <c r="AC232" s="37">
        <v>8.9399999999999313E-2</v>
      </c>
      <c r="AD232" s="37" cm="1">
        <f t="array" ref="AD232:AE232">LINEST(G218:G232,D218:D232)</f>
        <v>11.442857142857143</v>
      </c>
      <c r="AE232" s="37">
        <v>-0.7482916666666668</v>
      </c>
      <c r="AF232" s="37" cm="1">
        <f t="array" ref="AF232:AG232">LINEST(G213:G232,D213:D232)</f>
        <v>10.475187969924812</v>
      </c>
      <c r="AG232" s="37">
        <v>-0.65173308270676711</v>
      </c>
      <c r="AH232" s="37" cm="1">
        <f t="array" ref="AH232:AI232">LINEST(G208:G232,D208:D232)</f>
        <v>7.3329230769230778</v>
      </c>
      <c r="AI232" s="37">
        <v>-0.34392923076923088</v>
      </c>
      <c r="AJ232" s="37" cm="1">
        <f t="array" ref="AJ232:AK232">LINEST(G203:G232,D203:D232)</f>
        <v>5.2842714126807566</v>
      </c>
      <c r="AK232" s="37">
        <v>-0.14684160177975519</v>
      </c>
    </row>
    <row r="233" spans="1:37" x14ac:dyDescent="0.25">
      <c r="A233" s="61">
        <v>502</v>
      </c>
      <c r="B233" s="14">
        <f t="shared" si="3"/>
        <v>227</v>
      </c>
      <c r="C233" s="15">
        <v>43981</v>
      </c>
      <c r="D233" s="16">
        <v>0.10930555555555554</v>
      </c>
      <c r="E233" s="36">
        <v>20.059999999999999</v>
      </c>
      <c r="F233" s="36">
        <v>0.79</v>
      </c>
      <c r="G233" s="36">
        <v>0.42</v>
      </c>
      <c r="H233" s="56" cm="1">
        <f t="array" ref="H233:I233">LINEST(E224:E233,D224:D233)</f>
        <v>10.25454545454542</v>
      </c>
      <c r="I233" s="56">
        <v>18.948212121212126</v>
      </c>
      <c r="J233" s="56" cm="1">
        <f t="array" ref="J233:K233">LINEST(E219:E233,D219:D233)</f>
        <v>-5.1428571428571423</v>
      </c>
      <c r="K233" s="56">
        <v>20.560809523809528</v>
      </c>
      <c r="L233" s="56" cm="1">
        <f t="array" ref="L233:M233">LINEST(E214:E233,D214:D233)</f>
        <v>-3.3455639097744299</v>
      </c>
      <c r="M233" s="56">
        <v>20.37854586466165</v>
      </c>
      <c r="N233" s="56" cm="1">
        <f t="array" ref="N233:O233">LINEST(E209:E233,D209:D233)</f>
        <v>-1.3679999999999974</v>
      </c>
      <c r="O233" s="56">
        <v>20.181529999999995</v>
      </c>
      <c r="P233" s="56" cm="1">
        <f t="array" ref="P233:Q233">LINEST(E204:E233,D204:D233)</f>
        <v>1.2814238042285099E-2</v>
      </c>
      <c r="Q233" s="56">
        <v>20.047524063774556</v>
      </c>
      <c r="R233" s="56" cm="1">
        <f t="array" ref="R233:S233">LINEST(F224:F233,D224:D233)</f>
        <v>-76.145454545454683</v>
      </c>
      <c r="S233" s="56">
        <v>8.4202121212121348</v>
      </c>
      <c r="T233" s="56" cm="1">
        <f t="array" ref="T233:U233">LINEST(F219:F233,D219:D233)</f>
        <v>-1.8771428571429043</v>
      </c>
      <c r="U233" s="56">
        <v>0.67826547619048094</v>
      </c>
      <c r="V233" s="56" cm="1">
        <f t="array" ref="V233:W233">LINEST(F214:F233,D214:D233)</f>
        <v>9.32210526315788</v>
      </c>
      <c r="W233" s="56">
        <v>-0.45295789473684078</v>
      </c>
      <c r="X233" s="56" cm="1">
        <f t="array" ref="X233:Y233">LINEST(F209:F233,D209:D233)</f>
        <v>16.665230769230753</v>
      </c>
      <c r="Y233" s="56">
        <v>-1.17664846153846</v>
      </c>
      <c r="Z233" s="56" cm="1">
        <f t="array" ref="Z233:AA233">LINEST(F204:F233,D204:D233)</f>
        <v>7.0878754171301388</v>
      </c>
      <c r="AA233" s="56">
        <v>-0.2416688913607708</v>
      </c>
      <c r="AB233" s="37" cm="1">
        <f t="array" ref="AB233:AC233">LINEST(G224:G233,D224:D233)</f>
        <v>-2.8799999999999923</v>
      </c>
      <c r="AC233" s="37">
        <v>0.73879999999999924</v>
      </c>
      <c r="AD233" s="37" cm="1">
        <f t="array" ref="AD233:AE233">LINEST(G219:G233,D219:D233)</f>
        <v>10.285714285714286</v>
      </c>
      <c r="AE233" s="37">
        <v>-0.63961904761904753</v>
      </c>
      <c r="AF233" s="37" cm="1">
        <f t="array" ref="AF233:AG233">LINEST(G214:G233,D214:D233)</f>
        <v>10.377744360902259</v>
      </c>
      <c r="AG233" s="37">
        <v>-0.64891654135338395</v>
      </c>
      <c r="AH233" s="37" cm="1">
        <f t="array" ref="AH233:AI233">LINEST(G209:G233,D209:D233)</f>
        <v>8.0695384615384622</v>
      </c>
      <c r="AI233" s="37">
        <v>-0.41915307692307702</v>
      </c>
      <c r="AJ233" s="37" cm="1">
        <f t="array" ref="AJ233:AK233">LINEST(G204:G233,D204:D233)</f>
        <v>5.4300333704115689</v>
      </c>
      <c r="AK233" s="37">
        <v>-0.16151130886169823</v>
      </c>
    </row>
    <row r="234" spans="1:37" x14ac:dyDescent="0.25">
      <c r="A234" s="61">
        <v>502</v>
      </c>
      <c r="B234" s="14">
        <f t="shared" si="3"/>
        <v>228</v>
      </c>
      <c r="C234" s="15">
        <v>43981</v>
      </c>
      <c r="D234" s="16">
        <v>0.11069444444444444</v>
      </c>
      <c r="E234" s="36">
        <v>20.02</v>
      </c>
      <c r="F234" s="36">
        <v>-1.39</v>
      </c>
      <c r="G234" s="36">
        <v>0.28000000000000003</v>
      </c>
      <c r="H234" s="56" cm="1">
        <f t="array" ref="H234:I234">LINEST(E225:E234,D225:D234)</f>
        <v>5.3236363636363295</v>
      </c>
      <c r="I234" s="56">
        <v>19.461975757575761</v>
      </c>
      <c r="J234" s="56" cm="1">
        <f t="array" ref="J234:K234">LINEST(E220:E234,D220:D234)</f>
        <v>-4.1914285714285588</v>
      </c>
      <c r="K234" s="56">
        <v>20.465217857142854</v>
      </c>
      <c r="L234" s="56" cm="1">
        <f t="array" ref="L234:M234">LINEST(E215:E234,D215:D234)</f>
        <v>-3.6920300751879824</v>
      </c>
      <c r="M234" s="56">
        <v>20.414972932330826</v>
      </c>
      <c r="N234" s="56" cm="1">
        <f t="array" ref="N234:O234">LINEST(E210:E234,D210:D234)</f>
        <v>-1.7058461538461613</v>
      </c>
      <c r="O234" s="56">
        <v>20.214396923076922</v>
      </c>
      <c r="P234" s="56" cm="1">
        <f t="array" ref="P234:Q234">LINEST(E205:E234,D205:D234)</f>
        <v>-0.46131256952167365</v>
      </c>
      <c r="Q234" s="56">
        <v>20.091774416017788</v>
      </c>
      <c r="R234" s="56" cm="1">
        <f t="array" ref="R234:S234">LINEST(F225:F234,D225:D234)</f>
        <v>-119.30181818181839</v>
      </c>
      <c r="S234" s="56">
        <v>12.766412121212143</v>
      </c>
      <c r="T234" s="56" cm="1">
        <f t="array" ref="T234:U234">LINEST(F220:F234,D220:D234)</f>
        <v>-45.025714285714322</v>
      </c>
      <c r="U234" s="56">
        <v>4.9423464285714322</v>
      </c>
      <c r="V234" s="56" cm="1">
        <f t="array" ref="V234:W234">LINEST(F215:F234,D215:D234)</f>
        <v>-15.932030075188001</v>
      </c>
      <c r="W234" s="56">
        <v>1.93287293233083</v>
      </c>
      <c r="X234" s="56" cm="1">
        <f t="array" ref="X234:Y234">LINEST(F210:F234,D210:D234)</f>
        <v>-0.75323076923078391</v>
      </c>
      <c r="Y234" s="56">
        <v>0.39962461538461685</v>
      </c>
      <c r="Z234" s="56" cm="1">
        <f t="array" ref="Z234:AA234">LINEST(F205:F234,D205:D234)</f>
        <v>-1.7299221357063472</v>
      </c>
      <c r="AA234" s="56">
        <v>0.4913207267334081</v>
      </c>
      <c r="AB234" s="37" cm="1">
        <f t="array" ref="AB234:AC234">LINEST(G225:G234,D225:D234)</f>
        <v>-11.73818181818182</v>
      </c>
      <c r="AC234" s="37">
        <v>1.6569878787878791</v>
      </c>
      <c r="AD234" s="37" cm="1">
        <f t="array" ref="AD234:AE234">LINEST(G220:G234,D220:D234)</f>
        <v>6.0428571428571445</v>
      </c>
      <c r="AE234" s="37">
        <v>-0.22482738095238114</v>
      </c>
      <c r="AF234" s="37" cm="1">
        <f t="array" ref="AF234:AG234">LINEST(G215:G234,D215:D234)</f>
        <v>8.3260150375939883</v>
      </c>
      <c r="AG234" s="37">
        <v>-0.4607864661654138</v>
      </c>
      <c r="AH234" s="37" cm="1">
        <f t="array" ref="AH234:AI234">LINEST(G210:G234,D210:D234)</f>
        <v>7.3993846153846201</v>
      </c>
      <c r="AI234" s="37">
        <v>-0.36734769230769276</v>
      </c>
      <c r="AJ234" s="37" cm="1">
        <f t="array" ref="AJ234:AK234">LINEST(G205:G234,D205:D234)</f>
        <v>4.8710122358175765</v>
      </c>
      <c r="AK234" s="37">
        <v>-0.11743055246570283</v>
      </c>
    </row>
    <row r="235" spans="1:37" x14ac:dyDescent="0.25">
      <c r="A235" s="61">
        <v>502</v>
      </c>
      <c r="B235" s="14">
        <f t="shared" si="3"/>
        <v>229</v>
      </c>
      <c r="C235" s="15">
        <v>43981</v>
      </c>
      <c r="D235" s="16">
        <v>0.11208333333333333</v>
      </c>
      <c r="E235" s="36">
        <v>20.079999999999998</v>
      </c>
      <c r="F235" s="36">
        <v>2.0499999999999998</v>
      </c>
      <c r="G235" s="36">
        <v>0.42</v>
      </c>
      <c r="H235" s="56" cm="1">
        <f t="array" ref="H235:I235">LINEST(E226:E235,D226:D235)</f>
        <v>5.454545454545304</v>
      </c>
      <c r="I235" s="56">
        <v>19.451727272727293</v>
      </c>
      <c r="J235" s="56" cm="1">
        <f t="array" ref="J235:K235">LINEST(E221:E235,D221:D235)</f>
        <v>-1.6971428571428933</v>
      </c>
      <c r="K235" s="56">
        <v>20.212388095238094</v>
      </c>
      <c r="L235" s="56" cm="1">
        <f t="array" ref="L235:M235">LINEST(E216:E235,D216:D235)</f>
        <v>-3.3780451127820004</v>
      </c>
      <c r="M235" s="56">
        <v>20.390051127819554</v>
      </c>
      <c r="N235" s="56" cm="1">
        <f t="array" ref="N235:O235">LINEST(E211:E235,D211:D235)</f>
        <v>-1.7058461538461651</v>
      </c>
      <c r="O235" s="56">
        <v>20.218766153846154</v>
      </c>
      <c r="P235" s="56" cm="1">
        <f t="array" ref="P235:Q235">LINEST(E206:E235,D206:D235)</f>
        <v>-0.61988876529476933</v>
      </c>
      <c r="Q235" s="56">
        <v>20.109995328142375</v>
      </c>
      <c r="R235" s="56" cm="1">
        <f t="array" ref="R235:S235">LINEST(F226:F235,D226:D235)</f>
        <v>-4.0581818181819367</v>
      </c>
      <c r="S235" s="56">
        <v>0.81249090909092159</v>
      </c>
      <c r="T235" s="56" cm="1">
        <f t="array" ref="T235:U235">LINEST(F221:F235,D221:D235)</f>
        <v>-13.937142857142923</v>
      </c>
      <c r="U235" s="56">
        <v>1.9286214285714351</v>
      </c>
      <c r="V235" s="56" cm="1">
        <f t="array" ref="V235:W235">LINEST(F216:F235,D216:D235)</f>
        <v>-3.064060150375969</v>
      </c>
      <c r="W235" s="56">
        <v>0.78500150375940136</v>
      </c>
      <c r="X235" s="56" cm="1">
        <f t="array" ref="X235:Y235">LINEST(F211:F235,D211:D235)</f>
        <v>5.2947692307692238</v>
      </c>
      <c r="Y235" s="56">
        <v>-7.7609230769230153E-2</v>
      </c>
      <c r="Z235" s="56" cm="1">
        <f t="array" ref="Z235:AA235">LINEST(F206:F235,D206:D235)</f>
        <v>6.4631813125695103</v>
      </c>
      <c r="AA235" s="56">
        <v>-0.2039202817945856</v>
      </c>
      <c r="AB235" s="37" cm="1">
        <f t="array" ref="AB235:AC235">LINEST(G226:G235,D226:D235)</f>
        <v>-11.258181818181839</v>
      </c>
      <c r="AC235" s="37">
        <v>1.6194909090909113</v>
      </c>
      <c r="AD235" s="37" cm="1">
        <f t="array" ref="AD235:AE235">LINEST(G221:G235,D221:D235)</f>
        <v>4.5000000000000009</v>
      </c>
      <c r="AE235" s="37">
        <v>-6.5958333333333286E-2</v>
      </c>
      <c r="AF235" s="37" cm="1">
        <f t="array" ref="AF235:AG235">LINEST(G216:G235,D216:D235)</f>
        <v>7.4327819548872203</v>
      </c>
      <c r="AG235" s="37">
        <v>-0.3735195488721807</v>
      </c>
      <c r="AH235" s="37" cm="1">
        <f t="array" ref="AH235:AI235">LINEST(G211:G235,D211:D235)</f>
        <v>7.2276923076923092</v>
      </c>
      <c r="AI235" s="37">
        <v>-0.35324230769230791</v>
      </c>
      <c r="AJ235" s="37" cm="1">
        <f t="array" ref="AJ235:AK235">LINEST(G206:G235,D206:D235)</f>
        <v>5.0023581757508344</v>
      </c>
      <c r="AK235" s="37">
        <v>-0.13093904338153511</v>
      </c>
    </row>
    <row r="236" spans="1:37" x14ac:dyDescent="0.25">
      <c r="A236" s="61">
        <v>502</v>
      </c>
      <c r="B236" s="14">
        <f t="shared" si="3"/>
        <v>230</v>
      </c>
      <c r="C236" s="15">
        <v>43981</v>
      </c>
      <c r="D236" s="16">
        <v>0.11347222222222221</v>
      </c>
      <c r="E236" s="36">
        <v>20.09</v>
      </c>
      <c r="F236" s="36">
        <v>0.09</v>
      </c>
      <c r="G236" s="36">
        <v>0.39</v>
      </c>
      <c r="H236" s="56" cm="1">
        <f t="array" ref="H236:I236">LINEST(E227:E236,D227:D236)</f>
        <v>6.4581818181816715</v>
      </c>
      <c r="I236" s="56">
        <v>19.345539393939415</v>
      </c>
      <c r="J236" s="56" cm="1">
        <f t="array" ref="J236:K236">LINEST(E222:E236,D222:D236)</f>
        <v>1.105714285714231</v>
      </c>
      <c r="K236" s="56">
        <v>19.921282142857148</v>
      </c>
      <c r="L236" s="56" cm="1">
        <f t="array" ref="L236:M236">LINEST(E217:E236,D217:D236)</f>
        <v>-2.8691729323308728</v>
      </c>
      <c r="M236" s="56">
        <v>20.344714285714286</v>
      </c>
      <c r="N236" s="56" cm="1">
        <f t="array" ref="N236:O236">LINEST(E212:E236,D212:D236)</f>
        <v>-1.5230769230769292</v>
      </c>
      <c r="O236" s="56">
        <v>20.205042307692302</v>
      </c>
      <c r="P236" s="56" cm="1">
        <f t="array" ref="P236:Q236">LINEST(E207:E236,D207:D236)</f>
        <v>-0.61187986651835291</v>
      </c>
      <c r="Q236" s="56">
        <v>20.112442120875045</v>
      </c>
      <c r="R236" s="56" cm="1">
        <f t="array" ref="R236:S236">LINEST(F227:F236,D227:D236)</f>
        <v>27.49090909090906</v>
      </c>
      <c r="S236" s="56">
        <v>-2.6836363636363605</v>
      </c>
      <c r="T236" s="56" cm="1">
        <f t="array" ref="T236:U236">LINEST(F222:F236,D222:D236)</f>
        <v>-31.474285714285781</v>
      </c>
      <c r="U236" s="56">
        <v>3.7727904761904831</v>
      </c>
      <c r="V236" s="56" cm="1">
        <f t="array" ref="V236:W236">LINEST(F217:F236,D217:D236)</f>
        <v>-10.301954887218081</v>
      </c>
      <c r="W236" s="56">
        <v>1.5095571428571466</v>
      </c>
      <c r="X236" s="56" cm="1">
        <f t="array" ref="X236:Y236">LINEST(F212:F236,D212:D236)</f>
        <v>4.6523076923076738</v>
      </c>
      <c r="Y236" s="56">
        <v>-4.5169230769229018E-2</v>
      </c>
      <c r="Z236" s="56" cm="1">
        <f t="array" ref="Z236:AA236">LINEST(F207:F236,D207:D236)</f>
        <v>7.4002224694104495</v>
      </c>
      <c r="AA236" s="56">
        <v>-0.32602076381164191</v>
      </c>
      <c r="AB236" s="37" cm="1">
        <f t="array" ref="AB236:AC236">LINEST(G227:G236,D227:D236)</f>
        <v>-8.3345454545454682</v>
      </c>
      <c r="AC236" s="37">
        <v>1.3086484848484861</v>
      </c>
      <c r="AD236" s="37" cm="1">
        <f t="array" ref="AD236:AE236">LINEST(G222:G236,D222:D236)</f>
        <v>1.6457142857142888</v>
      </c>
      <c r="AE236" s="37">
        <v>0.23259047619047593</v>
      </c>
      <c r="AF236" s="37" cm="1">
        <f t="array" ref="AF236:AG236">LINEST(G217:G236,D217:D236)</f>
        <v>6.0036090225563976</v>
      </c>
      <c r="AG236" s="37">
        <v>-0.23152857142857208</v>
      </c>
      <c r="AH236" s="37" cm="1">
        <f t="array" ref="AH236:AI236">LINEST(G212:G236,D212:D236)</f>
        <v>7.0338461538461559</v>
      </c>
      <c r="AI236" s="37">
        <v>-0.33931538461538502</v>
      </c>
      <c r="AJ236" s="37" cm="1">
        <f t="array" ref="AJ236:AK236">LINEST(G207:G236,D207:D236)</f>
        <v>5.1913681868743078</v>
      </c>
      <c r="AK236" s="37">
        <v>-0.1528610307749354</v>
      </c>
    </row>
    <row r="237" spans="1:37" x14ac:dyDescent="0.25">
      <c r="A237" s="61">
        <v>502</v>
      </c>
      <c r="B237" s="14">
        <f t="shared" si="3"/>
        <v>231</v>
      </c>
      <c r="C237" s="15">
        <v>43981</v>
      </c>
      <c r="D237" s="16">
        <v>0.11486111111111112</v>
      </c>
      <c r="E237" s="36">
        <v>20.059999999999999</v>
      </c>
      <c r="F237" s="36">
        <v>-0.81</v>
      </c>
      <c r="G237" s="36">
        <v>0.3</v>
      </c>
      <c r="H237" s="56" cm="1">
        <f t="array" ref="H237:I237">LINEST(E228:E237,D228:D237)</f>
        <v>4.5381818181816413</v>
      </c>
      <c r="I237" s="56">
        <v>19.553103030303049</v>
      </c>
      <c r="J237" s="56" cm="1">
        <f t="array" ref="J237:K237">LINEST(E223:E237,D223:D237)</f>
        <v>3.4714285714284774</v>
      </c>
      <c r="K237" s="56">
        <v>19.666351190476199</v>
      </c>
      <c r="L237" s="56" cm="1">
        <f t="array" ref="L237:M237">LINEST(E218:E237,D218:D237)</f>
        <v>-2.3494736842105679</v>
      </c>
      <c r="M237" s="56">
        <v>20.293863157894741</v>
      </c>
      <c r="N237" s="56" cm="1">
        <f t="array" ref="N237:O237">LINEST(E213:E237,D213:D237)</f>
        <v>-1.6338461538461733</v>
      </c>
      <c r="O237" s="56">
        <v>20.218834615384612</v>
      </c>
      <c r="P237" s="56" cm="1">
        <f t="array" ref="P237:Q237">LINEST(E208:E237,D208:D237)</f>
        <v>-0.66634037819800596</v>
      </c>
      <c r="Q237" s="56">
        <v>20.119117241379307</v>
      </c>
      <c r="R237" s="56" cm="1">
        <f t="array" ref="R237:S237">LINEST(F228:F237,D228:D237)</f>
        <v>-51.840000000000217</v>
      </c>
      <c r="S237" s="56">
        <v>5.8644000000000229</v>
      </c>
      <c r="T237" s="56" cm="1">
        <f t="array" ref="T237:U237">LINEST(F223:F237,D223:D237)</f>
        <v>-68.708571428571545</v>
      </c>
      <c r="U237" s="56">
        <v>7.6872761904762017</v>
      </c>
      <c r="V237" s="56" cm="1">
        <f t="array" ref="V237:W237">LINEST(F218:F237,D218:D237)</f>
        <v>-17.924210526315829</v>
      </c>
      <c r="W237" s="56">
        <v>2.2097947368421091</v>
      </c>
      <c r="X237" s="56" cm="1">
        <f t="array" ref="X237:Y237">LINEST(F213:F237,D213:D237)</f>
        <v>-7.8535384615384842</v>
      </c>
      <c r="Y237" s="56">
        <v>1.1523738461538486</v>
      </c>
      <c r="Z237" s="56" cm="1">
        <f t="array" ref="Z237:AA237">LINEST(F208:F237,D208:D237)</f>
        <v>1.9701890989988671</v>
      </c>
      <c r="AA237" s="56">
        <v>0.1387126436781628</v>
      </c>
      <c r="AB237" s="37" cm="1">
        <f t="array" ref="AB237:AC237">LINEST(G228:G237,D228:D237)</f>
        <v>-11.650909090909108</v>
      </c>
      <c r="AC237" s="37">
        <v>1.6664181818181836</v>
      </c>
      <c r="AD237" s="37" cm="1">
        <f t="array" ref="AD237:AE237">LINEST(G223:G237,D223:D237)</f>
        <v>-3.7800000000000002</v>
      </c>
      <c r="AE237" s="37">
        <v>0.80542500000000006</v>
      </c>
      <c r="AF237" s="37" cm="1">
        <f t="array" ref="AF237:AG237">LINEST(G218:G237,D218:D237)</f>
        <v>4.1359398496240605</v>
      </c>
      <c r="AG237" s="37">
        <v>-4.8487218045112745E-2</v>
      </c>
      <c r="AH237" s="37" cm="1">
        <f t="array" ref="AH237:AI237">LINEST(G213:G237,D213:D237)</f>
        <v>5.8818461538461548</v>
      </c>
      <c r="AI237" s="37">
        <v>-0.23276461538461551</v>
      </c>
      <c r="AJ237" s="37" cm="1">
        <f t="array" ref="AJ237:AK237">LINEST(G208:G237,D208:D237)</f>
        <v>4.9366852057842072</v>
      </c>
      <c r="AK237" s="37">
        <v>-0.13628045977011527</v>
      </c>
    </row>
    <row r="238" spans="1:37" x14ac:dyDescent="0.25">
      <c r="A238" s="61">
        <v>502</v>
      </c>
      <c r="B238" s="14">
        <f t="shared" si="3"/>
        <v>232</v>
      </c>
      <c r="C238" s="15">
        <v>43981</v>
      </c>
      <c r="D238" s="16">
        <v>0.11625000000000001</v>
      </c>
      <c r="E238" s="36">
        <v>20.09</v>
      </c>
      <c r="F238" s="36">
        <v>0.88</v>
      </c>
      <c r="G238" s="36">
        <v>0.34</v>
      </c>
      <c r="H238" s="56" cm="1">
        <f t="array" ref="H238:I238">LINEST(E229:E238,D229:D238)</f>
        <v>5.4981818181817141</v>
      </c>
      <c r="I238" s="56">
        <v>19.447200000000009</v>
      </c>
      <c r="J238" s="56" cm="1">
        <f t="array" ref="J238:K238">LINEST(E224:E238,D224:D238)</f>
        <v>7.3799999999999386</v>
      </c>
      <c r="K238" s="56">
        <v>19.239825000000007</v>
      </c>
      <c r="L238" s="56" cm="1">
        <f t="array" ref="L238:M238">LINEST(E219:E238,D219:D238)</f>
        <v>-1.2505263157895037</v>
      </c>
      <c r="M238" s="56">
        <v>20.182373684210525</v>
      </c>
      <c r="N238" s="56" cm="1">
        <f t="array" ref="N238:O238">LINEST(E214:E238,D214:D238)</f>
        <v>-1.3403076923077089</v>
      </c>
      <c r="O238" s="56">
        <v>20.192672307692302</v>
      </c>
      <c r="P238" s="56" cm="1">
        <f t="array" ref="P238:Q238">LINEST(E209:E238,D209:D238)</f>
        <v>-0.48854282536152654</v>
      </c>
      <c r="Q238" s="56">
        <v>20.103954393770859</v>
      </c>
      <c r="R238" s="56" cm="1">
        <f t="array" ref="R238:S238">LINEST(F229:F238,D229:D238)</f>
        <v>29.018181818181684</v>
      </c>
      <c r="S238" s="56">
        <v>-3.0089999999999852</v>
      </c>
      <c r="T238" s="56" cm="1">
        <f t="array" ref="T238:U238">LINEST(F224:F238,D224:D238)</f>
        <v>-44.408571428571491</v>
      </c>
      <c r="U238" s="56">
        <v>5.1674130952381008</v>
      </c>
      <c r="V238" s="56" cm="1">
        <f t="array" ref="V238:W238">LINEST(F219:F238,D219:D238)</f>
        <v>-12.261654135338373</v>
      </c>
      <c r="W238" s="56">
        <v>1.6731315789473711</v>
      </c>
      <c r="X238" s="56" cm="1">
        <f t="array" ref="X238:Y238">LINEST(F214:F238,D214:D238)</f>
        <v>-2.0270769230769394</v>
      </c>
      <c r="Y238" s="56">
        <v>0.58906307692307858</v>
      </c>
      <c r="Z238" s="56" cm="1">
        <f t="array" ref="Z238:AA238">LINEST(F209:F238,D209:D238)</f>
        <v>6.1091879866518166</v>
      </c>
      <c r="AA238" s="56">
        <v>-0.25382751205042459</v>
      </c>
      <c r="AB238" s="37" cm="1">
        <f t="array" ref="AB238:AC238">LINEST(G229:G238,D229:D238)</f>
        <v>-8.8145454545454633</v>
      </c>
      <c r="AC238" s="37">
        <v>1.3536000000000008</v>
      </c>
      <c r="AD238" s="37" cm="1">
        <f t="array" ref="AD238:AE238">LINEST(G224:G238,D224:D238)</f>
        <v>-7.0200000000000014</v>
      </c>
      <c r="AE238" s="37">
        <v>1.1578250000000001</v>
      </c>
      <c r="AF238" s="37" cm="1">
        <f t="array" ref="AF238:AG238">LINEST(G219:G238,D219:D238)</f>
        <v>2.7609022556390963</v>
      </c>
      <c r="AG238" s="37">
        <v>9.0473684210526428E-2</v>
      </c>
      <c r="AH238" s="37" cm="1">
        <f t="array" ref="AH238:AI238">LINEST(G214:G238,D214:D238)</f>
        <v>5.2393846153846164</v>
      </c>
      <c r="AI238" s="37">
        <v>-0.17375538461538481</v>
      </c>
      <c r="AJ238" s="37" cm="1">
        <f t="array" ref="AJ238:AK238">LINEST(G209:G238,D209:D238)</f>
        <v>5.0199777530589538</v>
      </c>
      <c r="AK238" s="37">
        <v>-0.15114230626622166</v>
      </c>
    </row>
    <row r="239" spans="1:37" x14ac:dyDescent="0.25">
      <c r="A239" s="61">
        <v>502</v>
      </c>
      <c r="B239" s="14">
        <f t="shared" si="3"/>
        <v>233</v>
      </c>
      <c r="C239" s="15">
        <v>43981</v>
      </c>
      <c r="D239" s="16">
        <v>0.11763888888888889</v>
      </c>
      <c r="E239" s="36">
        <v>20.100000000000001</v>
      </c>
      <c r="F239" s="36">
        <v>0.2</v>
      </c>
      <c r="G239" s="36">
        <v>0.33</v>
      </c>
      <c r="H239" s="56" cm="1">
        <f t="array" ref="H239:I239">LINEST(E230:E239,D230:D239)</f>
        <v>5.8472727272726885</v>
      </c>
      <c r="I239" s="56">
        <v>19.408678787878792</v>
      </c>
      <c r="J239" s="56" cm="1">
        <f t="array" ref="J239:K239">LINEST(E225:E239,D225:D239)</f>
        <v>5.9142857142856986</v>
      </c>
      <c r="K239" s="56">
        <v>19.40175</v>
      </c>
      <c r="L239" s="56" cm="1">
        <f t="array" ref="L239:M239">LINEST(E220:E239,D220:D239)</f>
        <v>-1.6240601503759222E-2</v>
      </c>
      <c r="M239" s="56">
        <v>20.054196240601502</v>
      </c>
      <c r="N239" s="56" cm="1">
        <f t="array" ref="N239:O239">LINEST(E215:E239,D215:D239)</f>
        <v>-1.0633846153846305</v>
      </c>
      <c r="O239" s="56">
        <v>20.168172307692306</v>
      </c>
      <c r="P239" s="56" cm="1">
        <f t="array" ref="P239:Q239">LINEST(E210:E239,D210:D239)</f>
        <v>-0.37321468298110044</v>
      </c>
      <c r="Q239" s="56">
        <v>20.09538843159066</v>
      </c>
      <c r="R239" s="56" cm="1">
        <f t="array" ref="R239:S239">LINEST(F230:F239,D230:D239)</f>
        <v>4.5818181818180301</v>
      </c>
      <c r="S239" s="56">
        <v>-0.27336363636361938</v>
      </c>
      <c r="T239" s="56" cm="1">
        <f t="array" ref="T239:U239">LINEST(F225:F239,D225:D239)</f>
        <v>-31.32000000000005</v>
      </c>
      <c r="U239" s="56">
        <v>3.7446166666666718</v>
      </c>
      <c r="V239" s="56" cm="1">
        <f t="array" ref="V239:W239">LINEST(F220:F239,D220:D239)</f>
        <v>-18.617142857142888</v>
      </c>
      <c r="W239" s="56">
        <v>2.361957142857146</v>
      </c>
      <c r="X239" s="56" cm="1">
        <f t="array" ref="X239:Y239">LINEST(F215:F239,D215:D239)</f>
        <v>-6.9230769230769473</v>
      </c>
      <c r="Y239" s="56">
        <v>1.0990384615384641</v>
      </c>
      <c r="Z239" s="56" cm="1">
        <f t="array" ref="Z239:AA239">LINEST(F210:F239,D210:D239)</f>
        <v>1.6994883203559412</v>
      </c>
      <c r="AA239" s="56">
        <v>0.18863322209862915</v>
      </c>
      <c r="AB239" s="37" cm="1">
        <f t="array" ref="AB239:AC239">LINEST(G230:G239,D230:D239)</f>
        <v>-7.7672727272727329</v>
      </c>
      <c r="AC239" s="37">
        <v>1.2371878787878794</v>
      </c>
      <c r="AD239" s="37" cm="1">
        <f t="array" ref="AD239:AE239">LINEST(G225:G239,D225:D239)</f>
        <v>-8.8714285714285701</v>
      </c>
      <c r="AE239" s="37">
        <v>1.3633749999999998</v>
      </c>
      <c r="AF239" s="37" cm="1">
        <f t="array" ref="AF239:AG239">LINEST(G220:G239,D220:D239)</f>
        <v>1.1043609022556373</v>
      </c>
      <c r="AG239" s="37">
        <v>0.26265563909774453</v>
      </c>
      <c r="AH239" s="37" cm="1">
        <f t="array" ref="AH239:AI239">LINEST(G215:G239,D215:D239)</f>
        <v>4.270153846153848</v>
      </c>
      <c r="AI239" s="37">
        <v>-7.9166923076923357E-2</v>
      </c>
      <c r="AJ239" s="37" cm="1">
        <f t="array" ref="AJ239:AK239">LINEST(G210:G239,D210:D239)</f>
        <v>4.7588876529477195</v>
      </c>
      <c r="AK239" s="37">
        <v>-0.13099154616240272</v>
      </c>
    </row>
    <row r="240" spans="1:37" x14ac:dyDescent="0.25">
      <c r="A240" s="61">
        <v>502</v>
      </c>
      <c r="B240" s="14">
        <f t="shared" si="3"/>
        <v>234</v>
      </c>
      <c r="C240" s="15">
        <v>43981</v>
      </c>
      <c r="D240" s="16">
        <v>0.11902777777777777</v>
      </c>
      <c r="E240" s="36">
        <v>20.100000000000001</v>
      </c>
      <c r="F240" s="36">
        <v>0.18</v>
      </c>
      <c r="G240" s="36">
        <v>0.32</v>
      </c>
      <c r="H240" s="56" cm="1">
        <f t="array" ref="H240:I240">LINEST(E231:E240,D231:D240)</f>
        <v>5.0181818181819313</v>
      </c>
      <c r="I240" s="56">
        <v>19.503060606060593</v>
      </c>
      <c r="J240" s="56" cm="1">
        <f t="array" ref="J240:K240">LINEST(E226:E240,D226:D240)</f>
        <v>5.5542857142857054</v>
      </c>
      <c r="K240" s="56">
        <v>19.441552380952388</v>
      </c>
      <c r="L240" s="56" cm="1">
        <f t="array" ref="L240:M240">LINEST(E221:E240,D221:D240)</f>
        <v>1.3533834586466209</v>
      </c>
      <c r="M240" s="56">
        <v>19.907766917293227</v>
      </c>
      <c r="N240" s="56" cm="1">
        <f t="array" ref="N240:O240">LINEST(E216:E240,D216:D240)</f>
        <v>-0.80861538461539784</v>
      </c>
      <c r="O240" s="56">
        <v>20.14517076923077</v>
      </c>
      <c r="P240" s="56" cm="1">
        <f t="array" ref="P240:Q240">LINEST(E211:E240,D211:D240)</f>
        <v>-0.32676307007786254</v>
      </c>
      <c r="Q240" s="56">
        <v>20.093646570263257</v>
      </c>
      <c r="R240" s="56" cm="1">
        <f t="array" ref="R240:S240">LINEST(F231:F240,D231:D240)</f>
        <v>-21.512727272727364</v>
      </c>
      <c r="S240" s="56">
        <v>2.7071575757575856</v>
      </c>
      <c r="T240" s="56" cm="1">
        <f t="array" ref="T240:U240">LINEST(F226:F240,D226:D240)</f>
        <v>-15.814285714285752</v>
      </c>
      <c r="U240" s="56">
        <v>2.0199226190476232</v>
      </c>
      <c r="V240" s="56" cm="1">
        <f t="array" ref="V240:W240">LINEST(F221:F240,D221:D240)</f>
        <v>-20.576842105263186</v>
      </c>
      <c r="W240" s="56">
        <v>2.5812157894736867</v>
      </c>
      <c r="X240" s="56" cm="1">
        <f t="array" ref="X240:Y240">LINEST(F216:F240,D216:D240)</f>
        <v>-11.26523076923079</v>
      </c>
      <c r="Y240" s="56">
        <v>1.5603215384615408</v>
      </c>
      <c r="Z240" s="56" cm="1">
        <f t="array" ref="Z240:AA240">LINEST(F211:F240,D211:D240)</f>
        <v>-2.9552836484983462</v>
      </c>
      <c r="AA240" s="56">
        <v>0.66657804968483658</v>
      </c>
      <c r="AB240" s="37" cm="1">
        <f t="array" ref="AB240:AC240">LINEST(G231:G240,D231:D240)</f>
        <v>-8.9454545454545507</v>
      </c>
      <c r="AC240" s="37">
        <v>1.3738484848484853</v>
      </c>
      <c r="AD240" s="37" cm="1">
        <f t="array" ref="AD240:AE240">LINEST(G226:G240,D226:D240)</f>
        <v>-9.5142857142857213</v>
      </c>
      <c r="AE240" s="37">
        <v>1.4372976190476197</v>
      </c>
      <c r="AF240" s="37" cm="1">
        <f t="array" ref="AF240:AG240">LINEST(G221:G240,D221:D240)</f>
        <v>-0.60631578947368236</v>
      </c>
      <c r="AG240" s="37">
        <v>0.44416842105263138</v>
      </c>
      <c r="AH240" s="37" cm="1">
        <f t="array" ref="AH240:AI240">LINEST(G216:G240,D216:D240)</f>
        <v>3.0350769230769257</v>
      </c>
      <c r="AI240" s="37">
        <v>4.5726153846153528E-2</v>
      </c>
      <c r="AJ240" s="37" cm="1">
        <f t="array" ref="AJ240:AK240">LINEST(G211:G240,D211:D240)</f>
        <v>4.137397107897665</v>
      </c>
      <c r="AK240" s="37">
        <v>-7.2809269558769096E-2</v>
      </c>
    </row>
    <row r="241" spans="1:38" x14ac:dyDescent="0.25">
      <c r="A241" s="61">
        <v>502</v>
      </c>
      <c r="B241" s="14">
        <f t="shared" si="3"/>
        <v>235</v>
      </c>
      <c r="C241" s="15">
        <v>43981</v>
      </c>
      <c r="D241" s="16">
        <v>0.12041666666666667</v>
      </c>
      <c r="E241" s="36">
        <v>20.059999999999999</v>
      </c>
      <c r="F241" s="36">
        <v>-1.27</v>
      </c>
      <c r="G241" s="36">
        <v>0.2</v>
      </c>
      <c r="H241" s="56" cm="1">
        <f t="array" ref="H241:I241">LINEST(E232:E241,D232:D241)</f>
        <v>3.7527272727273875</v>
      </c>
      <c r="I241" s="56">
        <v>19.641563636363625</v>
      </c>
      <c r="J241" s="56" cm="1">
        <f t="array" ref="J241:K241">LINEST(E227:E241,D227:D241)</f>
        <v>4.7571428571428225</v>
      </c>
      <c r="K241" s="56">
        <v>19.52607738095239</v>
      </c>
      <c r="L241" s="56" cm="1">
        <f t="array" ref="L241:M241">LINEST(E222:E241,D222:D241)</f>
        <v>2.3440601503759209</v>
      </c>
      <c r="M241" s="56">
        <v>19.796164661654135</v>
      </c>
      <c r="N241" s="56" cm="1">
        <f t="array" ref="N241:O241">LINEST(E217:E241,D217:D241)</f>
        <v>-0.76984615384617539</v>
      </c>
      <c r="O241" s="56">
        <v>20.141871538461537</v>
      </c>
      <c r="P241" s="56" cm="1">
        <f t="array" ref="P241:Q241">LINEST(E212:E241,D212:D241)</f>
        <v>-0.38923248053392662</v>
      </c>
      <c r="Q241" s="56">
        <v>20.100698034853536</v>
      </c>
      <c r="R241" s="56" cm="1">
        <f t="array" ref="R241:S241">LINEST(F232:F241,D232:D241)</f>
        <v>-37.352727272727364</v>
      </c>
      <c r="S241" s="56">
        <v>4.2964363636363734</v>
      </c>
      <c r="T241" s="56" cm="1">
        <f t="array" ref="T241:U241">LINEST(F227:F241,D227:D241)</f>
        <v>-23.580000000000087</v>
      </c>
      <c r="U241" s="56">
        <v>2.7315083333333425</v>
      </c>
      <c r="V241" s="56" cm="1">
        <f t="array" ref="V241:W241">LINEST(F222:F241,D222:D241)</f>
        <v>-42.263458646616556</v>
      </c>
      <c r="W241" s="56">
        <v>4.8710819548872193</v>
      </c>
      <c r="X241" s="56" cm="1">
        <f t="array" ref="X241:Y241">LINEST(F217:F241,D217:D241)</f>
        <v>-23.904000000000018</v>
      </c>
      <c r="Y241" s="56">
        <v>2.8284400000000023</v>
      </c>
      <c r="Z241" s="56" cm="1">
        <f t="array" ref="Z241:AA241">LINEST(F212:F241,D212:D241)</f>
        <v>-9.2246496106785383</v>
      </c>
      <c r="AA241" s="56">
        <v>1.2353606970708206</v>
      </c>
      <c r="AB241" s="37" cm="1">
        <f t="array" ref="AB241:AC241">LINEST(G232:G241,D232:D241)</f>
        <v>-10.865454545454542</v>
      </c>
      <c r="AC241" s="37">
        <v>1.5794727272727265</v>
      </c>
      <c r="AD241" s="37" cm="1">
        <f t="array" ref="AD241:AE241">LINEST(G227:G241,D227:D241)</f>
        <v>-10.542857142857152</v>
      </c>
      <c r="AE241" s="37">
        <v>1.5430357142857152</v>
      </c>
      <c r="AF241" s="37" cm="1">
        <f t="array" ref="AF241:AG241">LINEST(G222:G241,D222:D241)</f>
        <v>-3.8219548872180447</v>
      </c>
      <c r="AG241" s="37">
        <v>0.7867984962406015</v>
      </c>
      <c r="AH241" s="37" cm="1">
        <f t="array" ref="AH241:AI241">LINEST(G217:G241,D217:D241)</f>
        <v>0.94153846153845855</v>
      </c>
      <c r="AI241" s="37">
        <v>0.25831538461538484</v>
      </c>
      <c r="AJ241" s="37" cm="1">
        <f t="array" ref="AJ241:AK241">LINEST(G212:G241,D212:D241)</f>
        <v>3.125072302558396</v>
      </c>
      <c r="AK241" s="37">
        <v>2.0958027437894045E-2</v>
      </c>
    </row>
    <row r="242" spans="1:38" x14ac:dyDescent="0.25">
      <c r="A242" s="61">
        <v>502</v>
      </c>
      <c r="B242" s="14">
        <f t="shared" si="3"/>
        <v>236</v>
      </c>
      <c r="C242" s="15">
        <v>43981</v>
      </c>
      <c r="D242" s="16">
        <v>0.12181712962962964</v>
      </c>
      <c r="E242" s="36">
        <v>20.12</v>
      </c>
      <c r="F242" s="36">
        <v>1.73</v>
      </c>
      <c r="G242" s="36">
        <v>0.32</v>
      </c>
      <c r="H242" s="56" cm="1">
        <f t="array" ref="H242:I242">LINEST(E233:E242,D233:D242)</f>
        <v>4.275528099055478</v>
      </c>
      <c r="I242" s="56">
        <v>19.583934026692361</v>
      </c>
      <c r="J242" s="56" cm="1">
        <f t="array" ref="J242:K242">LINEST(E228:E242,D228:D242)</f>
        <v>4.4736635093960615</v>
      </c>
      <c r="K242" s="56">
        <v>19.560573429754335</v>
      </c>
      <c r="L242" s="56" cm="1">
        <f t="array" ref="L242:M242">LINEST(E223:E242,D223:D242)</f>
        <v>4.0273685227410079</v>
      </c>
      <c r="M242" s="56">
        <v>19.609580699238105</v>
      </c>
      <c r="N242" s="56" cm="1">
        <f t="array" ref="N242:O242">LINEST(E218:E242,D218:D242)</f>
        <v>-0.11048822691441698</v>
      </c>
      <c r="O242" s="56">
        <v>20.074416660565042</v>
      </c>
      <c r="P242" s="56" cm="1">
        <f t="array" ref="P242:Q242">LINEST(E213:E242,D213:D242)</f>
        <v>-0.22567806272976804</v>
      </c>
      <c r="Q242" s="56">
        <v>20.08727735677801</v>
      </c>
      <c r="R242" s="56" cm="1">
        <f t="array" ref="R242:S242">LINEST(F233:F242,D233:D242)</f>
        <v>8.6964511834306872</v>
      </c>
      <c r="S242" s="56">
        <v>-0.75993331320011925</v>
      </c>
      <c r="T242" s="56" cm="1">
        <f t="array" ref="T242:U242">LINEST(F228:F242,D228:D242)</f>
        <v>-7.576998306294759</v>
      </c>
      <c r="U242" s="56">
        <v>1.1199277399465144</v>
      </c>
      <c r="V242" s="56" cm="1">
        <f t="array" ref="V242:W242">LINEST(F223:F242,D223:D242)</f>
        <v>-33.506336270079878</v>
      </c>
      <c r="W242" s="56">
        <v>4.0726798017967951</v>
      </c>
      <c r="X242" s="56" cm="1">
        <f t="array" ref="X242:Y242">LINEST(F218:F242,D218:D242)</f>
        <v>-10.238341883897782</v>
      </c>
      <c r="Y242" s="56">
        <v>1.4552526297106807</v>
      </c>
      <c r="Z242" s="56" cm="1">
        <f t="array" ref="Z242:AA242">LINEST(F213:F242,D213:D242)</f>
        <v>-5.2096154215292243</v>
      </c>
      <c r="AA242" s="56">
        <v>0.90464624440463093</v>
      </c>
      <c r="AB242" s="37" cm="1">
        <f t="array" ref="AB242:AC242">LINEST(G233:G242,D233:D242)</f>
        <v>-9.1561783559049665</v>
      </c>
      <c r="AC242" s="37">
        <v>1.3900578741110041</v>
      </c>
      <c r="AD242" s="37" cm="1">
        <f t="array" ref="AD242:AE242">LINEST(G228:G242,D228:D242)</f>
        <v>-10.231048980340772</v>
      </c>
      <c r="AE242" s="37">
        <v>1.5147379675411115</v>
      </c>
      <c r="AF242" s="37" cm="1">
        <f t="array" ref="AF242:AG242">LINEST(G223:G242,D223:D242)</f>
        <v>-6.0785055172139186</v>
      </c>
      <c r="AG242" s="37">
        <v>1.0416967557732786</v>
      </c>
      <c r="AH242" s="37" cm="1">
        <f t="array" ref="AH242:AI242">LINEST(G218:G242,D218:D242)</f>
        <v>8.2888782090508553E-2</v>
      </c>
      <c r="AI242" s="37">
        <v>0.34928512717521454</v>
      </c>
      <c r="AJ242" s="37" cm="1">
        <f t="array" ref="AJ242:AK242">LINEST(G213:G242,D213:D242)</f>
        <v>2.4904524909743531</v>
      </c>
      <c r="AK242" s="37">
        <v>8.4469702594887064E-2</v>
      </c>
    </row>
    <row r="243" spans="1:38" x14ac:dyDescent="0.25">
      <c r="A243" s="61">
        <v>502</v>
      </c>
      <c r="B243" s="14">
        <f t="shared" si="3"/>
        <v>237</v>
      </c>
      <c r="C243" s="15">
        <v>43981</v>
      </c>
      <c r="D243" s="16">
        <v>0.12319444444444444</v>
      </c>
      <c r="E243" s="36">
        <v>20.12</v>
      </c>
      <c r="F243" s="36">
        <v>0.02</v>
      </c>
      <c r="G243" s="36">
        <v>0.28999999999999998</v>
      </c>
      <c r="H243" s="56" cm="1">
        <f t="array" ref="H243:I243">LINEST(E234:E243,D234:D243)</f>
        <v>5.0608541479353351</v>
      </c>
      <c r="I243" s="56">
        <v>19.492155365785262</v>
      </c>
      <c r="J243" s="56" cm="1">
        <f t="array" ref="J243:K243">LINEST(E229:E243,D229:D243)</f>
        <v>4.8593776688337975</v>
      </c>
      <c r="K243" s="56">
        <v>19.51659186778058</v>
      </c>
      <c r="L243" s="56" cm="1">
        <f t="array" ref="L243:M243">LINEST(E224:E243,D224:D243)</f>
        <v>6.1762069622389824</v>
      </c>
      <c r="M243" s="56">
        <v>19.365113659959871</v>
      </c>
      <c r="N243" s="56" cm="1">
        <f t="array" ref="N243:O243">LINEST(E219:E243,D219:D243)</f>
        <v>0.68139863960731251</v>
      </c>
      <c r="O243" s="56">
        <v>19.990211801679497</v>
      </c>
      <c r="P243" s="56" cm="1">
        <f t="array" ref="P243:Q243">LINEST(E214:E243,D214:D243)</f>
        <v>6.1005681702488643E-2</v>
      </c>
      <c r="Q243" s="56">
        <v>20.059713002043953</v>
      </c>
      <c r="R243" s="56" cm="1">
        <f t="array" ref="R243:S243">LINEST(F234:F243,D234:D243)</f>
        <v>26.01518571576722</v>
      </c>
      <c r="S243" s="56">
        <v>-2.8743615508180964</v>
      </c>
      <c r="T243" s="56" cm="1">
        <f t="array" ref="T243:U243">LINEST(F229:F243,D229:D243)</f>
        <v>10.932178834105105</v>
      </c>
      <c r="U243" s="56">
        <v>-1.0611737280264895</v>
      </c>
      <c r="V243" s="56" cm="1">
        <f t="array" ref="V243:W243">LINEST(F224:F243,D224:D243)</f>
        <v>-28.137526306984526</v>
      </c>
      <c r="W243" s="56">
        <v>3.4656441770589845</v>
      </c>
      <c r="X243" s="56" cm="1">
        <f t="array" ref="X243:Y243">LINEST(F219:F243,D219:D243)</f>
        <v>-12.182121383798641</v>
      </c>
      <c r="Y243" s="56">
        <v>1.6597399595062277</v>
      </c>
      <c r="Z243" s="56" cm="1">
        <f t="array" ref="Z243:AA243">LINEST(F214:F243,D214:D243)</f>
        <v>-5.0958759002617073</v>
      </c>
      <c r="AA243" s="56">
        <v>0.8764936212784753</v>
      </c>
      <c r="AB243" s="37" cm="1">
        <f t="array" ref="AB243:AC243">LINEST(G234:G243,D234:D243)</f>
        <v>-6.5843575872936482</v>
      </c>
      <c r="AC243" s="37">
        <v>1.0890116608538627</v>
      </c>
      <c r="AD243" s="37" cm="1">
        <f t="array" ref="AD243:AE243">LINEST(G229:G243,D229:D243)</f>
        <v>-8.714742717442217</v>
      </c>
      <c r="AE243" s="37">
        <v>1.3422212799149456</v>
      </c>
      <c r="AF243" s="37" cm="1">
        <f t="array" ref="AF243:AG243">LINEST(G224:G243,D224:D243)</f>
        <v>-7.8322600197277321</v>
      </c>
      <c r="AG243" s="37">
        <v>1.2420531347279322</v>
      </c>
      <c r="AH243" s="37" cm="1">
        <f t="array" ref="AH243:AI243">LINEST(G219:G243,D219:D243)</f>
        <v>-0.93050749609632144</v>
      </c>
      <c r="AI243" s="37">
        <v>0.45752532655521272</v>
      </c>
      <c r="AJ243" s="37" cm="1">
        <f t="array" ref="AJ243:AK243">LINEST(G214:G243,D214:D243)</f>
        <v>1.8834545478492208</v>
      </c>
      <c r="AK243" s="37">
        <v>0.14456548523301238</v>
      </c>
    </row>
    <row r="244" spans="1:38" x14ac:dyDescent="0.25">
      <c r="A244" s="61">
        <v>502</v>
      </c>
      <c r="B244" s="14">
        <f t="shared" si="3"/>
        <v>238</v>
      </c>
      <c r="C244" s="15">
        <v>43981</v>
      </c>
      <c r="D244" s="16">
        <v>0.12458333333333334</v>
      </c>
      <c r="E244" s="36">
        <v>20.13</v>
      </c>
      <c r="F244" s="36">
        <v>0.45</v>
      </c>
      <c r="G244" s="36">
        <v>0.3</v>
      </c>
      <c r="H244" s="56" cm="1">
        <f t="array" ref="H244:I244">LINEST(E235:E244,D235:D244)</f>
        <v>3.7962616383683612</v>
      </c>
      <c r="I244" s="56">
        <v>19.645771312305072</v>
      </c>
      <c r="J244" s="56" cm="1">
        <f t="array" ref="J244:K244">LINEST(E230:E244,D230:D244)</f>
        <v>4.9880428802175327</v>
      </c>
      <c r="K244" s="56">
        <v>19.502397337043163</v>
      </c>
      <c r="L244" s="56" cm="1">
        <f t="array" ref="L244:M244">LINEST(E225:E244,D225:D244)</f>
        <v>5.2994258979666968</v>
      </c>
      <c r="M244" s="56">
        <v>19.466199770679093</v>
      </c>
      <c r="N244" s="56" cm="1">
        <f t="array" ref="N244:O244">LINEST(E220:E244,D220:D244)</f>
        <v>1.5397569778358253</v>
      </c>
      <c r="O244" s="56">
        <v>19.897033846624762</v>
      </c>
      <c r="P244" s="56" cm="1">
        <f t="array" ref="P244:Q244">LINEST(E215:E244,D215:D244)</f>
        <v>0.3284723231215933</v>
      </c>
      <c r="Q244" s="56">
        <v>20.034026097304086</v>
      </c>
      <c r="R244" s="56" cm="1">
        <f t="array" ref="R244:S244">LINEST(F235:F244,D235:D244)</f>
        <v>-37.669819028405634</v>
      </c>
      <c r="S244" s="56">
        <v>4.8096388510222461</v>
      </c>
      <c r="T244" s="56" cm="1">
        <f t="array" ref="T244:U244">LINEST(F230:F244,D230:D244)</f>
        <v>5.1220029801308424</v>
      </c>
      <c r="U244" s="56">
        <v>-0.35632290557504409</v>
      </c>
      <c r="V244" s="56" cm="1">
        <f t="array" ref="V244:W244">LINEST(F225:F244,D225:D244)</f>
        <v>-16.982661724662389</v>
      </c>
      <c r="W244" s="56">
        <v>2.2206896478152434</v>
      </c>
      <c r="X244" s="56" cm="1">
        <f t="array" ref="X244:Y244">LINEST(F220:F244,D220:D244)</f>
        <v>-13.915669380045165</v>
      </c>
      <c r="Y244" s="56">
        <v>1.880139096369402</v>
      </c>
      <c r="Z244" s="56" cm="1">
        <f t="array" ref="Z244:AA244">LINEST(F215:F244,D215:D244)</f>
        <v>-6.9778811151702431</v>
      </c>
      <c r="AA244" s="56">
        <v>1.0991369418904338</v>
      </c>
      <c r="AB244" s="37" cm="1">
        <f t="array" ref="AB244:AC244">LINEST(G235:G244,D235:D244)</f>
        <v>-9.2026906592448334</v>
      </c>
      <c r="AC244" s="37">
        <v>1.409995712606309</v>
      </c>
      <c r="AD244" s="37" cm="1">
        <f t="array" ref="AD244:AE244">LINEST(G230:G244,D230:D244)</f>
        <v>-7.6867819165105162</v>
      </c>
      <c r="AE244" s="37">
        <v>1.2262515762914132</v>
      </c>
      <c r="AF244" s="37" cm="1">
        <f t="array" ref="AF244:AG244">LINEST(G225:G244,D225:D244)</f>
        <v>-8.5522803018786888</v>
      </c>
      <c r="AG244" s="37">
        <v>1.3286339495288839</v>
      </c>
      <c r="AH244" s="37" cm="1">
        <f t="array" ref="AH244:AI244">LINEST(G220:G244,D220:D244)</f>
        <v>-1.9550089498777616</v>
      </c>
      <c r="AI244" s="37">
        <v>0.57057895427104455</v>
      </c>
      <c r="AJ244" s="37" cm="1">
        <f t="array" ref="AJ244:AK244">LINEST(G215:G244,D215:D244)</f>
        <v>1.1643298567825593</v>
      </c>
      <c r="AK244" s="37">
        <v>0.21939176575693237</v>
      </c>
    </row>
    <row r="245" spans="1:38" x14ac:dyDescent="0.25">
      <c r="A245" s="61">
        <v>502</v>
      </c>
      <c r="B245" s="14">
        <f t="shared" si="3"/>
        <v>239</v>
      </c>
      <c r="C245" s="15">
        <v>43981</v>
      </c>
      <c r="D245" s="16">
        <v>0.12597222222222224</v>
      </c>
      <c r="E245" s="36">
        <v>20.16</v>
      </c>
      <c r="F245" s="36">
        <v>0.68</v>
      </c>
      <c r="G245" s="36">
        <v>0.33</v>
      </c>
      <c r="H245" s="56" cm="1">
        <f t="array" ref="H245:I245">LINEST(E236:E245,D236:D245)</f>
        <v>5.6286173669968669</v>
      </c>
      <c r="I245" s="56">
        <v>19.42912290618111</v>
      </c>
      <c r="J245" s="56" cm="1">
        <f t="array" ref="J245:K245">LINEST(E231:E245,D231:D245)</f>
        <v>5.1680825935433088</v>
      </c>
      <c r="K245" s="56">
        <v>19.484539744115875</v>
      </c>
      <c r="L245" s="56" cm="1">
        <f t="array" ref="L245:M245">LINEST(E226:E245,D226:D245)</f>
        <v>5.3806627667558669</v>
      </c>
      <c r="M245" s="56">
        <v>19.459177696384177</v>
      </c>
      <c r="N245" s="56" cm="1">
        <f t="array" ref="N245:O245">LINEST(E221:E245,D221:D245)</f>
        <v>2.6639491000295337</v>
      </c>
      <c r="O245" s="56">
        <v>19.77321433033978</v>
      </c>
      <c r="P245" s="56" cm="1">
        <f t="array" ref="P245:Q245">LINEST(E216:E245,D216:D245)</f>
        <v>0.71286020939079076</v>
      </c>
      <c r="Q245" s="56">
        <v>19.996222019482911</v>
      </c>
      <c r="R245" s="56" cm="1">
        <f t="array" ref="R245:S245">LINEST(F236:F245,D236:D245)</f>
        <v>56.689323925080295</v>
      </c>
      <c r="S245" s="56">
        <v>-6.5720374492294331</v>
      </c>
      <c r="T245" s="56" cm="1">
        <f t="array" ref="T245:U245">LINEST(F231:F245,D231:D245)</f>
        <v>3.0643125495851389</v>
      </c>
      <c r="U245" s="56">
        <v>-6.1562031661301253E-2</v>
      </c>
      <c r="V245" s="56" cm="1">
        <f t="array" ref="V245:W245">LINEST(F226:F245,D226:D245)</f>
        <v>-2.5635129578580282</v>
      </c>
      <c r="W245" s="56">
        <v>0.58810877820620955</v>
      </c>
      <c r="X245" s="56" cm="1">
        <f t="array" ref="X245:Y245">LINEST(F221:F245,D221:D245)</f>
        <v>-11.324187551478044</v>
      </c>
      <c r="Y245" s="56">
        <v>1.6250018542090361</v>
      </c>
      <c r="Z245" s="56" cm="1">
        <f t="array" ref="Z245:AA245">LINEST(F216:F245,D216:D245)</f>
        <v>-7.378404142630977</v>
      </c>
      <c r="AA245" s="56">
        <v>1.1738839517016484</v>
      </c>
      <c r="AB245" s="37" cm="1">
        <f t="array" ref="AB245:AC245">LINEST(G236:G245,D236:D245)</f>
        <v>-4.099990836117211</v>
      </c>
      <c r="AC245" s="37">
        <v>0.80286475935046342</v>
      </c>
      <c r="AD245" s="37" cm="1">
        <f t="array" ref="AD245:AE245">LINEST(G231:G245,D231:D245)</f>
        <v>-6.9673252145231093</v>
      </c>
      <c r="AE245" s="37">
        <v>1.1492902655441866</v>
      </c>
      <c r="AF245" s="37" cm="1">
        <f t="array" ref="AF245:AG245">LINEST(G226:G245,D226:D245)</f>
        <v>-8.1843801787552177</v>
      </c>
      <c r="AG245" s="37">
        <v>1.2930209453796269</v>
      </c>
      <c r="AH245" s="37" cm="1">
        <f t="array" ref="AH245:AI245">LINEST(G221:G245,D221:D245)</f>
        <v>-2.7248005371277406</v>
      </c>
      <c r="AI245" s="37">
        <v>0.65943709797055405</v>
      </c>
      <c r="AJ245" s="37" cm="1">
        <f t="array" ref="AJ245:AK245">LINEST(G216:G245,D216:D245)</f>
        <v>0.46280812638085533</v>
      </c>
      <c r="AK245" s="37">
        <v>0.29601929473884153</v>
      </c>
    </row>
    <row r="246" spans="1:38" x14ac:dyDescent="0.25">
      <c r="A246" s="61">
        <v>502</v>
      </c>
      <c r="B246" s="14">
        <f t="shared" si="3"/>
        <v>240</v>
      </c>
      <c r="C246" s="15">
        <v>43981</v>
      </c>
      <c r="D246" s="16">
        <v>0.12736111111111112</v>
      </c>
      <c r="E246" s="36">
        <v>20.12</v>
      </c>
      <c r="F246" s="36">
        <v>-1.22</v>
      </c>
      <c r="G246" s="36">
        <v>0.21</v>
      </c>
      <c r="H246" s="56" cm="1">
        <f t="array" ref="H246:I246">LINEST(E237:E246,D237:D246)</f>
        <v>5.6731681094070963</v>
      </c>
      <c r="I246" s="56">
        <v>19.418909740582794</v>
      </c>
      <c r="J246" s="56" cm="1">
        <f t="array" ref="J246:K246">LINEST(E232:E246,D232:D246)</f>
        <v>5.0654514254016343</v>
      </c>
      <c r="K246" s="56">
        <v>19.494102014067778</v>
      </c>
      <c r="L246" s="56" cm="1">
        <f t="array" ref="L246:M246">LINEST(E227:E246,D227:D246)</f>
        <v>5.1858831357217952</v>
      </c>
      <c r="M246" s="56">
        <v>19.47994200758199</v>
      </c>
      <c r="N246" s="56" cm="1">
        <f t="array" ref="N246:O246">LINEST(E222:E246,D222:D246)</f>
        <v>3.5057448720262112</v>
      </c>
      <c r="O246" s="56">
        <v>19.675931895997063</v>
      </c>
      <c r="P246" s="56" cm="1">
        <f t="array" ref="P246:Q246">LINEST(E217:E246,D217:D246)</f>
        <v>0.9290844706778747</v>
      </c>
      <c r="Q246" s="56">
        <v>19.973714473312008</v>
      </c>
      <c r="R246" s="56" cm="1">
        <f t="array" ref="R246:S246">LINEST(F237:F246,D237:D246)</f>
        <v>-5.6397169681974608</v>
      </c>
      <c r="S246" s="56">
        <v>0.7670389158207761</v>
      </c>
      <c r="T246" s="56" cm="1">
        <f t="array" ref="T246:U246">LINEST(F232:F246,D232:D246)</f>
        <v>-5.1591203914035946</v>
      </c>
      <c r="U246" s="56">
        <v>0.73891717129149936</v>
      </c>
      <c r="V246" s="56" cm="1">
        <f t="array" ref="V246:W246">LINEST(F227:F246,D227:D246)</f>
        <v>-7.0334117392192095</v>
      </c>
      <c r="W246" s="56">
        <v>0.9769852438222828</v>
      </c>
      <c r="X246" s="56" cm="1">
        <f t="array" ref="X246:Y246">LINEST(F222:F246,D222:D246)</f>
        <v>-24.720269473886312</v>
      </c>
      <c r="Y246" s="56">
        <v>3.0744079404980056</v>
      </c>
      <c r="Z246" s="56" cm="1">
        <f t="array" ref="Z246:AA246">LINEST(F217:F246,D217:D246)</f>
        <v>-15.828664258590603</v>
      </c>
      <c r="AA246" s="56">
        <v>2.0428573300199693</v>
      </c>
      <c r="AB246" s="37" cm="1">
        <f t="array" ref="AB246:AC246">LINEST(G237:G246,D237:D246)</f>
        <v>-4.3613016150124126</v>
      </c>
      <c r="AC246" s="37">
        <v>0.82220713228763187</v>
      </c>
      <c r="AD246" s="37" cm="1">
        <f t="array" ref="AD246:AE246">LINEST(G232:G246,D232:D246)</f>
        <v>-6.8131246506287679</v>
      </c>
      <c r="AE246" s="37">
        <v>1.1241603374687594</v>
      </c>
      <c r="AF246" s="37" cm="1">
        <f t="array" ref="AF246:AG246">LINEST(G227:G246,D227:D246)</f>
        <v>-8.1249047835240393</v>
      </c>
      <c r="AG246" s="37">
        <v>1.2820979980314848</v>
      </c>
      <c r="AH246" s="37" cm="1">
        <f t="array" ref="AH246:AI246">LINEST(G222:G246,D222:D246)</f>
        <v>-4.4637247224015617</v>
      </c>
      <c r="AI246" s="37">
        <v>0.85371159483839643</v>
      </c>
      <c r="AJ246" s="37" cm="1">
        <f t="array" ref="AJ246:AK246">LINEST(G217:G246,D217:D246)</f>
        <v>-0.83452898838950407</v>
      </c>
      <c r="AK246" s="37">
        <v>0.43448037460733002</v>
      </c>
    </row>
    <row r="247" spans="1:38" x14ac:dyDescent="0.25">
      <c r="A247" s="61">
        <v>502</v>
      </c>
      <c r="B247" s="14">
        <f t="shared" si="3"/>
        <v>241</v>
      </c>
      <c r="C247" s="15">
        <v>43981</v>
      </c>
      <c r="D247" s="16">
        <v>0.12875</v>
      </c>
      <c r="E247" s="36">
        <v>20.13</v>
      </c>
      <c r="F247" s="36">
        <v>0.47</v>
      </c>
      <c r="G247" s="36">
        <v>0.23</v>
      </c>
      <c r="H247" s="56" cm="1">
        <f t="array" ref="H247:I247">LINEST(E238:E247,D238:D247)</f>
        <v>4.4082237537449371</v>
      </c>
      <c r="I247" s="56">
        <v>19.572987488055418</v>
      </c>
      <c r="J247" s="56" cm="1">
        <f t="array" ref="J247:K247">LINEST(E233:E247,D233:D247)</f>
        <v>4.7570897214740828</v>
      </c>
      <c r="K247" s="56">
        <v>19.529770511169513</v>
      </c>
      <c r="L247" s="56" cm="1">
        <f t="array" ref="L247:M247">LINEST(E228:E247,D228:D247)</f>
        <v>4.736672837666676</v>
      </c>
      <c r="M247" s="56">
        <v>19.532148397628408</v>
      </c>
      <c r="N247" s="56" cm="1">
        <f t="array" ref="N247:O247">LINEST(E223:E247,D223:D247)</f>
        <v>4.4195539159534816</v>
      </c>
      <c r="O247" s="56">
        <v>19.568639619163772</v>
      </c>
      <c r="P247" s="56" cm="1">
        <f t="array" ref="P247:Q247">LINEST(E218:E247,D218:D247)</f>
        <v>1.3247004079386377</v>
      </c>
      <c r="Q247" s="56">
        <v>19.930455639065087</v>
      </c>
      <c r="R247" s="56" cm="1">
        <f t="array" ref="R247:S247">LINEST(F238:F247,D238:D247)</f>
        <v>-33.405676276131651</v>
      </c>
      <c r="S247" s="56">
        <v>4.3042340078032977</v>
      </c>
      <c r="T247" s="56" cm="1">
        <f t="array" ref="T247:U247">LINEST(F233:F247,D233:D247)</f>
        <v>-10.02009052690047</v>
      </c>
      <c r="U247" s="56">
        <v>1.3826768401004572</v>
      </c>
      <c r="V247" s="56" cm="1">
        <f t="array" ref="V247:W247">LINEST(F228:F247,D228:D247)</f>
        <v>-11.764924593229029</v>
      </c>
      <c r="W247" s="56">
        <v>1.5825092058452344</v>
      </c>
      <c r="X247" s="56" cm="1">
        <f t="array" ref="X247:Y247">LINEST(F223:F247,D223:D247)</f>
        <v>-27.356771809874914</v>
      </c>
      <c r="Y247" s="56">
        <v>3.4290508388622811</v>
      </c>
      <c r="Z247" s="56" cm="1">
        <f t="array" ref="Z247:AA247">LINEST(F218:F247,D218:D247)</f>
        <v>-12.151310000832156</v>
      </c>
      <c r="AA247" s="56">
        <v>1.6487719686513387</v>
      </c>
      <c r="AB247" s="37" cm="1">
        <f t="array" ref="AB247:AC247">LINEST(G238:G247,D238:D247)</f>
        <v>-6.5873513076942274</v>
      </c>
      <c r="AC247" s="37">
        <v>1.0939581594417414</v>
      </c>
      <c r="AD247" s="37" cm="1">
        <f t="array" ref="AD247:AE247">LINEST(G233:G247,D233:D247)</f>
        <v>-7.0961250091630896</v>
      </c>
      <c r="AE247" s="37">
        <v>1.1566414660790949</v>
      </c>
      <c r="AF247" s="37" cm="1">
        <f t="array" ref="AF247:AG247">LINEST(G228:G247,D228:D247)</f>
        <v>-8.4335502666916451</v>
      </c>
      <c r="AG247" s="37">
        <v>1.3185484669000314</v>
      </c>
      <c r="AH247" s="37" cm="1">
        <f t="array" ref="AH247:AI247">LINEST(G223:G247,D223:D247)</f>
        <v>-6.2580823639887484</v>
      </c>
      <c r="AI247" s="37">
        <v>1.0610296288907595</v>
      </c>
      <c r="AJ247" s="37" cm="1">
        <f t="array" ref="AJ247:AK247">LINEST(G218:G247,D218:D247)</f>
        <v>-1.7410750669202877</v>
      </c>
      <c r="AK247" s="37">
        <v>0.53276743592379106</v>
      </c>
    </row>
    <row r="248" spans="1:38" x14ac:dyDescent="0.25">
      <c r="A248" s="61">
        <v>502</v>
      </c>
      <c r="B248" s="14">
        <f t="shared" si="3"/>
        <v>242</v>
      </c>
      <c r="C248" s="15">
        <v>43981</v>
      </c>
      <c r="D248" s="16">
        <v>0.13013888888888889</v>
      </c>
      <c r="E248" s="36">
        <v>20.149999999999999</v>
      </c>
      <c r="F248" s="36">
        <v>0.64</v>
      </c>
      <c r="G248" s="36">
        <v>0.27</v>
      </c>
      <c r="H248" s="56" cm="1">
        <f t="array" ref="H248:I248">LINEST(E239:E248,D239:D248)</f>
        <v>4.7578745393492365</v>
      </c>
      <c r="I248" s="56">
        <v>19.529546703048055</v>
      </c>
      <c r="J248" s="56" cm="1">
        <f t="array" ref="J248:K248">LINEST(E234:E248,D234:D248)</f>
        <v>4.9886590440842467</v>
      </c>
      <c r="K248" s="56">
        <v>19.501278457500899</v>
      </c>
      <c r="L248" s="56" cm="1">
        <f t="array" ref="L248:M248">LINEST(E229:E248,D229:D248)</f>
        <v>4.8991291642992083</v>
      </c>
      <c r="M248" s="56">
        <v>19.512571226475263</v>
      </c>
      <c r="N248" s="56" cm="1">
        <f t="array" ref="N248:O248">LINEST(E224:E248,D224:D248)</f>
        <v>5.7542807602348027</v>
      </c>
      <c r="O248" s="56">
        <v>19.410246310826711</v>
      </c>
      <c r="P248" s="56" cm="1">
        <f t="array" ref="P248:Q248">LINEST(E219:E248,D219:D248)</f>
        <v>1.9029135896920559</v>
      </c>
      <c r="Q248" s="56">
        <v>19.866012104318447</v>
      </c>
      <c r="R248" s="56" cm="1">
        <f t="array" ref="R248:S248">LINEST(F239:F248,D239:D248)</f>
        <v>15.476823676247578</v>
      </c>
      <c r="S248" s="56">
        <v>-1.7294244017699272</v>
      </c>
      <c r="T248" s="56" cm="1">
        <f t="array" ref="T248:U248">LINEST(F234:F248,D234:D248)</f>
        <v>10.421162994658316</v>
      </c>
      <c r="U248" s="56">
        <v>-1.074889751627601</v>
      </c>
      <c r="V248" s="56" cm="1">
        <f t="array" ref="V248:W248">LINEST(F229:F248,D229:D248)</f>
        <v>5.7896674999076607</v>
      </c>
      <c r="W248" s="56">
        <v>-0.49157279979678226</v>
      </c>
      <c r="X248" s="56" cm="1">
        <f t="array" ref="X248:Y248">LINEST(F224:F248,D224:D248)</f>
        <v>-18.911500607055846</v>
      </c>
      <c r="Y248" s="56">
        <v>2.4831387547638868</v>
      </c>
      <c r="Z248" s="56" cm="1">
        <f t="array" ref="Z248:AA248">LINEST(F219:F248,D219:D248)</f>
        <v>-10.155726180366774</v>
      </c>
      <c r="AA248" s="56">
        <v>1.452800464611248</v>
      </c>
      <c r="AB248" s="37" cm="1">
        <f t="array" ref="AB248:AC248">LINEST(G239:G248,D239:D248)</f>
        <v>-4.7112422618655154</v>
      </c>
      <c r="AC248" s="37">
        <v>0.86367602193558646</v>
      </c>
      <c r="AD248" s="37" cm="1">
        <f t="array" ref="AD248:AE248">LINEST(G234:G248,D234:D248)</f>
        <v>-5.6307063926437992</v>
      </c>
      <c r="AE248" s="37">
        <v>0.980035239461716</v>
      </c>
      <c r="AF248" s="37" cm="1">
        <f t="array" ref="AF248:AG248">LINEST(G229:G248,D229:D248)</f>
        <v>-7.307737192816175</v>
      </c>
      <c r="AG248" s="37">
        <v>1.1866034951744706</v>
      </c>
      <c r="AH248" s="37" cm="1">
        <f t="array" ref="AH248:AI248">LINEST(G224:G248,D224:D248)</f>
        <v>-7.2106972688922744</v>
      </c>
      <c r="AI248" s="37">
        <v>1.1762171811586877</v>
      </c>
      <c r="AJ248" s="37" cm="1">
        <f t="array" ref="AJ248:AK248">LINEST(G219:G248,D219:D248)</f>
        <v>-2.3993770532509435</v>
      </c>
      <c r="AK248" s="37">
        <v>0.60726573487652868</v>
      </c>
    </row>
    <row r="249" spans="1:38" x14ac:dyDescent="0.25">
      <c r="A249" s="61">
        <v>502</v>
      </c>
      <c r="B249" s="14">
        <f t="shared" si="3"/>
        <v>243</v>
      </c>
      <c r="C249" s="15">
        <v>43981</v>
      </c>
      <c r="D249" s="16">
        <v>0.13152777777777777</v>
      </c>
      <c r="E249" s="36">
        <v>20.170000000000002</v>
      </c>
      <c r="F249" s="36">
        <v>0.39</v>
      </c>
      <c r="G249" s="36">
        <v>0.27</v>
      </c>
      <c r="H249" s="56" cm="1">
        <f t="array" ref="H249:I249">LINEST(E240:E249,D240:D249)</f>
        <v>5.849786369540368</v>
      </c>
      <c r="I249" s="56">
        <v>19.393144992563169</v>
      </c>
      <c r="J249" s="56" cm="1">
        <f t="array" ref="J249:K249">LINEST(E235:E249,D235:D249)</f>
        <v>4.525884666627265</v>
      </c>
      <c r="K249" s="56">
        <v>19.560718611606138</v>
      </c>
      <c r="L249" s="56" cm="1">
        <f t="array" ref="L249:M249">LINEST(E230:E249,D230:D249)</f>
        <v>5.0236877417347232</v>
      </c>
      <c r="M249" s="56">
        <v>19.498527376668022</v>
      </c>
      <c r="N249" s="56" cm="1">
        <f t="array" ref="N249:O249">LINEST(E225:E249,D225:D249)</f>
        <v>5.2171065333193276</v>
      </c>
      <c r="O249" s="56">
        <v>19.475154931470808</v>
      </c>
      <c r="P249" s="56" cm="1">
        <f t="array" ref="P249:Q249">LINEST(E220:E249,D220:D249)</f>
        <v>2.5644214794956244</v>
      </c>
      <c r="Q249" s="56">
        <v>19.791350951396041</v>
      </c>
      <c r="R249" s="56" cm="1">
        <f t="array" ref="R249:S249">LINEST(F240:F249,D240:D249)</f>
        <v>23.991953517973588</v>
      </c>
      <c r="S249" s="56">
        <v>-2.7986863897441889</v>
      </c>
      <c r="T249" s="56" cm="1">
        <f t="array" ref="T249:U249">LINEST(F235:F249,D235:D249)</f>
        <v>-18.097895810672298</v>
      </c>
      <c r="U249" s="56">
        <v>2.5031048846979469</v>
      </c>
      <c r="V249" s="56" cm="1">
        <f t="array" ref="V249:W249">LINEST(F230:F249,D230:D249)</f>
        <v>1.919049493233796</v>
      </c>
      <c r="W249" s="56">
        <v>-5.0886339270484748E-3</v>
      </c>
      <c r="X249" s="56" cm="1">
        <f t="array" ref="X249:Y249">LINEST(F225:F249,D225:D249)</f>
        <v>-11.772959796271547</v>
      </c>
      <c r="Y249" s="56">
        <v>1.6538606937105402</v>
      </c>
      <c r="Z249" s="56" cm="1">
        <f t="array" ref="Z249:AA249">LINEST(F220:F249,D220:D249)</f>
        <v>-11.371515816310275</v>
      </c>
      <c r="AA249" s="56">
        <v>1.6139982322534412</v>
      </c>
      <c r="AB249" s="37" cm="1">
        <f t="array" ref="AB249:AC249">LINEST(G240:G249,D240:D249)</f>
        <v>-2.7034724329415645</v>
      </c>
      <c r="AC249" s="37">
        <v>0.61268814770142122</v>
      </c>
      <c r="AD249" s="37" cm="1">
        <f t="array" ref="AD249:AE249">LINEST(G235:G249,D235:D249)</f>
        <v>-6.6595984584262826</v>
      </c>
      <c r="AE249" s="37">
        <v>1.1125145619179253</v>
      </c>
      <c r="AF249" s="37" cm="1">
        <f t="array" ref="AF249:AG249">LINEST(G230:G249,D230:D249)</f>
        <v>-6.6041238984694255</v>
      </c>
      <c r="AG249" s="37">
        <v>1.104491816483175</v>
      </c>
      <c r="AH249" s="37" cm="1">
        <f t="array" ref="AH249:AI249">LINEST(G225:G249,D225:D249)</f>
        <v>-7.5652063552230588</v>
      </c>
      <c r="AI249" s="37">
        <v>1.2221515101561093</v>
      </c>
      <c r="AJ249" s="37" cm="1">
        <f t="array" ref="AJ249:AK249">LINEST(G220:G249,D220:D249)</f>
        <v>-3.1041387204806465</v>
      </c>
      <c r="AK249" s="37">
        <v>0.68910109394903285</v>
      </c>
    </row>
    <row r="250" spans="1:38" x14ac:dyDescent="0.25">
      <c r="A250" s="61">
        <v>502</v>
      </c>
      <c r="B250" s="14">
        <f t="shared" si="3"/>
        <v>244</v>
      </c>
      <c r="C250" s="15">
        <v>43981</v>
      </c>
      <c r="D250" s="16">
        <v>0.13291666666666666</v>
      </c>
      <c r="E250" s="36">
        <v>20.2</v>
      </c>
      <c r="F250" s="36">
        <v>1.07</v>
      </c>
      <c r="G250" s="36">
        <v>0.34</v>
      </c>
      <c r="H250" s="56" cm="1">
        <f t="array" ref="H250:I250">LINEST(E241:E250,D241:D250)</f>
        <v>7.509595034674744</v>
      </c>
      <c r="I250" s="56">
        <v>19.184775937280282</v>
      </c>
      <c r="J250" s="56" cm="1">
        <f t="array" ref="J250:K250">LINEST(E236:E250,D236:D250)</f>
        <v>5.45175181848579</v>
      </c>
      <c r="K250" s="56">
        <v>19.448370256874028</v>
      </c>
      <c r="L250" s="56" cm="1">
        <f t="array" ref="L250:M250">LINEST(E231:E250,D231:D250)</f>
        <v>5.1807144967734526</v>
      </c>
      <c r="M250" s="56">
        <v>19.482250349648734</v>
      </c>
      <c r="N250" s="56" cm="1">
        <f t="array" ref="N250:O250">LINEST(E226:E250,D226:D250)</f>
        <v>5.3002036151887726</v>
      </c>
      <c r="O250" s="56">
        <v>19.467448875936338</v>
      </c>
      <c r="P250" s="56" cm="1">
        <f t="array" ref="P250:Q250">LINEST(E221:E250,D221:D250)</f>
        <v>3.3989212704608258</v>
      </c>
      <c r="Q250" s="56">
        <v>19.69600923429692</v>
      </c>
      <c r="R250" s="56" cm="1">
        <f t="array" ref="R250:S250">LINEST(F241:F250,D241:D250)</f>
        <v>56.609729649957323</v>
      </c>
      <c r="S250" s="56">
        <v>-6.8746312761816881</v>
      </c>
      <c r="T250" s="56" cm="1">
        <f t="array" ref="T250:U250">LINEST(F236:F250,D236:D250)</f>
        <v>31.816815064464613</v>
      </c>
      <c r="U250" s="56">
        <v>-3.6863460725366384</v>
      </c>
      <c r="V250" s="56" cm="1">
        <f t="array" ref="V250:W250">LINEST(F231:F250,D231:D250)</f>
        <v>5.1610821540722931</v>
      </c>
      <c r="W250" s="56">
        <v>-0.32939921129434591</v>
      </c>
      <c r="X250" s="56" cm="1">
        <f t="array" ref="X250:Y250">LINEST(F226:F250,D226:D250)</f>
        <v>0.3776889196610842</v>
      </c>
      <c r="Y250" s="56">
        <v>0.24929348823341754</v>
      </c>
      <c r="Z250" s="56" cm="1">
        <f t="array" ref="Z250:AA250">LINEST(F221:F250,D221:D250)</f>
        <v>-7.4554918003280282</v>
      </c>
      <c r="AA250" s="56">
        <v>1.2084833404952506</v>
      </c>
      <c r="AB250" s="37" cm="1">
        <f t="array" ref="AB250:AC250">LINEST(G241:G250,D241:D250)</f>
        <v>2.0992281669654038</v>
      </c>
      <c r="AC250" s="37">
        <v>1.0095335855485277E-2</v>
      </c>
      <c r="AD250" s="37" cm="1">
        <f t="array" ref="AD250:AE250">LINEST(G236:G250,D236:D250)</f>
        <v>-3.5225517174348369</v>
      </c>
      <c r="AE250" s="37">
        <v>0.72996151987450875</v>
      </c>
      <c r="AF250" s="37" cm="1">
        <f t="array" ref="AF250:AG250">LINEST(G231:G250,D231:D250)</f>
        <v>-5.6677608000980797</v>
      </c>
      <c r="AG250" s="37">
        <v>0.99906019796590884</v>
      </c>
      <c r="AH250" s="37" cm="1">
        <f t="array" ref="AH250:AI250">LINEST(G226:G250,D226:D250)</f>
        <v>-6.9560835364297473</v>
      </c>
      <c r="AI250" s="37">
        <v>1.1574479315190027</v>
      </c>
      <c r="AJ250" s="37" cm="1">
        <f t="array" ref="AJ250:AK250">LINEST(G221:G250,D221:D250)</f>
        <v>-3.4341177931218483</v>
      </c>
      <c r="AK250" s="37">
        <v>0.73262683155986574</v>
      </c>
    </row>
    <row r="251" spans="1:38" x14ac:dyDescent="0.25">
      <c r="A251" s="61">
        <v>502</v>
      </c>
      <c r="B251" s="14">
        <f t="shared" si="3"/>
        <v>245</v>
      </c>
      <c r="C251" s="15">
        <v>43981</v>
      </c>
      <c r="D251" s="16">
        <v>0.13430555555555554</v>
      </c>
      <c r="E251" s="36">
        <v>19.97</v>
      </c>
      <c r="F251" s="36">
        <v>1.07</v>
      </c>
      <c r="G251" s="36">
        <v>0.39</v>
      </c>
      <c r="H251" s="56" cm="1">
        <f t="array" ref="H251:I251">LINEST(E242:E251,D242:D251)</f>
        <v>-2.6647477519353826</v>
      </c>
      <c r="I251" s="56">
        <v>20.468238837988292</v>
      </c>
      <c r="J251" s="56" cm="1">
        <f t="array" ref="J251:K251">LINEST(E237:E251,D237:D251)</f>
        <v>2.1347107809469286</v>
      </c>
      <c r="K251" s="56">
        <v>19.846048968053648</v>
      </c>
      <c r="L251" s="56" cm="1">
        <f t="array" ref="L251:M251">LINEST(E232:E251,D232:D251)</f>
        <v>3.2212059309881869</v>
      </c>
      <c r="M251" s="56">
        <v>19.70837430645652</v>
      </c>
      <c r="N251" s="56" cm="1">
        <f t="array" ref="N251:O251">LINEST(E227:E251,D227:D251)</f>
        <v>3.9434062821477895</v>
      </c>
      <c r="O251" s="56">
        <v>19.618500240879616</v>
      </c>
      <c r="P251" s="56" cm="1">
        <f t="array" ref="P251:Q251">LINEST(E222:E251,D222:D251)</f>
        <v>3.142686411321423</v>
      </c>
      <c r="Q251" s="56">
        <v>19.71520875558463</v>
      </c>
      <c r="R251" s="56" cm="1">
        <f t="array" ref="R251:S251">LINEST(F242:F251,D242:D251)</f>
        <v>11.792529729655877</v>
      </c>
      <c r="S251" s="56">
        <v>-0.98011259469774958</v>
      </c>
      <c r="T251" s="56" cm="1">
        <f t="array" ref="T251:U251">LINEST(F237:F251,D237:D251)</f>
        <v>43.930176756781997</v>
      </c>
      <c r="U251" s="56">
        <v>-5.1743350843570806</v>
      </c>
      <c r="V251" s="56" cm="1">
        <f t="array" ref="V251:W251">LINEST(F232:F251,D232:D251)</f>
        <v>23.789013817750472</v>
      </c>
      <c r="W251" s="56">
        <v>-2.6001276624957383</v>
      </c>
      <c r="X251" s="56" cm="1">
        <f t="array" ref="X251:Y251">LINEST(F227:F251,D227:D251)</f>
        <v>12.644952391833513</v>
      </c>
      <c r="Y251" s="56">
        <v>-1.2027440035728183</v>
      </c>
      <c r="Z251" s="56" cm="1">
        <f t="array" ref="Z251:AA251">LINEST(F222:F251,D222:D251)</f>
        <v>-5.9692504640684874</v>
      </c>
      <c r="AA251" s="56">
        <v>1.0844917309327204</v>
      </c>
      <c r="AB251" s="37" cm="1">
        <f t="array" ref="AB251:AC251">LINEST(G242:G251,D242:D251)</f>
        <v>2.9281142492309278</v>
      </c>
      <c r="AC251" s="37">
        <v>-7.9964685936526669E-2</v>
      </c>
      <c r="AD251" s="37" cm="1">
        <f t="array" ref="AD251:AE251">LINEST(G237:G251,D237:D251)</f>
        <v>0.10338371222479929</v>
      </c>
      <c r="AE251" s="37">
        <v>0.28312003274727754</v>
      </c>
      <c r="AF251" s="37" cm="1">
        <f t="array" ref="AF251:AG251">LINEST(G232:G251,D232:D251)</f>
        <v>-3.3671484485583969</v>
      </c>
      <c r="AG251" s="37">
        <v>0.72480103846223942</v>
      </c>
      <c r="AH251" s="37" cm="1">
        <f t="array" ref="AH251:AI251">LINEST(G227:G251,D227:D251)</f>
        <v>-5.4497451918646655</v>
      </c>
      <c r="AI251" s="37">
        <v>0.98470449212870526</v>
      </c>
      <c r="AJ251" s="37" cm="1">
        <f t="array" ref="AJ251:AK251">LINEST(G222:G251,D222:D251)</f>
        <v>-3.6503862675015513</v>
      </c>
      <c r="AK251" s="37">
        <v>0.7664205072011292</v>
      </c>
    </row>
    <row r="252" spans="1:38" x14ac:dyDescent="0.25">
      <c r="A252" s="61">
        <v>502</v>
      </c>
      <c r="B252" s="14">
        <f t="shared" si="3"/>
        <v>246</v>
      </c>
      <c r="C252" s="15">
        <v>43981</v>
      </c>
      <c r="D252" s="16">
        <v>0.13569444444444445</v>
      </c>
      <c r="E252" s="36">
        <v>19.96</v>
      </c>
      <c r="F252" s="36">
        <v>1.07</v>
      </c>
      <c r="G252" s="36">
        <v>0.45</v>
      </c>
      <c r="H252" s="56" cm="1">
        <f t="array" ref="H252:I252">LINEST(E243:E252,D243:D252)</f>
        <v>-9.5563636363636704</v>
      </c>
      <c r="I252" s="56">
        <v>21.348018181818187</v>
      </c>
      <c r="J252" s="56" cm="1">
        <f t="array" ref="J252:K252">LINEST(E238:E252,D238:D252)</f>
        <v>-1.6714123653071231</v>
      </c>
      <c r="K252" s="56">
        <v>20.315886152910803</v>
      </c>
      <c r="L252" s="56" cm="1">
        <f t="array" ref="L252:M252">LINEST(E233:E252,D233:D252)</f>
        <v>1.131672715709803</v>
      </c>
      <c r="M252" s="56">
        <v>19.955869437422354</v>
      </c>
      <c r="N252" s="56" cm="1">
        <f t="array" ref="N252:O252">LINEST(E228:E252,D228:D252)</f>
        <v>2.3927311405999223</v>
      </c>
      <c r="O252" s="56">
        <v>19.796797421768808</v>
      </c>
      <c r="P252" s="56" cm="1">
        <f t="array" ref="P252:Q252">LINEST(E223:E252,D223:D252)</f>
        <v>2.8912538206338732</v>
      </c>
      <c r="Q252" s="56">
        <v>19.734231776385002</v>
      </c>
      <c r="R252" s="56" cm="1">
        <f t="array" ref="R252:S252">LINEST(F243:F252,D243:D252)</f>
        <v>90.501818181818237</v>
      </c>
      <c r="S252" s="56">
        <v>-11.25095757575758</v>
      </c>
      <c r="T252" s="56" cm="1">
        <f t="array" ref="T252:U252">LINEST(F238:F252,D238:D252)</f>
        <v>35.005657192765881</v>
      </c>
      <c r="U252" s="56">
        <v>-3.9857674374599914</v>
      </c>
      <c r="V252" s="56" cm="1">
        <f t="array" ref="V252:W252">LINEST(F233:F252,D233:D252)</f>
        <v>24.162485353371043</v>
      </c>
      <c r="W252" s="56">
        <v>-2.6054184387077157</v>
      </c>
      <c r="X252" s="56" cm="1">
        <f t="array" ref="X252:Y252">LINEST(F228:F252,D228:D252)</f>
        <v>12.140835766219535</v>
      </c>
      <c r="Y252" s="56">
        <v>-1.0971023223753744</v>
      </c>
      <c r="Z252" s="56" cm="1">
        <f t="array" ref="Z252:AA252">LINEST(F223:F252,D223:D252)</f>
        <v>-5.6170235133115947</v>
      </c>
      <c r="AA252" s="56">
        <v>1.0927471063775471</v>
      </c>
      <c r="AB252" s="37" cm="1">
        <f t="array" ref="AB252:AC252">LINEST(G243:G252,D243:D252)</f>
        <v>10.210909090909105</v>
      </c>
      <c r="AC252" s="37">
        <v>-1.0137454545454561</v>
      </c>
      <c r="AD252" s="37" cm="1">
        <f t="array" ref="AD252:AE252">LINEST(G238:G252,D238:D252)</f>
        <v>2.9579703814241749</v>
      </c>
      <c r="AE252" s="37">
        <v>-6.6624384600071029E-2</v>
      </c>
      <c r="AF252" s="37" cm="1">
        <f t="array" ref="AF252:AG252">LINEST(G233:G252,D233:D252)</f>
        <v>-1.1693378456214021</v>
      </c>
      <c r="AG252" s="37">
        <v>0.4632445627887638</v>
      </c>
      <c r="AH252" s="37" cm="1">
        <f t="array" ref="AH252:AI252">LINEST(G228:G252,D228:D252)</f>
        <v>-4.0486221354005218</v>
      </c>
      <c r="AI252" s="37">
        <v>0.82590037020074525</v>
      </c>
      <c r="AJ252" s="37" cm="1">
        <f t="array" ref="AJ252:AK252">LINEST(G223:G252,D223:D252)</f>
        <v>-3.7785710138019555</v>
      </c>
      <c r="AK252" s="37">
        <v>0.79363633048803073</v>
      </c>
    </row>
    <row r="253" spans="1:38" x14ac:dyDescent="0.25">
      <c r="A253" s="61">
        <v>502</v>
      </c>
      <c r="B253" s="14">
        <f t="shared" si="3"/>
        <v>247</v>
      </c>
      <c r="C253" s="15">
        <v>43981</v>
      </c>
      <c r="D253" s="16">
        <v>0.13708333333333333</v>
      </c>
      <c r="E253" s="36">
        <v>20.03</v>
      </c>
      <c r="F253" s="36">
        <v>1.07</v>
      </c>
      <c r="G253" s="36">
        <v>0.49</v>
      </c>
      <c r="H253" s="56" cm="1">
        <f t="array" ref="H253:I253">LINEST(E244:E253,D244:D253)</f>
        <v>-12.305454545454491</v>
      </c>
      <c r="I253" s="56">
        <v>21.711963636363631</v>
      </c>
      <c r="J253" s="56" cm="1">
        <f t="array" ref="J253:K253">LINEST(E239:E253,D239:D253)</f>
        <v>-3.3432523814279285</v>
      </c>
      <c r="K253" s="56">
        <v>20.52713625102691</v>
      </c>
      <c r="L253" s="56" cm="1">
        <f t="array" ref="L253:M253">LINEST(E234:E253,D234:D253)</f>
        <v>7.6035933657293914E-2</v>
      </c>
      <c r="M253" s="56">
        <v>20.083579948661292</v>
      </c>
      <c r="N253" s="56" cm="1">
        <f t="array" ref="N253:O253">LINEST(E229:E253,D229:D253)</f>
        <v>1.6783094740678079</v>
      </c>
      <c r="O253" s="56">
        <v>19.879502790502539</v>
      </c>
      <c r="P253" s="56" cm="1">
        <f t="array" ref="P253:Q253">LINEST(E224:E253,D224:D253)</f>
        <v>3.2180422980378069</v>
      </c>
      <c r="Q253" s="56">
        <v>19.687333256395252</v>
      </c>
      <c r="R253" s="56" cm="1">
        <f t="array" ref="R253:S253">LINEST(F244:F253,D244:D253)</f>
        <v>92.989090909090933</v>
      </c>
      <c r="S253" s="56">
        <v>-11.597072727272732</v>
      </c>
      <c r="T253" s="56" cm="1">
        <f t="array" ref="T253:U253">LINEST(F239:F253,D239:D253)</f>
        <v>56.021039660657394</v>
      </c>
      <c r="U253" s="56">
        <v>-6.698278416225131</v>
      </c>
      <c r="V253" s="56" cm="1">
        <f t="array" ref="V253:W253">LINEST(F234:F253,D234:D253)</f>
        <v>36.473802163603459</v>
      </c>
      <c r="W253" s="56">
        <v>-4.150219931126383</v>
      </c>
      <c r="X253" s="56" cm="1">
        <f t="array" ref="X253:Y253">LINEST(F229:F253,D229:D253)</f>
        <v>24.441815236121808</v>
      </c>
      <c r="Y253" s="56">
        <v>-2.608013233671536</v>
      </c>
      <c r="Z253" s="56" cm="1">
        <f t="array" ref="Z253:AA253">LINEST(F224:F253,D224:D253)</f>
        <v>1.4450169567700537</v>
      </c>
      <c r="AA253" s="56">
        <v>0.26767940395328116</v>
      </c>
      <c r="AB253" s="37" cm="1">
        <f t="array" ref="AB253:AC253">LINEST(G244:G253,D244:D253)</f>
        <v>16.494545454545481</v>
      </c>
      <c r="AC253" s="37">
        <v>-1.8300363636363672</v>
      </c>
      <c r="AD253" s="37" cm="1">
        <f t="array" ref="AD253:AE253">LINEST(G239:G253,D239:D253)</f>
        <v>6.9703151281983224</v>
      </c>
      <c r="AE253" s="37">
        <v>-0.57175245785149942</v>
      </c>
      <c r="AF253" s="37" cm="1">
        <f t="array" ref="AF253:AG253">LINEST(G234:G253,D234:D253)</f>
        <v>1.7161229922682062</v>
      </c>
      <c r="AG253" s="37">
        <v>0.1108904361644851</v>
      </c>
      <c r="AH253" s="37" cm="1">
        <f t="array" ref="AH253:AI253">LINEST(G229:G253,D229:D253)</f>
        <v>-1.8831597603538541</v>
      </c>
      <c r="AI253" s="37">
        <v>0.5699646929758323</v>
      </c>
      <c r="AJ253" s="37" cm="1">
        <f t="array" ref="AJ253:AK253">LINEST(G224:G253,D224:D253)</f>
        <v>-3.3941978986746721</v>
      </c>
      <c r="AK253" s="37">
        <v>0.7599338970849403</v>
      </c>
    </row>
    <row r="254" spans="1:38" x14ac:dyDescent="0.25">
      <c r="A254" s="61">
        <v>502</v>
      </c>
      <c r="B254" s="14">
        <f t="shared" si="3"/>
        <v>248</v>
      </c>
      <c r="C254" s="15">
        <v>43981</v>
      </c>
      <c r="D254" s="16">
        <v>0.13847222222222222</v>
      </c>
      <c r="E254" s="36">
        <v>20.05</v>
      </c>
      <c r="F254" s="36">
        <v>0.31</v>
      </c>
      <c r="G254" s="36">
        <v>0.48</v>
      </c>
      <c r="H254" s="56" cm="1">
        <f t="array" ref="H254:I254">LINEST(E245:E254,D245:D254)</f>
        <v>-13.003636363636328</v>
      </c>
      <c r="I254" s="56">
        <v>21.813369696969694</v>
      </c>
      <c r="J254" s="56" cm="1">
        <f t="array" ref="J254:K254">LINEST(E240:E254,D240:D254)</f>
        <v>-4.2950915925493298</v>
      </c>
      <c r="K254" s="56">
        <v>20.650996356654609</v>
      </c>
      <c r="L254" s="56" cm="1">
        <f t="array" ref="L254:M254">LINEST(E235:E254,D235:D254)</f>
        <v>-1.196235735695194</v>
      </c>
      <c r="M254" s="56">
        <v>20.244362446932314</v>
      </c>
      <c r="N254" s="56" cm="1">
        <f t="array" ref="N254:O254">LINEST(E230:E254,D230:D254)</f>
        <v>1.0247870243699122</v>
      </c>
      <c r="O254" s="56">
        <v>19.957974772732062</v>
      </c>
      <c r="P254" s="56" cm="1">
        <f t="array" ref="P254:Q254">LINEST(E225:E254,D225:D254)</f>
        <v>2.2922404165096406</v>
      </c>
      <c r="Q254" s="56">
        <v>19.797750666361015</v>
      </c>
      <c r="R254" s="56" cm="1">
        <f t="array" ref="R254:S254">LINEST(F245:F254,D245:D254)</f>
        <v>77.105454545454563</v>
      </c>
      <c r="S254" s="56">
        <v>-9.6400545454545501</v>
      </c>
      <c r="T254" s="56" cm="1">
        <f t="array" ref="T254:U254">LINEST(F240:F254,D240:D254)</f>
        <v>48.873520091474305</v>
      </c>
      <c r="U254" s="56">
        <v>-5.8485034228267692</v>
      </c>
      <c r="V254" s="56" cm="1">
        <f t="array" ref="V254:W254">LINEST(F235:F254,D235:D254)</f>
        <v>15.879578348100399</v>
      </c>
      <c r="W254" s="56">
        <v>-1.535867477068936</v>
      </c>
      <c r="X254" s="56" cm="1">
        <f t="array" ref="X254:Y254">LINEST(F230:F254,D230:D254)</f>
        <v>19.4130857736879</v>
      </c>
      <c r="Y254" s="56">
        <v>-2.0034306852514163</v>
      </c>
      <c r="Z254" s="56" cm="1">
        <f t="array" ref="Z254:AA254">LINEST(F225:F254,D225:D254)</f>
        <v>5.0442462667202754</v>
      </c>
      <c r="AA254" s="56">
        <v>-0.19257108764456388</v>
      </c>
      <c r="AB254" s="37" cm="1">
        <f t="array" ref="AB254:AC254">LINEST(G245:G254,D245:D254)</f>
        <v>21.120000000000029</v>
      </c>
      <c r="AC254" s="37">
        <v>-2.4465333333333374</v>
      </c>
      <c r="AD254" s="37" cm="1">
        <f t="array" ref="AD254:AE254">LINEST(G240:G254,D240:D254)</f>
        <v>10.211479624214975</v>
      </c>
      <c r="AE254" s="37">
        <v>-0.9887358808457829</v>
      </c>
      <c r="AF254" s="37" cm="1">
        <f t="array" ref="AF254:AG254">LINEST(G235:G254,D235:D254)</f>
        <v>2.8313335119402998</v>
      </c>
      <c r="AG254" s="37">
        <v>-2.1204809026821647E-2</v>
      </c>
      <c r="AH254" s="37" cm="1">
        <f t="array" ref="AH254:AI254">LINEST(G230:G254,D230:D254)</f>
        <v>-0.20503568179304443</v>
      </c>
      <c r="AI254" s="37">
        <v>0.3693745800534407</v>
      </c>
      <c r="AJ254" s="37" cm="1">
        <f t="array" ref="AJ254:AK254">LINEST(G225:G254,D225:D254)</f>
        <v>-2.7166908218814854</v>
      </c>
      <c r="AK254" s="37">
        <v>0.68747612869533603</v>
      </c>
    </row>
    <row r="255" spans="1:38" x14ac:dyDescent="0.25">
      <c r="A255" s="61">
        <v>502</v>
      </c>
      <c r="B255" s="14">
        <f t="shared" si="3"/>
        <v>249</v>
      </c>
      <c r="C255" s="15">
        <v>43981</v>
      </c>
      <c r="D255" s="16">
        <v>0.1398611111111111</v>
      </c>
      <c r="E255" s="36">
        <v>20.079999999999998</v>
      </c>
      <c r="F255" s="36">
        <v>1.19</v>
      </c>
      <c r="G255" s="36">
        <v>0.54</v>
      </c>
      <c r="H255" s="56" cm="1">
        <f t="array" ref="H255:I255">LINEST(E246:E255,D246:D255)</f>
        <v>-10.385454545454573</v>
      </c>
      <c r="I255" s="56">
        <v>21.473612121212128</v>
      </c>
      <c r="J255" s="56" cm="1">
        <f t="array" ref="J255:K255">LINEST(E241:E255,D241:D255)</f>
        <v>-4.578276896248064</v>
      </c>
      <c r="K255" s="56">
        <v>20.692482067591126</v>
      </c>
      <c r="L255" s="56" cm="1">
        <f t="array" ref="L255:M255">LINEST(E236:E255,D236:D255)</f>
        <v>-1.5102781953759303</v>
      </c>
      <c r="M255" s="56">
        <v>20.285802778751204</v>
      </c>
      <c r="N255" s="56" cm="1">
        <f t="array" ref="N255:O255">LINEST(E231:E255,D231:D255)</f>
        <v>0.48201107798762544</v>
      </c>
      <c r="O255" s="56">
        <v>20.026218689877968</v>
      </c>
      <c r="P255" s="56" cm="1">
        <f t="array" ref="P255:Q255">LINEST(E226:E255,D226:D255)</f>
        <v>1.851763106391171</v>
      </c>
      <c r="Q255" s="56">
        <v>19.850968758125614</v>
      </c>
      <c r="R255" s="56" cm="1">
        <f t="array" ref="R255:S255">LINEST(F246:F255,D246:D255)</f>
        <v>108.04363636363631</v>
      </c>
      <c r="S255" s="56">
        <v>-13.829830303030297</v>
      </c>
      <c r="T255" s="56" cm="1">
        <f t="array" ref="T255:U255">LINEST(F241:F255,D241:D255)</f>
        <v>56.874985043438322</v>
      </c>
      <c r="U255" s="56">
        <v>-6.8903579108112263</v>
      </c>
      <c r="V255" s="56" cm="1">
        <f t="array" ref="V255:W255">LINEST(F236:F255,D236:D255)</f>
        <v>41.607731387533505</v>
      </c>
      <c r="W255" s="56">
        <v>-4.8598367209691666</v>
      </c>
      <c r="X255" s="56" cm="1">
        <f t="array" ref="X255:Y255">LINEST(F231:F255,D231:D255)</f>
        <v>20.448772499710362</v>
      </c>
      <c r="Y255" s="56">
        <v>-2.0999846346969564</v>
      </c>
      <c r="Z255" s="56" cm="1">
        <f t="array" ref="Z255:AA255">LINEST(F226:F255,D226:D255)</f>
        <v>13.041888799680899</v>
      </c>
      <c r="AA255" s="56">
        <v>-1.1600756073324754</v>
      </c>
      <c r="AB255" s="37" cm="1">
        <f t="array" ref="AB255:AC255">LINEST(G246:G255,D246:D255)</f>
        <v>27.970909090909114</v>
      </c>
      <c r="AC255" s="37">
        <v>-3.3702242424242459</v>
      </c>
      <c r="AD255" s="37" cm="1">
        <f t="array" ref="AD255:AE255">LINEST(G241:G255,D241:D255)</f>
        <v>13.94167594273976</v>
      </c>
      <c r="AE255" s="37">
        <v>-1.4736983072364431</v>
      </c>
      <c r="AF255" s="37" cm="1">
        <f t="array" ref="AF255:AG255">LINEST(G236:G255,D236:D255)</f>
        <v>5.9389910516334457</v>
      </c>
      <c r="AG255" s="37">
        <v>-0.41277563678968754</v>
      </c>
      <c r="AH255" s="37" cm="1">
        <f t="array" ref="AH255:AI255">LINEST(G231:G255,D231:D255)</f>
        <v>1.4232624816593784</v>
      </c>
      <c r="AI255" s="37">
        <v>0.17506131035553607</v>
      </c>
      <c r="AJ255" s="37" cm="1">
        <f t="array" ref="AJ255:AK255">LINEST(G226:G255,D226:D255)</f>
        <v>-1.4913711304144825</v>
      </c>
      <c r="AK255" s="37">
        <v>0.54755084126595399</v>
      </c>
    </row>
    <row r="256" spans="1:38" x14ac:dyDescent="0.25">
      <c r="A256" s="61">
        <v>502</v>
      </c>
      <c r="B256" s="14">
        <f t="shared" si="3"/>
        <v>250</v>
      </c>
      <c r="C256" s="15">
        <v>43981</v>
      </c>
      <c r="D256" s="16">
        <v>0.14125000000000001</v>
      </c>
      <c r="E256" s="36">
        <v>20.149999999999999</v>
      </c>
      <c r="F256" s="36">
        <v>2</v>
      </c>
      <c r="G256" s="48">
        <v>0.65</v>
      </c>
      <c r="H256" s="56" cm="1">
        <f t="array" ref="H256:I256">LINEST(E247:E256,D247:D256)</f>
        <v>-6.2400000000000038</v>
      </c>
      <c r="I256" s="57">
        <v>20.931400000000004</v>
      </c>
      <c r="J256" s="56" cm="1">
        <f t="array" ref="J256:K256">LINEST(E242:E256,D242:D256)</f>
        <v>-4.3728781631848737</v>
      </c>
      <c r="K256" s="57">
        <v>20.677824988097726</v>
      </c>
      <c r="L256" s="56" cm="1">
        <f t="array" ref="L256:M256">LINEST(E237:E256,D237:D256)</f>
        <v>-0.99058530608550033</v>
      </c>
      <c r="M256" s="57">
        <v>20.22435052495133</v>
      </c>
      <c r="N256" s="56" cm="1">
        <f t="array" ref="N256:O256">LINEST(E232:E256,D232:D256)</f>
        <v>0.65369549713093955</v>
      </c>
      <c r="O256" s="57">
        <v>20.008160133345633</v>
      </c>
      <c r="P256" s="56" cm="1">
        <f t="array" ref="P256:Q256">LINEST(E227:E256,D227:D256)</f>
        <v>1.8501617164783088</v>
      </c>
      <c r="Q256" s="57">
        <v>19.853590811651781</v>
      </c>
      <c r="R256" s="56" cm="1">
        <f t="array" ref="R256:S256">LINEST(F247:F256,D247:D256)</f>
        <v>75.141818181818209</v>
      </c>
      <c r="S256" s="57">
        <v>-9.21614545454546</v>
      </c>
      <c r="T256" s="56" cm="1">
        <f t="array" ref="T256:U256">LINEST(F242:F256,D242:D256)</f>
        <v>47.021024066007413</v>
      </c>
      <c r="U256" s="56">
        <v>-5.4552737525584032</v>
      </c>
      <c r="V256" s="56" cm="1">
        <f t="array" ref="V256:W256">LINEST(F237:F256,D237:D256)</f>
        <v>54.314908323081255</v>
      </c>
      <c r="W256" s="56">
        <v>-6.4493571924998498</v>
      </c>
      <c r="X256" s="56" cm="1">
        <f t="array" ref="X256:Y256">LINEST(F232:F256,D232:D256)</f>
        <v>36.721307073447676</v>
      </c>
      <c r="Y256" s="56">
        <v>-4.1244798401721487</v>
      </c>
      <c r="Z256" s="56" cm="1">
        <f t="array" ref="Z256:AA256">LINEST(F227:F256,D227:D256)</f>
        <v>24.830976377442756</v>
      </c>
      <c r="AA256" s="57">
        <v>-2.5819833855645085</v>
      </c>
      <c r="AB256" s="37" cm="1">
        <f t="array" ref="AB256:AC256">LINEST(G247:G256,D247:D256)</f>
        <v>31.549090909090907</v>
      </c>
      <c r="AC256" s="37">
        <v>-3.848127272727274</v>
      </c>
      <c r="AD256" s="37" cm="1">
        <f t="array" ref="AD256:AE256">LINEST(G242:G256,D242:D256)</f>
        <v>16.617262870083447</v>
      </c>
      <c r="AE256" s="37">
        <v>-1.8149778133466778</v>
      </c>
      <c r="AF256" s="37" cm="1">
        <f t="array" ref="AF256:AG256">LINEST(G237:G256,D237:D256)</f>
        <v>9.7072667738316998</v>
      </c>
      <c r="AG256" s="37">
        <v>-0.89057505728023845</v>
      </c>
      <c r="AH256" s="37" cm="1">
        <f t="array" ref="AH256:AI256">LINEST(G232:G256,D232:D256)</f>
        <v>4.2036244927498396</v>
      </c>
      <c r="AI256" s="37">
        <v>-0.16570349751086771</v>
      </c>
      <c r="AJ256" s="37" cm="1">
        <f t="array" ref="AJ256:AK256">LINEST(G227:G256,D227:D256)</f>
        <v>0.56368198656745272</v>
      </c>
      <c r="AK256" s="37">
        <v>0.30506496415692852</v>
      </c>
      <c r="AL256" s="40" t="s">
        <v>85</v>
      </c>
    </row>
    <row r="257" spans="1:38" x14ac:dyDescent="0.25">
      <c r="A257" s="61">
        <v>502</v>
      </c>
      <c r="B257" s="14">
        <f t="shared" si="3"/>
        <v>251</v>
      </c>
      <c r="C257" s="15">
        <v>43981</v>
      </c>
      <c r="D257" s="16">
        <v>0.1426388888888889</v>
      </c>
      <c r="E257" s="36">
        <v>20.170000000000002</v>
      </c>
      <c r="F257" s="36">
        <v>0.43</v>
      </c>
      <c r="G257" s="36">
        <v>0.63</v>
      </c>
      <c r="H257" s="56" cm="1">
        <f t="array" ref="H257:I257">LINEST(E248:E257,D248:D257)</f>
        <v>-1.0909090909090498</v>
      </c>
      <c r="I257" s="56">
        <v>20.241787878787875</v>
      </c>
      <c r="J257" s="56" cm="1">
        <f t="array" ref="J257:K257">LINEST(E243:E257,D243:D257)</f>
        <v>-2.8028571428571385</v>
      </c>
      <c r="K257" s="56">
        <v>20.47854642857143</v>
      </c>
      <c r="L257" s="56" cm="1">
        <f t="array" ref="L257:M257">LINEST(E238:E257,D238:D257)</f>
        <v>-0.67121726912479329</v>
      </c>
      <c r="M257" s="56">
        <v>20.189885734939296</v>
      </c>
      <c r="N257" s="56" cm="1">
        <f t="array" ref="N257:O257">LINEST(E233:E257,D233:D257)</f>
        <v>0.83091745421403118</v>
      </c>
      <c r="O257" s="56">
        <v>19.99012709712542</v>
      </c>
      <c r="P257" s="56" cm="1">
        <f t="array" ref="P257:Q257">LINEST(E228:E257,D228:D257)</f>
        <v>1.7940960313073453</v>
      </c>
      <c r="Q257" s="56">
        <v>19.864222543998171</v>
      </c>
      <c r="R257" s="56" cm="1">
        <f t="array" ref="R257:S257">LINEST(F248:F257,D248:D257)</f>
        <v>33.59999999999998</v>
      </c>
      <c r="S257" s="56">
        <v>-3.6586666666666647</v>
      </c>
      <c r="T257" s="56" cm="1">
        <f t="array" ref="T257:U257">LINEST(F243:F257,D243:D257)</f>
        <v>62.177142857142819</v>
      </c>
      <c r="U257" s="56">
        <v>-7.6217119047619004</v>
      </c>
      <c r="V257" s="56" cm="1">
        <f t="array" ref="V257:W257">LINEST(F238:F257,D238:D257)</f>
        <v>38.570985156429686</v>
      </c>
      <c r="W257" s="56">
        <v>-4.4248220664209175</v>
      </c>
      <c r="X257" s="56" cm="1">
        <f t="array" ref="X257:Y257">LINEST(F233:F257,D233:D257)</f>
        <v>30.462922704056638</v>
      </c>
      <c r="Y257" s="56">
        <v>-3.3538961716187559</v>
      </c>
      <c r="Z257" s="56" cm="1">
        <f t="array" ref="Z257:AA257">LINEST(F228:F257,D228:D257)</f>
        <v>20.208323491042709</v>
      </c>
      <c r="AA257" s="56">
        <v>-2.0188607574071651</v>
      </c>
      <c r="AB257" s="37" cm="1">
        <f t="array" ref="AB257:AC257">LINEST(G248:G257,D248:D257)</f>
        <v>31.461818181818131</v>
      </c>
      <c r="AC257" s="37">
        <v>-3.840042424242418</v>
      </c>
      <c r="AD257" s="37" cm="1">
        <f t="array" ref="AD257:AE257">LINEST(G243:G257,D243:D257)</f>
        <v>20.23714285714286</v>
      </c>
      <c r="AE257" s="37">
        <v>-2.298520238095239</v>
      </c>
      <c r="AF257" s="37" cm="1">
        <f t="array" ref="AF257:AG257">LINEST(G238:G257,D238:D257)</f>
        <v>11.965115808898057</v>
      </c>
      <c r="AG257" s="37">
        <v>-1.179824692853082</v>
      </c>
      <c r="AH257" s="37" cm="1">
        <f t="array" ref="AH257:AI257">LINEST(G233:G257,D233:D257)</f>
        <v>6.241866213220189</v>
      </c>
      <c r="AI257" s="37">
        <v>-0.41870464744603059</v>
      </c>
      <c r="AJ257" s="37" cm="1">
        <f t="array" ref="AJ257:AK257">LINEST(G228:G257,D228:D257)</f>
        <v>2.0869674088087762</v>
      </c>
      <c r="AK257" s="37">
        <v>0.12401235393041243</v>
      </c>
    </row>
    <row r="258" spans="1:38" x14ac:dyDescent="0.25">
      <c r="A258" s="61">
        <v>502</v>
      </c>
      <c r="B258" s="14">
        <f t="shared" si="3"/>
        <v>252</v>
      </c>
      <c r="C258" s="15">
        <v>43981</v>
      </c>
      <c r="D258" s="16">
        <v>0.14402777777777778</v>
      </c>
      <c r="E258" s="36">
        <v>20.2</v>
      </c>
      <c r="F258" s="36">
        <v>0.92</v>
      </c>
      <c r="G258" s="36">
        <v>0.65</v>
      </c>
      <c r="H258" s="56" cm="1">
        <f t="array" ref="H258:I258">LINEST(E249:E258,D249:D258)</f>
        <v>5.8472727272726566</v>
      </c>
      <c r="I258" s="56">
        <v>19.292375757575769</v>
      </c>
      <c r="J258" s="56" cm="1">
        <f t="array" ref="J258:K258">LINEST(E244:E258,D244:D258)</f>
        <v>-0.82285714285712885</v>
      </c>
      <c r="K258" s="56">
        <v>20.221847619047619</v>
      </c>
      <c r="L258" s="56" cm="1">
        <f t="array" ref="L258:M258">LINEST(E239:E258,D239:D258)</f>
        <v>0.17877948268088847</v>
      </c>
      <c r="M258" s="56">
        <v>20.085109580888901</v>
      </c>
      <c r="N258" s="56" cm="1">
        <f t="array" ref="N258:O258">LINEST(E234:E258,D234:D258)</f>
        <v>1.279540628773759</v>
      </c>
      <c r="O258" s="56">
        <v>19.937435691427645</v>
      </c>
      <c r="P258" s="56" cm="1">
        <f t="array" ref="P258:Q258">LINEST(E229:E258,D229:D258)</f>
        <v>2.0647979894730231</v>
      </c>
      <c r="Q258" s="56">
        <v>19.83386034136668</v>
      </c>
      <c r="R258" s="56" cm="1">
        <f t="array" ref="R258:S258">LINEST(F249:F258,D249:D258)</f>
        <v>19.810909090909082</v>
      </c>
      <c r="S258" s="56">
        <v>-1.7775030303030297</v>
      </c>
      <c r="T258" s="56" cm="1">
        <f t="array" ref="T258:U258">LINEST(F244:F258,D244:D258)</f>
        <v>54.359999999999978</v>
      </c>
      <c r="U258" s="56">
        <v>-6.5981833333333331</v>
      </c>
      <c r="V258" s="56" cm="1">
        <f t="array" ref="V258:W258">LINEST(F239:F258,D239:D258)</f>
        <v>45.740619873998995</v>
      </c>
      <c r="W258" s="56">
        <v>-5.4144242371143321</v>
      </c>
      <c r="X258" s="56" cm="1">
        <f t="array" ref="X258:Y258">LINEST(F234:F258,D234:D258)</f>
        <v>35.570012432944651</v>
      </c>
      <c r="Y258" s="56">
        <v>-4.041452773294214</v>
      </c>
      <c r="Z258" s="56" cm="1">
        <f t="array" ref="Z258:AA258">LINEST(F229:F258,D229:D258)</f>
        <v>26.995331288585373</v>
      </c>
      <c r="AA258" s="56">
        <v>-2.903432013395765</v>
      </c>
      <c r="AB258" s="37" cm="1">
        <f t="array" ref="AB258:AC258">LINEST(G249:G258,D249:D258)</f>
        <v>30.589090909090864</v>
      </c>
      <c r="AC258" s="37">
        <v>-3.7254969696969642</v>
      </c>
      <c r="AD258" s="37" cm="1">
        <f t="array" ref="AD258:AE258">LINEST(G244:G258,D244:D258)</f>
        <v>22.808571428571426</v>
      </c>
      <c r="AE258" s="37">
        <v>-2.6479845238095243</v>
      </c>
      <c r="AF258" s="37" cm="1">
        <f t="array" ref="AF258:AG258">LINEST(G239:G258,D239:D258)</f>
        <v>14.526294321132138</v>
      </c>
      <c r="AG258" s="37">
        <v>-1.5160319134351128</v>
      </c>
      <c r="AH258" s="37" cm="1">
        <f t="array" ref="AH258:AI258">LINEST(G234:G258,D234:D258)</f>
        <v>8.4961731116378711</v>
      </c>
      <c r="AI258" s="37">
        <v>-0.70528598110402285</v>
      </c>
      <c r="AJ258" s="37" cm="1">
        <f t="array" ref="AJ258:AK258">LINEST(G229:G258,D229:D258)</f>
        <v>3.9899058864543968</v>
      </c>
      <c r="AK258" s="37">
        <v>-0.1099732130262816</v>
      </c>
    </row>
    <row r="259" spans="1:38" x14ac:dyDescent="0.25">
      <c r="A259" s="61">
        <v>502</v>
      </c>
      <c r="B259" s="14">
        <f t="shared" si="3"/>
        <v>253</v>
      </c>
      <c r="C259" s="15">
        <v>43981</v>
      </c>
      <c r="D259" s="16">
        <v>0.14541666666666667</v>
      </c>
      <c r="E259" s="36">
        <v>20.21</v>
      </c>
      <c r="F259" s="36">
        <v>0.39</v>
      </c>
      <c r="G259" s="36">
        <v>0.63</v>
      </c>
      <c r="H259" s="56" cm="1">
        <f t="array" ref="H259:I259">LINEST(E250:E259,D250:D259)</f>
        <v>13.701818181818208</v>
      </c>
      <c r="I259" s="56">
        <v>18.195163636363631</v>
      </c>
      <c r="J259" s="56" cm="1">
        <f t="array" ref="J259:K259">LINEST(E245:E259,D245:D259)</f>
        <v>1.3371428571428696</v>
      </c>
      <c r="K259" s="56">
        <v>19.935223809523809</v>
      </c>
      <c r="L259" s="56" cm="1">
        <f t="array" ref="L259:M259">LINEST(E240:E259,D240:D259)</f>
        <v>1.1262807681094191</v>
      </c>
      <c r="M259" s="56">
        <v>19.965080002211568</v>
      </c>
      <c r="N259" s="56" cm="1">
        <f t="array" ref="N259:O259">LINEST(E235:E259,D235:D259)</f>
        <v>1.4290699953038137</v>
      </c>
      <c r="O259" s="56">
        <v>19.924006576498154</v>
      </c>
      <c r="P259" s="56" cm="1">
        <f t="array" ref="P259:Q259">LINEST(E230:E259,D230:D259)</f>
        <v>2.2778370442565068</v>
      </c>
      <c r="Q259" s="56">
        <v>19.810636758160488</v>
      </c>
      <c r="R259" s="56" cm="1">
        <f t="array" ref="R259:S259">LINEST(F250:F259,D250:D259)</f>
        <v>-29.236363636363521</v>
      </c>
      <c r="S259" s="56">
        <v>5.0207272727272576</v>
      </c>
      <c r="T259" s="56" cm="1">
        <f t="array" ref="T259:U259">LINEST(F245:F259,D245:D259)</f>
        <v>43.534285714285659</v>
      </c>
      <c r="U259" s="56">
        <v>-5.2086940476190415</v>
      </c>
      <c r="V259" s="56" cm="1">
        <f t="array" ref="V259:W259">LINEST(F240:F259,D240:D259)</f>
        <v>39.682798092931186</v>
      </c>
      <c r="W259" s="56">
        <v>-4.6674707124253523</v>
      </c>
      <c r="X259" s="56" cm="1">
        <f t="array" ref="X259:Y259">LINEST(F235:F259,D235:D259)</f>
        <v>21.385231289942631</v>
      </c>
      <c r="Y259" s="56">
        <v>-2.1933584291501549</v>
      </c>
      <c r="Z259" s="56" cm="1">
        <f t="array" ref="Z259:AA259">LINEST(F230:F259,D230:D259)</f>
        <v>22.880418160090169</v>
      </c>
      <c r="AA259" s="56">
        <v>-2.4010834357108939</v>
      </c>
      <c r="AB259" s="37" cm="1">
        <f t="array" ref="AB259:AC259">LINEST(G250:G259,D250:D259)</f>
        <v>25.614545454545432</v>
      </c>
      <c r="AC259" s="37">
        <v>-3.0396909090909068</v>
      </c>
      <c r="AD259" s="37" cm="1">
        <f t="array" ref="AD259:AE259">LINEST(G245:G259,D245:D259)</f>
        <v>24.300000000000008</v>
      </c>
      <c r="AE259" s="37">
        <v>-2.8600416666666684</v>
      </c>
      <c r="AF259" s="37" cm="1">
        <f t="array" ref="AF259:AG259">LINEST(G240:G259,D240:D259)</f>
        <v>16.432445069998245</v>
      </c>
      <c r="AG259" s="37">
        <v>-1.7732439132165907</v>
      </c>
      <c r="AH259" s="37" cm="1">
        <f t="array" ref="AH259:AI259">LINEST(G235:G259,D235:D259)</f>
        <v>9.4821267269888239</v>
      </c>
      <c r="AI259" s="37">
        <v>-0.83002820597329552</v>
      </c>
      <c r="AJ259" s="37" cm="1">
        <f t="array" ref="AJ259:AK259">LINEST(G230:G259,D230:D259)</f>
        <v>5.4571768703142745</v>
      </c>
      <c r="AK259" s="37">
        <v>-0.29333176331223793</v>
      </c>
    </row>
    <row r="260" spans="1:38" x14ac:dyDescent="0.25">
      <c r="A260" s="61">
        <v>502</v>
      </c>
      <c r="B260" s="14">
        <f t="shared" si="3"/>
        <v>254</v>
      </c>
      <c r="C260" s="15">
        <v>43981</v>
      </c>
      <c r="D260" s="16">
        <v>0.14680555555555555</v>
      </c>
      <c r="E260" s="36">
        <v>20.25</v>
      </c>
      <c r="F260" s="36">
        <v>1.1100000000000001</v>
      </c>
      <c r="G260" s="36">
        <v>0.67</v>
      </c>
      <c r="H260" s="56" cm="1">
        <f t="array" ref="H260:I260">LINEST(E251:E260,D251:D260)</f>
        <v>24.218181818181829</v>
      </c>
      <c r="I260" s="56">
        <v>16.702999999999999</v>
      </c>
      <c r="J260" s="56" cm="1">
        <f t="array" ref="J260:K260">LINEST(E246:E260,D246:D260)</f>
        <v>4.6285714285714405</v>
      </c>
      <c r="K260" s="56">
        <v>19.488166666666661</v>
      </c>
      <c r="L260" s="56" cm="1">
        <f t="array" ref="L260:M260">LINEST(E241:E260,D241:D260)</f>
        <v>2.3662045958104811</v>
      </c>
      <c r="M260" s="56">
        <v>19.805347405506183</v>
      </c>
      <c r="N260" s="56" cm="1">
        <f t="array" ref="N260:O260">LINEST(E236:E260,D236:D260)</f>
        <v>2.171267832332342</v>
      </c>
      <c r="O260" s="56">
        <v>19.832232611603494</v>
      </c>
      <c r="P260" s="56" cm="1">
        <f t="array" ref="P260:Q260">LINEST(E231:E260,D231:D260)</f>
        <v>2.5661604095328974</v>
      </c>
      <c r="Q260" s="56">
        <v>19.778952024761477</v>
      </c>
      <c r="R260" s="56" cm="1">
        <f t="array" ref="R260:S260">LINEST(F251:F260,D251:D260)</f>
        <v>-17.367272727272653</v>
      </c>
      <c r="S260" s="56">
        <v>3.3970666666666562</v>
      </c>
      <c r="T260" s="56" cm="1">
        <f t="array" ref="T260:U260">LINEST(F246:F260,D246:D260)</f>
        <v>50.55428571428569</v>
      </c>
      <c r="U260" s="56">
        <v>-6.2028166666666653</v>
      </c>
      <c r="V260" s="56" cm="1">
        <f t="array" ref="V260:W260">LINEST(F241:F260,D241:D260)</f>
        <v>40.598455292425236</v>
      </c>
      <c r="W260" s="56">
        <v>-4.7984282154921472</v>
      </c>
      <c r="X260" s="56" cm="1">
        <f t="array" ref="X260:Y260">LINEST(F236:F260,D236:D260)</f>
        <v>35.770169409433059</v>
      </c>
      <c r="Y260" s="56">
        <v>-4.1327066625745559</v>
      </c>
      <c r="Z260" s="56" cm="1">
        <f t="array" ref="Z260:AA260">LINEST(F231:F260,D231:D260)</f>
        <v>22.273375655191586</v>
      </c>
      <c r="AA260" s="56">
        <v>-2.3103028427809238</v>
      </c>
      <c r="AB260" s="37" cm="1">
        <f t="array" ref="AB260:AC260">LINEST(G251:G260,D251:D260)</f>
        <v>22.429090909090917</v>
      </c>
      <c r="AC260" s="37">
        <v>-2.5945333333333345</v>
      </c>
      <c r="AD260" s="37" cm="1">
        <f t="array" ref="AD260:AE260">LINEST(G246:G260,D246:D260)</f>
        <v>26.280000000000005</v>
      </c>
      <c r="AE260" s="37">
        <v>-3.1425500000000013</v>
      </c>
      <c r="AF260" s="37" cm="1">
        <f t="array" ref="AF260:AG260">LINEST(G241:G260,D241:D260)</f>
        <v>18.311595390411544</v>
      </c>
      <c r="AG260" s="37">
        <v>-2.0296432033180594</v>
      </c>
      <c r="AH260" s="37" cm="1">
        <f t="array" ref="AH260:AI260">LINEST(G236:G260,D236:D260)</f>
        <v>11.548207116023946</v>
      </c>
      <c r="AI260" s="37">
        <v>-1.1020761891302993</v>
      </c>
      <c r="AJ260" s="37" cm="1">
        <f t="array" ref="AJ260:AK260">LINEST(G231:G260,D231:D260)</f>
        <v>6.7546676613312151</v>
      </c>
      <c r="AK260" s="37">
        <v>-0.45592717640274877</v>
      </c>
    </row>
    <row r="261" spans="1:38" x14ac:dyDescent="0.25">
      <c r="A261" s="61">
        <v>502</v>
      </c>
      <c r="B261" s="14">
        <f t="shared" si="3"/>
        <v>255</v>
      </c>
      <c r="C261" s="15">
        <v>43981</v>
      </c>
      <c r="D261" s="16">
        <v>0.14819444444444443</v>
      </c>
      <c r="E261" s="36">
        <v>20.3</v>
      </c>
      <c r="F261" s="36">
        <v>1.72</v>
      </c>
      <c r="G261" s="36">
        <v>0.75</v>
      </c>
      <c r="H261" s="56" cm="1">
        <f t="array" ref="H261:I261">LINEST(E252:E261,D252:D261)</f>
        <v>25.221818181818193</v>
      </c>
      <c r="I261" s="56">
        <v>16.559903030303033</v>
      </c>
      <c r="J261" s="56" cm="1">
        <f t="array" ref="J261:K261">LINEST(E247:E261,D247:D261)</f>
        <v>7.7657142857143286</v>
      </c>
      <c r="K261" s="56">
        <v>19.059330952380943</v>
      </c>
      <c r="L261" s="56" cm="1">
        <f t="array" ref="L261:M261">LINEST(E242:E261,D242:D261)</f>
        <v>3.5032683504317097</v>
      </c>
      <c r="M261" s="56">
        <v>19.660556745337349</v>
      </c>
      <c r="N261" s="56" cm="1">
        <f t="array" ref="N261:O261">LINEST(E237:E261,D237:D261)</f>
        <v>3.2236589835672986</v>
      </c>
      <c r="O261" s="56">
        <v>19.699197805143307</v>
      </c>
      <c r="P261" s="56" cm="1">
        <f t="array" ref="P261:Q261">LINEST(E232:E261,D232:D261)</f>
        <v>3.2084922898940555</v>
      </c>
      <c r="Q261" s="56">
        <v>19.701466832810986</v>
      </c>
      <c r="R261" s="56" cm="1">
        <f t="array" ref="R261:S261">LINEST(F252:F261,D252:D261)</f>
        <v>18.109090909090941</v>
      </c>
      <c r="S261" s="56">
        <v>-1.5494848484848533</v>
      </c>
      <c r="T261" s="56" cm="1">
        <f t="array" ref="T261:U261">LINEST(F247:F261,D247:D261)</f>
        <v>28.362857142857145</v>
      </c>
      <c r="U261" s="56">
        <v>-3.0041345238095247</v>
      </c>
      <c r="V261" s="56" cm="1">
        <f t="array" ref="V261:W261">LINEST(F242:F261,D242:D261)</f>
        <v>30.293716551243328</v>
      </c>
      <c r="W261" s="56">
        <v>-3.314169265503816</v>
      </c>
      <c r="X261" s="56" cm="1">
        <f t="array" ref="X261:Y261">LINEST(F237:F261,D237:D261)</f>
        <v>40.616915640279743</v>
      </c>
      <c r="Y261" s="56">
        <v>-4.7546714584810701</v>
      </c>
      <c r="Z261" s="56" cm="1">
        <f t="array" ref="Z261:AA261">LINEST(F232:F261,D232:D261)</f>
        <v>31.410352688714706</v>
      </c>
      <c r="AA261" s="56">
        <v>-3.494615615274256</v>
      </c>
      <c r="AB261" s="37" cm="1">
        <f t="array" ref="AB261:AC261">LINEST(G252:G261,D252:D261)</f>
        <v>21.905454545454578</v>
      </c>
      <c r="AC261" s="37">
        <v>-2.515357575757581</v>
      </c>
      <c r="AD261" s="37" cm="1">
        <f t="array" ref="AD261:AE261">LINEST(G247:G261,D247:D261)</f>
        <v>26.357142857142861</v>
      </c>
      <c r="AE261" s="37">
        <v>-3.1537321428571441</v>
      </c>
      <c r="AF261" s="37" cm="1">
        <f t="array" ref="AF261:AG261">LINEST(G242:G261,D242:D261)</f>
        <v>19.270229847257042</v>
      </c>
      <c r="AG261" s="37">
        <v>-2.1569921811330839</v>
      </c>
      <c r="AH261" s="37" cm="1">
        <f t="array" ref="AH261:AI261">LINEST(G237:G261,D237:D261)</f>
        <v>13.791566843610749</v>
      </c>
      <c r="AI261" s="37">
        <v>-1.3987805239984521</v>
      </c>
      <c r="AJ261" s="37" cm="1">
        <f t="array" ref="AJ261:AK261">LINEST(G232:G261,D232:D261)</f>
        <v>8.681697238929388</v>
      </c>
      <c r="AK261" s="37">
        <v>-0.70240957918313296</v>
      </c>
      <c r="AL261" s="45" t="s">
        <v>90</v>
      </c>
    </row>
    <row r="262" spans="1:38" x14ac:dyDescent="0.25">
      <c r="A262" s="61">
        <v>502</v>
      </c>
      <c r="B262" s="14">
        <f t="shared" si="3"/>
        <v>256</v>
      </c>
      <c r="C262" s="15">
        <v>43981</v>
      </c>
      <c r="D262" s="16">
        <v>0.14958333333333332</v>
      </c>
      <c r="E262" s="36">
        <v>20.329999999999998</v>
      </c>
      <c r="F262" s="36">
        <v>0.72</v>
      </c>
      <c r="G262" s="36">
        <v>0.75</v>
      </c>
      <c r="H262" s="56" cm="1">
        <f t="array" ref="H262:I262">LINEST(E253:E262,D253:D262)</f>
        <v>24.043636363636338</v>
      </c>
      <c r="I262" s="56">
        <v>16.73074545454546</v>
      </c>
      <c r="J262" s="56" cm="1">
        <f t="array" ref="J262:K262">LINEST(E248:E262,D248:D262)</f>
        <v>11.185714285714274</v>
      </c>
      <c r="K262" s="56">
        <v>18.583553571428574</v>
      </c>
      <c r="L262" s="56" cm="1">
        <f t="array" ref="L262:M262">LINEST(E243:E262,D243:D262)</f>
        <v>5.3702255639097656</v>
      </c>
      <c r="M262" s="56">
        <v>19.411560902255637</v>
      </c>
      <c r="N262" s="56" cm="1">
        <f t="array" ref="N262:O262">LINEST(E238:E262,D238:D262)</f>
        <v>4.1431293392589144</v>
      </c>
      <c r="O262" s="56">
        <v>19.5833071405414</v>
      </c>
      <c r="P262" s="56" cm="1">
        <f t="array" ref="P262:Q262">LINEST(E233:E262,D233:D262)</f>
        <v>3.8604412078431225</v>
      </c>
      <c r="Q262" s="56">
        <v>19.622285843172556</v>
      </c>
      <c r="R262" s="56" cm="1">
        <f t="array" ref="R262:S262">LINEST(F253:F262,D253:D262)</f>
        <v>8.6400000000000592</v>
      </c>
      <c r="S262" s="56">
        <v>-0.25240000000000851</v>
      </c>
      <c r="T262" s="56" cm="1">
        <f t="array" ref="T262:U262">LINEST(F248:F262,D248:D262)</f>
        <v>15.37714285714287</v>
      </c>
      <c r="U262" s="56">
        <v>-1.2106642857142882</v>
      </c>
      <c r="V262" s="56" cm="1">
        <f t="array" ref="V262:W262">LINEST(F243:F262,D243:D262)</f>
        <v>40.5581954887218</v>
      </c>
      <c r="W262" s="56">
        <v>-4.8066872180451128</v>
      </c>
      <c r="X262" s="56" cm="1">
        <f t="array" ref="X262:Y262">LINEST(F238:F262,D238:D262)</f>
        <v>31.433443254003329</v>
      </c>
      <c r="Y262" s="56">
        <v>-3.5292430516979665</v>
      </c>
      <c r="Z262" s="56" cm="1">
        <f t="array" ref="Z262:AA262">LINEST(F233:F262,D233:D262)</f>
        <v>27.697409152327236</v>
      </c>
      <c r="AA262" s="56">
        <v>-3.0202864260023081</v>
      </c>
      <c r="AB262" s="37" cm="1">
        <f t="array" ref="AB262:AC262">LINEST(G253:G262,D253:D262)</f>
        <v>21.120000000000029</v>
      </c>
      <c r="AC262" s="37">
        <v>-2.4032000000000044</v>
      </c>
      <c r="AD262" s="37" cm="1">
        <f t="array" ref="AD262:AE262">LINEST(G248:G262,D248:D262)</f>
        <v>25.457142857142866</v>
      </c>
      <c r="AE262" s="37">
        <v>-3.0297976190476215</v>
      </c>
      <c r="AF262" s="37" cm="1">
        <f t="array" ref="AF262:AG262">LINEST(G243:G262,D243:D262)</f>
        <v>20.993684210526322</v>
      </c>
      <c r="AG262" s="37">
        <v>-2.3973052631578953</v>
      </c>
      <c r="AH262" s="37" cm="1">
        <f t="array" ref="AH262:AI262">LINEST(G238:G262,D238:D262)</f>
        <v>15.187495989973549</v>
      </c>
      <c r="AI262" s="37">
        <v>-1.5854783732487936</v>
      </c>
      <c r="AJ262" s="37" cm="1">
        <f t="array" ref="AJ262:AK262">LINEST(G233:G262,D233:D262)</f>
        <v>10.168241782531595</v>
      </c>
      <c r="AK262" s="37">
        <v>-0.8948929981160425</v>
      </c>
      <c r="AL262" s="51" t="s">
        <v>24</v>
      </c>
    </row>
    <row r="263" spans="1:38" x14ac:dyDescent="0.25">
      <c r="A263" s="61">
        <v>502</v>
      </c>
      <c r="B263" s="14">
        <f t="shared" si="3"/>
        <v>257</v>
      </c>
      <c r="C263" s="15">
        <v>43981</v>
      </c>
      <c r="D263" s="16">
        <v>0.1509722222222222</v>
      </c>
      <c r="E263" s="36">
        <v>20.37</v>
      </c>
      <c r="F263" s="36">
        <v>1.18</v>
      </c>
      <c r="G263" s="36">
        <v>0.78</v>
      </c>
      <c r="H263" s="56" cm="1">
        <f t="array" ref="H263:I263">LINEST(E254:E263,D254:D263)</f>
        <v>24.567272727272812</v>
      </c>
      <c r="I263" s="56">
        <v>16.655569696969685</v>
      </c>
      <c r="J263" s="56" cm="1">
        <f t="array" ref="J263:K263">LINEST(E249:E263,D249:D263)</f>
        <v>15.222857142857123</v>
      </c>
      <c r="K263" s="56">
        <v>18.012438095238096</v>
      </c>
      <c r="L263" s="56" cm="1">
        <f t="array" ref="L263:M263">LINEST(E244:E263,D244:D263)</f>
        <v>7.4219548872180621</v>
      </c>
      <c r="M263" s="56">
        <v>19.133919548872178</v>
      </c>
      <c r="N263" s="56" cm="1">
        <f t="array" ref="N263:O263">LINEST(E239:E263,D239:D263)</f>
        <v>5.3949674503484903</v>
      </c>
      <c r="O263" s="56">
        <v>19.420623401706692</v>
      </c>
      <c r="P263" s="56" cm="1">
        <f t="array" ref="P263:Q263">LINEST(E234:E263,D234:D263)</f>
        <v>4.7046208460239765</v>
      </c>
      <c r="Q263" s="56">
        <v>19.516810290924195</v>
      </c>
      <c r="R263" s="56" cm="1">
        <f t="array" ref="R263:S263">LINEST(F254:F263,D254:D263)</f>
        <v>20.290909090909174</v>
      </c>
      <c r="S263" s="56">
        <v>-1.9395454545454667</v>
      </c>
      <c r="T263" s="56" cm="1">
        <f t="array" ref="T263:U263">LINEST(F249:F263,D249:D263)</f>
        <v>13.525714285714294</v>
      </c>
      <c r="U263" s="56">
        <v>-0.9345071428571442</v>
      </c>
      <c r="V263" s="56" cm="1">
        <f t="array" ref="V263:W263">LINEST(F244:F263,D244:D263)</f>
        <v>37.223458646616564</v>
      </c>
      <c r="W263" s="56">
        <v>-4.345565413533838</v>
      </c>
      <c r="X263" s="56" cm="1">
        <f t="array" ref="X263:Y263">LINEST(F239:F263,D239:D263)</f>
        <v>36.629467060072727</v>
      </c>
      <c r="Y263" s="56">
        <v>-4.2587578812935911</v>
      </c>
      <c r="Z263" s="56" cm="1">
        <f t="array" ref="Z263:AA263">LINEST(F234:F263,D234:D263)</f>
        <v>31.671786867243014</v>
      </c>
      <c r="AA263" s="56">
        <v>-3.5657376675178694</v>
      </c>
      <c r="AB263" s="37" cm="1">
        <f t="array" ref="AB263:AC263">LINEST(G254:G263,D254:D263)</f>
        <v>20.814545454545502</v>
      </c>
      <c r="AC263" s="37">
        <v>-2.3593272727272798</v>
      </c>
      <c r="AD263" s="37" cm="1">
        <f t="array" ref="AD263:AE263">LINEST(G249:G263,D249:D263)</f>
        <v>24.582857142857158</v>
      </c>
      <c r="AE263" s="37">
        <v>-2.9076619047619072</v>
      </c>
      <c r="AF263" s="37" cm="1">
        <f t="array" ref="AF263:AG263">LINEST(G244:G263,D244:D263)</f>
        <v>22.222556390977459</v>
      </c>
      <c r="AG263" s="37">
        <v>-2.5712744360902282</v>
      </c>
      <c r="AH263" s="37" cm="1">
        <f t="array" ref="AH263:AI263">LINEST(G239:G263,D239:D263)</f>
        <v>16.821644096285777</v>
      </c>
      <c r="AI263" s="37">
        <v>-1.8084480435076848</v>
      </c>
      <c r="AJ263" s="37" cm="1">
        <f t="array" ref="AJ263:AK263">LINEST(G234:G263,D234:D263)</f>
        <v>11.82780892189994</v>
      </c>
      <c r="AK263" s="37">
        <v>-1.1141428971464618</v>
      </c>
    </row>
    <row r="264" spans="1:38" x14ac:dyDescent="0.25">
      <c r="A264" s="61">
        <v>502</v>
      </c>
      <c r="B264" s="14">
        <f t="shared" si="3"/>
        <v>258</v>
      </c>
      <c r="C264" s="15">
        <v>43981</v>
      </c>
      <c r="D264" s="16">
        <v>0.15236111111111111</v>
      </c>
      <c r="E264" s="36">
        <v>20.399999999999999</v>
      </c>
      <c r="F264" s="36">
        <v>0.92</v>
      </c>
      <c r="G264" s="36">
        <v>0.79</v>
      </c>
      <c r="H264" s="56" cm="1">
        <f t="array" ref="H264:I264">LINEST(E255:E264,D255:D264)</f>
        <v>24.261818181818242</v>
      </c>
      <c r="I264" s="56">
        <v>16.701078787878782</v>
      </c>
      <c r="J264" s="56" cm="1">
        <f t="array" ref="J264:K264">LINEST(E250:E264,D250:D264)</f>
        <v>19.645714285714273</v>
      </c>
      <c r="K264" s="56">
        <v>17.375757142857147</v>
      </c>
      <c r="L264" s="56" cm="1">
        <f t="array" ref="L264:M264">LINEST(E245:E264,D245:D264)</f>
        <v>9.6252631578947305</v>
      </c>
      <c r="M264" s="56">
        <v>18.830484210526315</v>
      </c>
      <c r="N264" s="56" cm="1">
        <f t="array" ref="N264:O264">LINEST(E240:E264,D240:D264)</f>
        <v>6.7631565706805041</v>
      </c>
      <c r="O264" s="56">
        <v>19.239474095359707</v>
      </c>
      <c r="P264" s="56" cm="1">
        <f t="array" ref="P264:Q264">LINEST(E235:E264,D235:D264)</f>
        <v>5.3902217645726287</v>
      </c>
      <c r="Q264" s="56">
        <v>19.432290820456753</v>
      </c>
      <c r="R264" s="56" cm="1">
        <f t="array" ref="R264:S264">LINEST(F255:F264,D255:D264)</f>
        <v>-15.709090909090925</v>
      </c>
      <c r="S264" s="56">
        <v>3.3532727272727296</v>
      </c>
      <c r="T264" s="56" cm="1">
        <f t="array" ref="T264:U264">LINEST(F250:F264,D250:D264)</f>
        <v>0.46285714285714202</v>
      </c>
      <c r="U264" s="56">
        <v>0.94531190476190496</v>
      </c>
      <c r="V264" s="56" cm="1">
        <f t="array" ref="V264:W264">LINEST(F245:F264,D245:D264)</f>
        <v>34.846917293233098</v>
      </c>
      <c r="W264" s="56">
        <v>-4.0430293233082741</v>
      </c>
      <c r="X264" s="56" cm="1">
        <f t="array" ref="X264:Y264">LINEST(F240:F264,D240:D264)</f>
        <v>35.034522424181432</v>
      </c>
      <c r="Y264" s="56">
        <v>-4.0644062764120372</v>
      </c>
      <c r="Z264" s="56" cm="1">
        <f t="array" ref="Z264:AA264">LINEST(F235:F264,D235:D264)</f>
        <v>23.487868479122593</v>
      </c>
      <c r="AA264" s="56">
        <v>-2.4506272272505294</v>
      </c>
      <c r="AB264" s="37" cm="1">
        <f t="array" ref="AB264:AC264">LINEST(G255:G264,D255:D264)</f>
        <v>17.890909090909112</v>
      </c>
      <c r="AC264" s="37">
        <v>-1.9300606060606096</v>
      </c>
      <c r="AD264" s="37" cm="1">
        <f t="array" ref="AD264:AE264">LINEST(G250:G264,D250:D264)</f>
        <v>22.577142857142864</v>
      </c>
      <c r="AE264" s="37">
        <v>-2.62104523809524</v>
      </c>
      <c r="AF264" s="37" cm="1">
        <f t="array" ref="AF264:AG264">LINEST(G245:G264,D245:D264)</f>
        <v>23.137443609022572</v>
      </c>
      <c r="AG264" s="37">
        <v>-2.7049609022556416</v>
      </c>
      <c r="AH264" s="37" cm="1">
        <f t="array" ref="AH264:AI264">LINEST(G240:G264,D240:D264)</f>
        <v>18.206567703214894</v>
      </c>
      <c r="AI264" s="37">
        <v>-2.001338518694439</v>
      </c>
      <c r="AJ264" s="37" cm="1">
        <f t="array" ref="AJ264:AK264">LINEST(G235:G264,D235:D264)</f>
        <v>12.72329591006836</v>
      </c>
      <c r="AK264" s="37">
        <v>-1.2319740345657939</v>
      </c>
      <c r="AL264" s="40" t="s">
        <v>91</v>
      </c>
    </row>
    <row r="265" spans="1:38" x14ac:dyDescent="0.25">
      <c r="A265" s="61">
        <v>502</v>
      </c>
      <c r="B265" s="14">
        <f t="shared" ref="B265:B328" si="4">B264+1</f>
        <v>259</v>
      </c>
      <c r="C265" s="15">
        <v>43981</v>
      </c>
      <c r="D265" s="16">
        <v>0.15375</v>
      </c>
      <c r="E265" s="36">
        <v>20.260000000000002</v>
      </c>
      <c r="F265" s="36">
        <v>0.92</v>
      </c>
      <c r="G265" s="36">
        <v>0.8</v>
      </c>
      <c r="H265" s="56" cm="1">
        <f t="array" ref="H265:I265">LINEST(E256:E265,D256:D265)</f>
        <v>16.843636363636413</v>
      </c>
      <c r="I265" s="56">
        <v>17.779563636363626</v>
      </c>
      <c r="J265" s="56" cm="1">
        <f t="array" ref="J265:K265">LINEST(E251:E265,D251:D265)</f>
        <v>21.574285714285732</v>
      </c>
      <c r="K265" s="56">
        <v>17.074703571428572</v>
      </c>
      <c r="L265" s="56" cm="1">
        <f t="array" ref="L265:M265">LINEST(E246:E265,D246:D265)</f>
        <v>10.437293233082716</v>
      </c>
      <c r="M265" s="56">
        <v>18.707980451127817</v>
      </c>
      <c r="N265" s="56" cm="1">
        <f t="array" ref="N265:O265">LINEST(E241:E265,D241:D265)</f>
        <v>7.0346366264659643</v>
      </c>
      <c r="O265" s="56">
        <v>19.199265305679074</v>
      </c>
      <c r="P265" s="56" cm="1">
        <f t="array" ref="P265:Q265">LINEST(E236:E265,D236:D265)</f>
        <v>5.6016939698655195</v>
      </c>
      <c r="Q265" s="56">
        <v>19.402549283434492</v>
      </c>
      <c r="R265" s="56" cm="1">
        <f t="array" ref="R265:S265">LINEST(F256:F265,D256:D265)</f>
        <v>-14.792727272727305</v>
      </c>
      <c r="S265" s="56">
        <v>3.2129272727272777</v>
      </c>
      <c r="T265" s="56" cm="1">
        <f t="array" ref="T265:U265">LINEST(F251:F265,D251:D265)</f>
        <v>2.5714285714286949E-2</v>
      </c>
      <c r="U265" s="56">
        <v>0.99762976190476182</v>
      </c>
      <c r="V265" s="56" cm="1">
        <f t="array" ref="V265:W265">LINEST(F246:F265,D246:D265)</f>
        <v>34.576240601503756</v>
      </c>
      <c r="W265" s="56">
        <v>-4.0413827067669175</v>
      </c>
      <c r="X265" s="56" cm="1">
        <f t="array" ref="X265:Y265">LINEST(F241:F265,D241:D265)</f>
        <v>32.896687435577476</v>
      </c>
      <c r="Y265" s="56">
        <v>-3.7904027992416318</v>
      </c>
      <c r="Z265" s="56" cm="1">
        <f t="array" ref="Z265:AA265">LINEST(F236:F265,D236:D265)</f>
        <v>31.646521527384706</v>
      </c>
      <c r="AA265" s="56">
        <v>-3.6110057800483775</v>
      </c>
      <c r="AB265" s="37" cm="1">
        <f t="array" ref="AB265:AC265">LINEST(G256:G265,D256:D265)</f>
        <v>15.534545454545489</v>
      </c>
      <c r="AC265" s="37">
        <v>-1.5813454545454602</v>
      </c>
      <c r="AD265" s="37" cm="1">
        <f t="array" ref="AD265:AE265">LINEST(G251:G265,D251:D265)</f>
        <v>20.854285714285723</v>
      </c>
      <c r="AE265" s="37">
        <v>-2.3735964285714299</v>
      </c>
      <c r="AF265" s="37" cm="1">
        <f t="array" ref="AF265:AG265">LINEST(G246:G265,D246:D265)</f>
        <v>23.965714285714302</v>
      </c>
      <c r="AG265" s="37">
        <v>-2.8300142857142885</v>
      </c>
      <c r="AH265" s="37" cm="1">
        <f t="array" ref="AH265:AI265">LINEST(G241:G265,D241:D265)</f>
        <v>19.331178738992488</v>
      </c>
      <c r="AI265" s="37">
        <v>-2.1615913684233399</v>
      </c>
      <c r="AJ265" s="37" cm="1">
        <f t="array" ref="AJ265:AK265">LINEST(G236:G265,D236:D265)</f>
        <v>14.197086674482938</v>
      </c>
      <c r="AK265" s="37">
        <v>-1.4338940023895077</v>
      </c>
      <c r="AL265" s="40" t="s">
        <v>22</v>
      </c>
    </row>
    <row r="266" spans="1:38" x14ac:dyDescent="0.25">
      <c r="A266" s="61">
        <v>502</v>
      </c>
      <c r="B266" s="14">
        <f t="shared" si="4"/>
        <v>260</v>
      </c>
      <c r="C266" s="15">
        <v>43981</v>
      </c>
      <c r="D266" s="16">
        <v>0.15513888888888888</v>
      </c>
      <c r="E266" s="36">
        <v>21.17</v>
      </c>
      <c r="F266" s="36">
        <v>0.92</v>
      </c>
      <c r="G266" s="36">
        <v>0.81</v>
      </c>
      <c r="H266" s="56" cm="1">
        <f t="array" ref="H266:I266">LINEST(E257:E266,D257:D266)</f>
        <v>46.952727272727344</v>
      </c>
      <c r="I266" s="56">
        <v>13.375260606060598</v>
      </c>
      <c r="J266" s="56" cm="1">
        <f t="array" ref="J266:K266">LINEST(E252:E266,D252:D266)</f>
        <v>34.997142857142897</v>
      </c>
      <c r="K266" s="56">
        <v>15.172832142857137</v>
      </c>
      <c r="L266" s="56" cm="1">
        <f t="array" ref="L266:M266">LINEST(E247:E266,D247:D266)</f>
        <v>20.04631578947372</v>
      </c>
      <c r="M266" s="56">
        <v>17.382036842105258</v>
      </c>
      <c r="N266" s="56" cm="1">
        <f t="array" ref="N266:O266">LINEST(E242:E266,D242:D266)</f>
        <v>12.978205212175977</v>
      </c>
      <c r="O266" s="56">
        <v>18.410873075385624</v>
      </c>
      <c r="P266" s="56" cm="1">
        <f t="array" ref="P266:Q266">LINEST(E237:E266,D237:D266)</f>
        <v>10.032474216510801</v>
      </c>
      <c r="Q266" s="56">
        <v>18.832612110217717</v>
      </c>
      <c r="R266" s="56" cm="1">
        <f t="array" ref="R266:S266">LINEST(F257:F266,D257:D266)</f>
        <v>27.359999999999957</v>
      </c>
      <c r="S266" s="56">
        <v>-3.1505999999999936</v>
      </c>
      <c r="T266" s="56" cm="1">
        <f t="array" ref="T266:U266">LINEST(F252:F266,D252:D266)</f>
        <v>-2.5714285714280687E-2</v>
      </c>
      <c r="U266" s="56">
        <v>0.99507261904761835</v>
      </c>
      <c r="V266" s="56" cm="1">
        <f t="array" ref="V266:W266">LINEST(F247:F266,D247:D266)</f>
        <v>12.445714285714281</v>
      </c>
      <c r="W266" s="56">
        <v>-0.84109999999999929</v>
      </c>
      <c r="X266" s="56" cm="1">
        <f t="array" ref="X266:Y266">LINEST(F242:F266,D242:D266)</f>
        <v>19.907014827562456</v>
      </c>
      <c r="Y266" s="56">
        <v>-1.9497777971938686</v>
      </c>
      <c r="Z266" s="56" cm="1">
        <f t="array" ref="Z266:AA266">LINEST(F237:F266,D237:D266)</f>
        <v>30.434049691438489</v>
      </c>
      <c r="AA266" s="56">
        <v>-3.4636084498757116</v>
      </c>
      <c r="AB266" s="37" cm="1">
        <f t="array" ref="AB266:AC266">LINEST(G257:G266,D257:D266)</f>
        <v>16.581818181818203</v>
      </c>
      <c r="AC266" s="37">
        <v>-1.7428484848484884</v>
      </c>
      <c r="AD266" s="37" cm="1">
        <f t="array" ref="AD266:AE266">LINEST(G252:G266,D252:D266)</f>
        <v>19.157142857142873</v>
      </c>
      <c r="AE266" s="37">
        <v>-2.1277678571428593</v>
      </c>
      <c r="AF266" s="37" cm="1">
        <f t="array" ref="AF266:AG266">LINEST(G247:G266,D247:D266)</f>
        <v>23.023759398496253</v>
      </c>
      <c r="AG266" s="37">
        <v>-2.6995947368421072</v>
      </c>
      <c r="AH266" s="37" cm="1">
        <f t="array" ref="AH266:AI266">LINEST(G242:G266,D242:D266)</f>
        <v>19.392246428053227</v>
      </c>
      <c r="AI266" s="37">
        <v>-2.1724964346653457</v>
      </c>
      <c r="AJ266" s="37" cm="1">
        <f t="array" ref="AJ266:AK266">LINEST(G237:G266,D237:D266)</f>
        <v>15.446630780695743</v>
      </c>
      <c r="AK266" s="37">
        <v>-1.6083011147422199</v>
      </c>
      <c r="AL266" s="39" t="s">
        <v>21</v>
      </c>
    </row>
    <row r="267" spans="1:38" x14ac:dyDescent="0.25">
      <c r="A267" s="61">
        <v>502</v>
      </c>
      <c r="B267" s="14">
        <f t="shared" si="4"/>
        <v>261</v>
      </c>
      <c r="C267" s="15">
        <v>43981</v>
      </c>
      <c r="D267" s="16">
        <v>0.15652777777777779</v>
      </c>
      <c r="E267" s="36">
        <v>21.21</v>
      </c>
      <c r="F267" s="36">
        <v>0.92</v>
      </c>
      <c r="G267" s="36">
        <v>0.82</v>
      </c>
      <c r="H267" s="56" cm="1">
        <f t="array" ref="H267:I267">LINEST(E258:E267,D258:D267)</f>
        <v>70.690909090909244</v>
      </c>
      <c r="I267" s="56">
        <v>9.8467272727272519</v>
      </c>
      <c r="J267" s="56" cm="1">
        <f t="array" ref="J267:K267">LINEST(E253:E267,D253:D267)</f>
        <v>45.848571428571503</v>
      </c>
      <c r="K267" s="56">
        <v>13.614508333333326</v>
      </c>
      <c r="L267" s="56" cm="1">
        <f t="array" ref="L267:M267">LINEST(E248:E267,D248:D267)</f>
        <v>29.043609022556424</v>
      </c>
      <c r="M267" s="56">
        <v>16.118582706766912</v>
      </c>
      <c r="N267" s="56" cm="1">
        <f t="array" ref="N267:O267">LINEST(E243:E267,D243:D267)</f>
        <v>19.002461538461564</v>
      </c>
      <c r="O267" s="56">
        <v>17.593894615384613</v>
      </c>
      <c r="P267" s="56" cm="1">
        <f t="array" ref="P267:Q267">LINEST(E238:E267,D238:D267)</f>
        <v>14.154146396198774</v>
      </c>
      <c r="Q267" s="56">
        <v>18.29485957248048</v>
      </c>
      <c r="R267" s="56" cm="1">
        <f t="array" ref="R267:S267">LINEST(F258:F267,D258:D267)</f>
        <v>3.5781818181817582</v>
      </c>
      <c r="S267" s="56">
        <v>0.4342787878787967</v>
      </c>
      <c r="T267" s="56" cm="1">
        <f t="array" ref="T267:U267">LINEST(F253:F267,D253:D267)</f>
        <v>0.30857142857142789</v>
      </c>
      <c r="U267" s="56">
        <v>0.93603333333333349</v>
      </c>
      <c r="V267" s="56" cm="1">
        <f t="array" ref="V267:W267">LINEST(F248:F267,D248:D267)</f>
        <v>7.2108270676691744</v>
      </c>
      <c r="W267" s="56">
        <v>-8.5551879699248268E-2</v>
      </c>
      <c r="X267" s="56" cm="1">
        <f t="array" ref="X267:Y267">LINEST(F243:F267,D243:D267)</f>
        <v>27.29907692307691</v>
      </c>
      <c r="Y267" s="56">
        <v>-3.0436792307692282</v>
      </c>
      <c r="Z267" s="56" cm="1">
        <f t="array" ref="Z267:AA267">LINEST(F238:F267,D238:D267)</f>
        <v>24.486250255858451</v>
      </c>
      <c r="AA267" s="56">
        <v>-2.636995245640946</v>
      </c>
      <c r="AB267" s="37" cm="1">
        <f t="array" ref="AB267:AC267">LINEST(G258:G267,D258:D267)</f>
        <v>15.665454545454534</v>
      </c>
      <c r="AC267" s="37">
        <v>-1.6091696969696954</v>
      </c>
      <c r="AD267" s="37" cm="1">
        <f t="array" ref="AD267:AE267">LINEST(G253:G267,D253:D267)</f>
        <v>17.794285714285728</v>
      </c>
      <c r="AE267" s="37">
        <v>-1.9296333333333353</v>
      </c>
      <c r="AF267" s="37" cm="1">
        <f t="array" ref="AF267:AG267">LINEST(G248:G267,D248:D267)</f>
        <v>21.76240601503758</v>
      </c>
      <c r="AG267" s="37">
        <v>-2.5212781954887209</v>
      </c>
      <c r="AH267" s="37" cm="1">
        <f t="array" ref="AH267:AI267">LINEST(G243:G267,D243:D267)</f>
        <v>20.043692307692314</v>
      </c>
      <c r="AI267" s="37">
        <v>-2.2705330769230776</v>
      </c>
      <c r="AJ267" s="37" cm="1">
        <f t="array" ref="AJ267:AK267">LINEST(G238:G267,D238:D267)</f>
        <v>16.161148438747443</v>
      </c>
      <c r="AK267" s="37">
        <v>-1.7098739804068024</v>
      </c>
      <c r="AL267" s="84" t="s">
        <v>84</v>
      </c>
    </row>
    <row r="268" spans="1:38" x14ac:dyDescent="0.25">
      <c r="A268" s="61">
        <v>502</v>
      </c>
      <c r="B268" s="14">
        <f t="shared" si="4"/>
        <v>262</v>
      </c>
      <c r="C268" s="15">
        <v>43981</v>
      </c>
      <c r="D268" s="16">
        <v>0.15791666666666668</v>
      </c>
      <c r="E268" s="36">
        <v>21.18</v>
      </c>
      <c r="F268" s="36">
        <v>-0.86</v>
      </c>
      <c r="G268" s="36">
        <v>0.69</v>
      </c>
      <c r="H268" s="56" cm="1">
        <f t="array" ref="H268:I268">LINEST(E259:E268,D259:D268)</f>
        <v>85.614545454545407</v>
      </c>
      <c r="I268" s="56">
        <v>7.5831272727272836</v>
      </c>
      <c r="J268" s="56" cm="1">
        <f t="array" ref="J268:K268">LINEST(E254:E268,D254:D268)</f>
        <v>54.385714285714364</v>
      </c>
      <c r="K268" s="56">
        <v>12.362339285714276</v>
      </c>
      <c r="L268" s="56" cm="1">
        <f t="array" ref="L268:M268">LINEST(E249:E268,D249:D268)</f>
        <v>36.790375939849639</v>
      </c>
      <c r="M268" s="56">
        <v>15.00861503759398</v>
      </c>
      <c r="N268" s="56" cm="1">
        <f t="array" ref="N268:O268">LINEST(E244:E268,D244:D268)</f>
        <v>24.225230769230805</v>
      </c>
      <c r="O268" s="56">
        <v>16.872186153846148</v>
      </c>
      <c r="P268" s="56" cm="1">
        <f t="array" ref="P268:Q268">LINEST(E239:E268,D239:D268)</f>
        <v>17.917055795148134</v>
      </c>
      <c r="Q268" s="56">
        <v>17.793087622446333</v>
      </c>
      <c r="R268" s="56" cm="1">
        <f t="array" ref="R268:S268">LINEST(F259:F268,D259:D268)</f>
        <v>-70.865454545454554</v>
      </c>
      <c r="S268" s="56">
        <v>11.541927272727275</v>
      </c>
      <c r="T268" s="56" cm="1">
        <f t="array" ref="T268:U268">LINEST(F254:F268,D254:D268)</f>
        <v>-31.011428571428613</v>
      </c>
      <c r="U268" s="56">
        <v>5.4483880952381014</v>
      </c>
      <c r="V268" s="56" cm="1">
        <f t="array" ref="V268:W268">LINEST(F249:F268,D249:D268)</f>
        <v>-14.887218045112785</v>
      </c>
      <c r="W268" s="56">
        <v>3.0275112781954894</v>
      </c>
      <c r="X268" s="56" cm="1">
        <f t="array" ref="X268:Y268">LINEST(F244:F268,D244:D268)</f>
        <v>11.00492307692306</v>
      </c>
      <c r="Y268" s="56">
        <v>-0.81524538461538176</v>
      </c>
      <c r="Z268" s="56" cm="1">
        <f t="array" ref="Z268:AA268">LINEST(F239:F268,D239:D268)</f>
        <v>18.107755923315533</v>
      </c>
      <c r="AA268" s="56">
        <v>-1.8501866910070852</v>
      </c>
      <c r="AB268" s="37" cm="1">
        <f t="array" ref="AB268:AC268">LINEST(G259:G268,D259:D268)</f>
        <v>8.9454545454545187</v>
      </c>
      <c r="AC268" s="37">
        <v>-0.60772727272726879</v>
      </c>
      <c r="AD268" s="37" cm="1">
        <f t="array" ref="AD268:AE268">LINEST(G254:G268,D254:D268)</f>
        <v>13.962857142857144</v>
      </c>
      <c r="AE268" s="37">
        <v>-1.373217857142857</v>
      </c>
      <c r="AF268" s="37" cm="1">
        <f t="array" ref="AF268:AG268">LINEST(G249:G268,D249:D268)</f>
        <v>18.979849624060147</v>
      </c>
      <c r="AG268" s="37">
        <v>-2.1278060150375935</v>
      </c>
      <c r="AH268" s="37" cm="1">
        <f t="array" ref="AH268:AI268">LINEST(G244:G268,D244:D268)</f>
        <v>19.34030769230769</v>
      </c>
      <c r="AI268" s="37">
        <v>-2.1830184615384609</v>
      </c>
      <c r="AJ268" s="37" cm="1">
        <f t="array" ref="AJ268:AK268">LINEST(G239:G268,D239:D268)</f>
        <v>16.303807698334573</v>
      </c>
      <c r="AK268" s="37">
        <v>-1.7403086840420294</v>
      </c>
      <c r="AL268" s="84"/>
    </row>
    <row r="269" spans="1:38" x14ac:dyDescent="0.25">
      <c r="A269" s="61">
        <v>502</v>
      </c>
      <c r="B269" s="14">
        <f t="shared" si="4"/>
        <v>263</v>
      </c>
      <c r="C269" s="15">
        <v>43981</v>
      </c>
      <c r="D269" s="16">
        <v>0.15930555555555556</v>
      </c>
      <c r="E269" s="36">
        <v>21.1</v>
      </c>
      <c r="F269" s="36">
        <v>-1.5</v>
      </c>
      <c r="G269" s="36">
        <v>0.52</v>
      </c>
      <c r="H269" s="56" cm="1">
        <f t="array" ref="H269:I269">LINEST(E260:E269,D260:D269)</f>
        <v>89.323636363636339</v>
      </c>
      <c r="I269" s="56">
        <v>6.9855212121212187</v>
      </c>
      <c r="J269" s="56" cm="1">
        <f t="array" ref="J269:K269">LINEST(E255:E269,D255:D269)</f>
        <v>58.937142857142973</v>
      </c>
      <c r="K269" s="56">
        <v>11.675985714285696</v>
      </c>
      <c r="L269" s="56" cm="1">
        <f t="array" ref="L269:M269">LINEST(E250:E269,D250:D269)</f>
        <v>42.826466165413564</v>
      </c>
      <c r="M269" s="56">
        <v>14.122077443609017</v>
      </c>
      <c r="N269" s="56" cm="1">
        <f t="array" ref="N269:O269">LINEST(E245:E269,D245:D269)</f>
        <v>28.401230769230807</v>
      </c>
      <c r="O269" s="56">
        <v>16.281679999999994</v>
      </c>
      <c r="P269" s="56" cm="1">
        <f t="array" ref="P269:Q269">LINEST(E240:E269,D240:D269)</f>
        <v>21.008821102298246</v>
      </c>
      <c r="Q269" s="56">
        <v>17.37126429134177</v>
      </c>
      <c r="R269" s="56" cm="1">
        <f t="array" ref="R269:S269">LINEST(F260:F269,D260:D269)</f>
        <v>-180.34909090909056</v>
      </c>
      <c r="S269" s="56">
        <v>28.208430303030251</v>
      </c>
      <c r="T269" s="56" cm="1">
        <f t="array" ref="T269:U269">LINEST(F255:F269,D255:D269)</f>
        <v>-84.522857142857177</v>
      </c>
      <c r="U269" s="56">
        <v>13.37521071428572</v>
      </c>
      <c r="V269" s="56" cm="1">
        <f t="array" ref="V269:W269">LINEST(F250:F269,D250:D269)</f>
        <v>-44.786165413533837</v>
      </c>
      <c r="W269" s="56">
        <v>7.3222563909774454</v>
      </c>
      <c r="X269" s="56" cm="1">
        <f t="array" ref="X269:Y269">LINEST(F245:F269,D245:D269)</f>
        <v>-5.9593846153846455</v>
      </c>
      <c r="Y269" s="56">
        <v>1.5112400000000048</v>
      </c>
      <c r="Z269" s="56" cm="1">
        <f t="array" ref="Z269:AA269">LINEST(F240:F269,D240:D269)</f>
        <v>5.9365910528505133</v>
      </c>
      <c r="AA269" s="56">
        <v>-0.23817787853984895</v>
      </c>
      <c r="AB269" s="37" cm="1">
        <f t="array" ref="AB269:AC269">LINEST(G260:G269,D260:D269)</f>
        <v>-5.7599999999999927</v>
      </c>
      <c r="AC269" s="37">
        <v>1.6195999999999988</v>
      </c>
      <c r="AD269" s="37" cm="1">
        <f t="array" ref="AD269:AE269">LINEST(G255:G269,D255:D269)</f>
        <v>6.3514285714285617</v>
      </c>
      <c r="AE269" s="37">
        <v>-0.25140119047618925</v>
      </c>
      <c r="AF269" s="37" cm="1">
        <f t="array" ref="AF269:AG269">LINEST(G250:G269,D250:D269)</f>
        <v>13.993984962406014</v>
      </c>
      <c r="AG269" s="37">
        <v>-1.4131766917293236</v>
      </c>
      <c r="AH269" s="37" cm="1">
        <f t="array" ref="AH269:AI269">LINEST(G245:G269,D245:D269)</f>
        <v>17.357538461538461</v>
      </c>
      <c r="AI269" s="37">
        <v>-1.9182599999999999</v>
      </c>
      <c r="AJ269" s="37" cm="1">
        <f t="array" ref="AJ269:AK269">LINEST(G240:G269,D240:D269)</f>
        <v>15.494937963028342</v>
      </c>
      <c r="AK269" s="37">
        <v>-1.6440515111734357</v>
      </c>
      <c r="AL269" s="84"/>
    </row>
    <row r="270" spans="1:38" x14ac:dyDescent="0.25">
      <c r="A270" s="61">
        <v>502</v>
      </c>
      <c r="B270" s="14">
        <f t="shared" si="4"/>
        <v>264</v>
      </c>
      <c r="C270" s="15">
        <v>43981</v>
      </c>
      <c r="D270" s="16">
        <v>0.16069444444444445</v>
      </c>
      <c r="E270" s="36">
        <v>21.09</v>
      </c>
      <c r="F270" s="36">
        <v>-0.16</v>
      </c>
      <c r="G270" s="36">
        <v>0.47</v>
      </c>
      <c r="H270" s="56" cm="1">
        <f t="array" ref="H270:I270">LINEST(E261:E270,D261:D270)</f>
        <v>86.792727272727163</v>
      </c>
      <c r="I270" s="56">
        <v>7.3363454545454729</v>
      </c>
      <c r="J270" s="56" cm="1">
        <f t="array" ref="J270:K270">LINEST(E256:E270,D256:D270)</f>
        <v>61.225714285714361</v>
      </c>
      <c r="K270" s="56">
        <v>11.315951190476177</v>
      </c>
      <c r="L270" s="56" cm="1">
        <f t="array" ref="L270:M270">LINEST(E251:E270,D251:D270)</f>
        <v>48.09383458646618</v>
      </c>
      <c r="M270" s="56">
        <v>13.330159398496239</v>
      </c>
      <c r="N270" s="56" cm="1">
        <f t="array" ref="N270:O270">LINEST(E246:E270,D246:D270)</f>
        <v>32.189538461538483</v>
      </c>
      <c r="O270" s="56">
        <v>15.733812307692304</v>
      </c>
      <c r="P270" s="56" cm="1">
        <f t="array" ref="P270:Q270">LINEST(E241:E270,D241:D270)</f>
        <v>23.733788880648607</v>
      </c>
      <c r="Q270" s="56">
        <v>16.992074961887816</v>
      </c>
      <c r="R270" s="56" cm="1">
        <f t="array" ref="R270:S270">LINEST(F261:F270,D261:D270)</f>
        <v>-186.15272727272685</v>
      </c>
      <c r="S270" s="56">
        <v>29.228254545454487</v>
      </c>
      <c r="T270" s="56" cm="1">
        <f t="array" ref="T270:U270">LINEST(F256:F270,D256:D270)</f>
        <v>-91.157142857142901</v>
      </c>
      <c r="U270" s="56">
        <v>14.404196428571435</v>
      </c>
      <c r="V270" s="56" cm="1">
        <f t="array" ref="V270:W270">LINEST(F251:F270,D251:D270)</f>
        <v>-51.125413533834582</v>
      </c>
      <c r="W270" s="56">
        <v>8.2579984962406012</v>
      </c>
      <c r="X270" s="56" cm="1">
        <f t="array" ref="X270:Y270">LINEST(F246:F270,D246:D270)</f>
        <v>-11.281846153846175</v>
      </c>
      <c r="Y270" s="56">
        <v>2.2524992307692338</v>
      </c>
      <c r="Z270" s="56" cm="1">
        <f t="array" ref="Z270:AA270">LINEST(F241:F270,D241:D270)</f>
        <v>0.43560310632124849</v>
      </c>
      <c r="AA270" s="56">
        <v>0.51544006199920411</v>
      </c>
      <c r="AB270" s="37" cm="1">
        <f t="array" ref="AB270:AC270">LINEST(G261:G270,D261:D270)</f>
        <v>-19.549090909090854</v>
      </c>
      <c r="AC270" s="37">
        <v>3.7372484848484766</v>
      </c>
      <c r="AD270" s="37" cm="1">
        <f t="array" ref="AD270:AE270">LINEST(G256:G270,D256:D270)</f>
        <v>-1.0285714285714389</v>
      </c>
      <c r="AE270" s="37">
        <v>0.84928571428571598</v>
      </c>
      <c r="AF270" s="37" cm="1">
        <f t="array" ref="AF270:AG270">LINEST(G251:G270,D251:D270)</f>
        <v>9.0189473684210508</v>
      </c>
      <c r="AG270" s="37">
        <v>-0.69229473684210485</v>
      </c>
      <c r="AH270" s="37" cm="1">
        <f t="array" ref="AH270:AI270">LINEST(G246:G270,D246:D270)</f>
        <v>15.136615384615379</v>
      </c>
      <c r="AI270" s="37">
        <v>-1.6168930769230756</v>
      </c>
      <c r="AJ270" s="37" cm="1">
        <f t="array" ref="AJ270:AK270">LINEST(G241:G270,D241:D270)</f>
        <v>14.343244612761369</v>
      </c>
      <c r="AK270" s="37">
        <v>-1.4986949153417568</v>
      </c>
      <c r="AL270" s="84"/>
    </row>
    <row r="271" spans="1:38" x14ac:dyDescent="0.25">
      <c r="A271" s="61">
        <v>502</v>
      </c>
      <c r="B271" s="14">
        <f t="shared" si="4"/>
        <v>265</v>
      </c>
      <c r="C271" s="15">
        <v>43981</v>
      </c>
      <c r="D271" s="16">
        <v>0.16208333333333333</v>
      </c>
      <c r="E271" s="36">
        <v>21.05</v>
      </c>
      <c r="F271" s="36">
        <v>-1.36</v>
      </c>
      <c r="G271" s="36">
        <v>0.32</v>
      </c>
      <c r="H271" s="56" cm="1">
        <f t="array" ref="H271:I271">LINEST(E262:E271,D262:D271)</f>
        <v>77.760000000000034</v>
      </c>
      <c r="I271" s="56">
        <v>8.6983999999999959</v>
      </c>
      <c r="J271" s="56" cm="1">
        <f t="array" ref="J271:K271">LINEST(E257:E271,D257:D271)</f>
        <v>61.637142857142898</v>
      </c>
      <c r="K271" s="56">
        <v>11.228229761904755</v>
      </c>
      <c r="L271" s="56" cm="1">
        <f t="array" ref="L271:M271">LINEST(E252:E271,D252:D271)</f>
        <v>49.371428571428595</v>
      </c>
      <c r="M271" s="56">
        <v>13.127142857142855</v>
      </c>
      <c r="N271" s="56" cm="1">
        <f t="array" ref="N271:O271">LINEST(E247:E271,D247:D271)</f>
        <v>34.908923076923109</v>
      </c>
      <c r="O271" s="56">
        <v>15.330860769230764</v>
      </c>
      <c r="P271" s="56" cm="1">
        <f t="array" ref="P271:Q271">LINEST(E242:E271,D242:D271)</f>
        <v>25.757142119515688</v>
      </c>
      <c r="Q271" s="56">
        <v>16.704906834199715</v>
      </c>
      <c r="R271" s="56" cm="1">
        <f t="array" ref="R271:S271">LINEST(F262:F271,D262:D271)</f>
        <v>-198.7199999999996</v>
      </c>
      <c r="S271" s="56">
        <v>31.137199999999943</v>
      </c>
      <c r="T271" s="56" cm="1">
        <f t="array" ref="T271:U271">LINEST(F257:F271,D257:D271)</f>
        <v>-99.257142857142938</v>
      </c>
      <c r="U271" s="56">
        <v>15.540928571428584</v>
      </c>
      <c r="V271" s="56" cm="1">
        <f t="array" ref="V271:W271">LINEST(F252:F271,D252:D271)</f>
        <v>-68.475789473684245</v>
      </c>
      <c r="W271" s="56">
        <v>10.79078421052632</v>
      </c>
      <c r="X271" s="56" cm="1">
        <f t="array" ref="X271:Y271">LINEST(F247:F271,D247:D271)</f>
        <v>-37.794461538461547</v>
      </c>
      <c r="Y271" s="56">
        <v>6.1179446153846175</v>
      </c>
      <c r="Z271" s="56" cm="1">
        <f t="array" ref="Z271:AA271">LINEST(F242:F271,D242:D271)</f>
        <v>-17.732122835447274</v>
      </c>
      <c r="AA271" s="56">
        <v>3.0906498324616498</v>
      </c>
      <c r="AB271" s="37" cm="1">
        <f t="array" ref="AB271:AC271">LINEST(G262:G271,D262:D271)</f>
        <v>-33.643636363636269</v>
      </c>
      <c r="AC271" s="37">
        <v>5.9177999999999855</v>
      </c>
      <c r="AD271" s="37" cm="1">
        <f t="array" ref="AD271:AE271">LINEST(G257:G271,D257:D271)</f>
        <v>-8.665714285714289</v>
      </c>
      <c r="AE271" s="37">
        <v>1.9923178571428579</v>
      </c>
      <c r="AF271" s="37" cm="1">
        <f t="array" ref="AF271:AG271">LINEST(G252:G271,D252:D271)</f>
        <v>2.9287218045112766</v>
      </c>
      <c r="AG271" s="37">
        <v>0.19844586466165448</v>
      </c>
      <c r="AH271" s="37" cm="1">
        <f t="array" ref="AH271:AI271">LINEST(G247:G271,D247:D271)</f>
        <v>10.977230769230772</v>
      </c>
      <c r="AI271" s="37">
        <v>-1.0286723076923079</v>
      </c>
      <c r="AJ271" s="37" cm="1">
        <f t="array" ref="AJ271:AK271">LINEST(G242:G271,D242:D271)</f>
        <v>11.85070305867521</v>
      </c>
      <c r="AK271" s="37">
        <v>-1.1608127006368987</v>
      </c>
      <c r="AL271" s="84"/>
    </row>
    <row r="272" spans="1:38" x14ac:dyDescent="0.25">
      <c r="A272" s="61">
        <v>502</v>
      </c>
      <c r="B272" s="14">
        <f t="shared" si="4"/>
        <v>266</v>
      </c>
      <c r="C272" s="15">
        <v>43981</v>
      </c>
      <c r="D272" s="16">
        <v>0.16347222222222221</v>
      </c>
      <c r="E272" s="36">
        <v>21.03</v>
      </c>
      <c r="F272" s="36">
        <v>-0.52</v>
      </c>
      <c r="G272" s="36">
        <v>0.26</v>
      </c>
      <c r="H272" s="56" cm="1">
        <f t="array" ref="H272:I272">LINEST(E263:E272,D263:D272)</f>
        <v>62.836363636363721</v>
      </c>
      <c r="I272" s="56">
        <v>11.006727272727261</v>
      </c>
      <c r="J272" s="56" cm="1">
        <f t="array" ref="J272:K272">LINEST(E258:E272,D258:D272)</f>
        <v>59.78571428571437</v>
      </c>
      <c r="K272" s="56">
        <v>11.484613095238082</v>
      </c>
      <c r="L272" s="56" cm="1">
        <f t="array" ref="L272:M272">LINEST(E253:E272,D253:D272)</f>
        <v>49.160300751879745</v>
      </c>
      <c r="M272" s="56">
        <v>13.143799248120299</v>
      </c>
      <c r="N272" s="56" cm="1">
        <f t="array" ref="N272:O272">LINEST(E248:E272,D248:D272)</f>
        <v>37.052307692307714</v>
      </c>
      <c r="O272" s="56">
        <v>15.003715384615383</v>
      </c>
      <c r="P272" s="56" cm="1">
        <f t="array" ref="P272:Q272">LINEST(E243:E272,D243:D272)</f>
        <v>27.665939933259196</v>
      </c>
      <c r="Q272" s="56">
        <v>16.425881942899508</v>
      </c>
      <c r="R272" s="56" cm="1">
        <f t="array" ref="R272:S272">LINEST(F263:F272,D263:D272)</f>
        <v>-199.41818181818181</v>
      </c>
      <c r="S272" s="56">
        <v>31.398969696969697</v>
      </c>
      <c r="T272" s="56" cm="1">
        <f t="array" ref="T272:U272">LINEST(F258:F272,D258:D272)</f>
        <v>-115.89428571428576</v>
      </c>
      <c r="U272" s="56">
        <v>18.1734130952381</v>
      </c>
      <c r="V272" s="56" cm="1">
        <f t="array" ref="V272:W272">LINEST(F253:F272,D253:D272)</f>
        <v>-74.55518796992483</v>
      </c>
      <c r="W272" s="56">
        <v>11.719987969924814</v>
      </c>
      <c r="X272" s="56" cm="1">
        <f t="array" ref="X272:Y272">LINEST(F248:F272,D248:D272)</f>
        <v>-46.478769230769238</v>
      </c>
      <c r="Y272" s="56">
        <v>7.4057415384615402</v>
      </c>
      <c r="Z272" s="56" cm="1">
        <f t="array" ref="Z272:AA272">LINEST(F243:F272,D243:D272)</f>
        <v>-17.071768631813139</v>
      </c>
      <c r="AA272" s="56">
        <v>2.9456201705598835</v>
      </c>
      <c r="AB272" s="37" cm="1">
        <f t="array" ref="AB272:AC272">LINEST(G263:G272,D263:D272)</f>
        <v>-46.341818181818134</v>
      </c>
      <c r="AC272" s="37">
        <v>7.9119636363636285</v>
      </c>
      <c r="AD272" s="37" cm="1">
        <f t="array" ref="AD272:AE272">LINEST(G258:G272,D258:D272)</f>
        <v>-16.945714285714285</v>
      </c>
      <c r="AE272" s="37">
        <v>3.2527369047619046</v>
      </c>
      <c r="AF272" s="37" cm="1">
        <f t="array" ref="AF272:AG272">LINEST(G253:G272,D253:D272)</f>
        <v>-3.0207518796992487</v>
      </c>
      <c r="AG272" s="37">
        <v>1.0789518796992483</v>
      </c>
      <c r="AH272" s="37" cm="1">
        <f t="array" ref="AH272:AI272">LINEST(G248:G272,D248:D272)</f>
        <v>6.5021538461538464</v>
      </c>
      <c r="AI272" s="37">
        <v>-0.38575230769230762</v>
      </c>
      <c r="AJ272" s="37" cm="1">
        <f t="array" ref="AJ272:AK272">LINEST(G243:G272,D243:D272)</f>
        <v>9.636307007786435</v>
      </c>
      <c r="AK272" s="37">
        <v>-0.86187067111605575</v>
      </c>
      <c r="AL272" s="84"/>
    </row>
    <row r="273" spans="1:39" x14ac:dyDescent="0.25">
      <c r="A273" s="61">
        <v>502</v>
      </c>
      <c r="B273" s="14">
        <f t="shared" si="4"/>
        <v>267</v>
      </c>
      <c r="C273" s="15">
        <v>43981</v>
      </c>
      <c r="D273" s="16">
        <v>0.1648611111111111</v>
      </c>
      <c r="E273" s="36">
        <v>21.01</v>
      </c>
      <c r="F273" s="36">
        <v>-0.74</v>
      </c>
      <c r="G273" s="36">
        <v>0.18</v>
      </c>
      <c r="H273" s="56" cm="1">
        <f t="array" ref="H273:I273">LINEST(E264:E273,D264:D273)</f>
        <v>42.938181818182002</v>
      </c>
      <c r="I273" s="56">
        <v>14.139527272727243</v>
      </c>
      <c r="J273" s="56" cm="1">
        <f t="array" ref="J273:K273">LINEST(E259:E273,D259:D273)</f>
        <v>55.980000000000075</v>
      </c>
      <c r="K273" s="56">
        <v>12.045991666666657</v>
      </c>
      <c r="L273" s="56" cm="1">
        <f t="array" ref="L273:M273">LINEST(E254:E273,D254:D273)</f>
        <v>48.380751879699346</v>
      </c>
      <c r="M273" s="56">
        <v>13.242752631578934</v>
      </c>
      <c r="N273" s="56" cm="1">
        <f t="array" ref="N273:O273">LINEST(E249:E273,D249:D273)</f>
        <v>38.70830769230772</v>
      </c>
      <c r="O273" s="56">
        <v>14.741243846153841</v>
      </c>
      <c r="P273" s="56" cm="1">
        <f t="array" ref="P273:Q273">LINEST(E244:E273,D244:D273)</f>
        <v>29.192436040044537</v>
      </c>
      <c r="Q273" s="56">
        <v>16.196205784204661</v>
      </c>
      <c r="R273" s="56" cm="1">
        <f t="array" ref="R273:S273">LINEST(F264:F273,D264:D273)</f>
        <v>-175.85454545454576</v>
      </c>
      <c r="S273" s="56">
        <v>27.746484848484897</v>
      </c>
      <c r="T273" s="56" cm="1">
        <f t="array" ref="T273:U273">LINEST(F259:F273,D259:D273)</f>
        <v>-123.96857142857142</v>
      </c>
      <c r="U273" s="56">
        <v>19.476346428571425</v>
      </c>
      <c r="V273" s="56" cm="1">
        <f t="array" ref="V273:W273">LINEST(F254:F273,D254:D273)</f>
        <v>-81.1759398496241</v>
      </c>
      <c r="W273" s="56">
        <v>12.737184210526319</v>
      </c>
      <c r="X273" s="56" cm="1">
        <f t="array" ref="X273:Y273">LINEST(F249:F273,D249:D273)</f>
        <v>-54.852923076923069</v>
      </c>
      <c r="Y273" s="56">
        <v>8.6560984615384609</v>
      </c>
      <c r="Z273" s="56" cm="1">
        <f t="array" ref="Z273:AA273">LINEST(F244:F273,D244:D273)</f>
        <v>-25.202402669632928</v>
      </c>
      <c r="AA273" s="56">
        <v>4.120681053021876</v>
      </c>
      <c r="AB273" s="37" cm="1">
        <f t="array" ref="AB273:AC273">LINEST(G264:G273,D264:D273)</f>
        <v>-56.465454545454584</v>
      </c>
      <c r="AC273" s="37">
        <v>9.5220484848484919</v>
      </c>
      <c r="AD273" s="37" cm="1">
        <f t="array" ref="AD273:AE273">LINEST(G259:G273,D259:D273)</f>
        <v>-25.302857142857121</v>
      </c>
      <c r="AE273" s="37">
        <v>4.5414571428571389</v>
      </c>
      <c r="AF273" s="37" cm="1">
        <f t="array" ref="AF273:AG273">LINEST(G254:G273,D254:D273)</f>
        <v>-9.1326315789473682</v>
      </c>
      <c r="AG273" s="37">
        <v>1.9946157894736842</v>
      </c>
      <c r="AH273" s="37" cm="1">
        <f t="array" ref="AH273:AI273">LINEST(G249:G273,D249:D273)</f>
        <v>1.766769230769234</v>
      </c>
      <c r="AI273" s="37">
        <v>0.30337461538461508</v>
      </c>
      <c r="AJ273" s="37" cm="1">
        <f t="array" ref="AJ273:AK273">LINEST(G244:G273,D244:D273)</f>
        <v>6.9212903225806466</v>
      </c>
      <c r="AK273" s="37">
        <v>-0.48599784946236557</v>
      </c>
      <c r="AL273" s="39" t="s">
        <v>23</v>
      </c>
    </row>
    <row r="274" spans="1:39" x14ac:dyDescent="0.25">
      <c r="A274" s="61">
        <v>502</v>
      </c>
      <c r="B274" s="14">
        <f t="shared" si="4"/>
        <v>268</v>
      </c>
      <c r="C274" s="15">
        <v>43981</v>
      </c>
      <c r="D274" s="16">
        <v>0.16625000000000001</v>
      </c>
      <c r="E274" s="36">
        <v>21.01</v>
      </c>
      <c r="F274" s="36">
        <v>0</v>
      </c>
      <c r="G274" s="36">
        <v>0.17</v>
      </c>
      <c r="H274" s="56" cm="1">
        <f t="array" ref="H274:I274">LINEST(E265:E274,D265:D274)</f>
        <v>18.894545454545515</v>
      </c>
      <c r="I274" s="56">
        <v>17.98787272727272</v>
      </c>
      <c r="J274" s="56" cm="1">
        <f t="array" ref="J274:K274">LINEST(E260:E274,D260:D274)</f>
        <v>50.297142857142937</v>
      </c>
      <c r="K274" s="56">
        <v>12.911099999999987</v>
      </c>
      <c r="L274" s="56" cm="1">
        <f t="array" ref="L274:M274">LINEST(E255:E274,D255:D274)</f>
        <v>46.767518796992583</v>
      </c>
      <c r="M274" s="56">
        <v>13.470471428571408</v>
      </c>
      <c r="N274" s="56" cm="1">
        <f t="array" ref="N274:O274">LINEST(E250:E274,D250:D274)</f>
        <v>40.032000000000046</v>
      </c>
      <c r="O274" s="56">
        <v>14.523079999999993</v>
      </c>
      <c r="P274" s="56" cm="1">
        <f t="array" ref="P274:Q274">LINEST(E245:E274,D245:D274)</f>
        <v>30.483470522803163</v>
      </c>
      <c r="Q274" s="56">
        <v>15.996359584723756</v>
      </c>
      <c r="R274" s="56" cm="1">
        <f t="array" ref="R274:S274">LINEST(F265:F274,D265:D274)</f>
        <v>-118.95272727272734</v>
      </c>
      <c r="S274" s="56">
        <v>18.794436363636375</v>
      </c>
      <c r="T274" s="56" cm="1">
        <f t="array" ref="T274:U274">LINEST(F260:F274,D260:D274)</f>
        <v>-125.35714285714276</v>
      </c>
      <c r="U274" s="56">
        <v>19.839874999999985</v>
      </c>
      <c r="V274" s="56" cm="1">
        <f t="array" ref="V274:W274">LINEST(F255:F274,D255:D274)</f>
        <v>-86.86556390977448</v>
      </c>
      <c r="W274" s="56">
        <v>13.70525714285715</v>
      </c>
      <c r="X274" s="56" cm="1">
        <f t="array" ref="X274:Y274">LINEST(F250:F274,D250:D274)</f>
        <v>-59.344615384615381</v>
      </c>
      <c r="Y274" s="56">
        <v>9.3885653846153829</v>
      </c>
      <c r="Z274" s="56" cm="1">
        <f t="array" ref="Z274:AA274">LINEST(F245:F274,D245:D274)</f>
        <v>-27.516974416017828</v>
      </c>
      <c r="AA274" s="56">
        <v>4.4788690396737163</v>
      </c>
      <c r="AB274" s="37" cm="1">
        <f t="array" ref="AB274:AC274">LINEST(G265:G274,D265:D274)</f>
        <v>-61.265454545454574</v>
      </c>
      <c r="AC274" s="37">
        <v>10.306472727272732</v>
      </c>
      <c r="AD274" s="37" cm="1">
        <f t="array" ref="AD274:AE274">LINEST(G260:G274,D260:D274)</f>
        <v>-33.042857142857109</v>
      </c>
      <c r="AE274" s="37">
        <v>5.7574583333333269</v>
      </c>
      <c r="AF274" s="37" cm="1">
        <f t="array" ref="AF274:AG274">LINEST(G255:G274,D255:D274)</f>
        <v>-15.125413533834589</v>
      </c>
      <c r="AG274" s="37">
        <v>2.9090285714285717</v>
      </c>
      <c r="AH274" s="37" cm="1">
        <f t="array" ref="AH274:AI274">LINEST(G250:G274,D250:D274)</f>
        <v>-2.9852307692307649</v>
      </c>
      <c r="AI274" s="37">
        <v>1.0077407692307685</v>
      </c>
      <c r="AJ274" s="37" cm="1">
        <f t="array" ref="AJ274:AK274">LINEST(G245:G274,D245:D274)</f>
        <v>4.2447163515016753</v>
      </c>
      <c r="AK274" s="37">
        <v>-0.108866889136078</v>
      </c>
      <c r="AL274" s="41" t="s">
        <v>83</v>
      </c>
      <c r="AM274" s="18">
        <f>D272-D266</f>
        <v>8.3333333333333315E-3</v>
      </c>
    </row>
    <row r="275" spans="1:39" x14ac:dyDescent="0.25">
      <c r="A275" s="61">
        <v>502</v>
      </c>
      <c r="B275" s="14">
        <f t="shared" si="4"/>
        <v>269</v>
      </c>
      <c r="C275" s="15">
        <v>43981</v>
      </c>
      <c r="D275" s="16">
        <v>0.16763888888888889</v>
      </c>
      <c r="E275" s="36">
        <v>20.99</v>
      </c>
      <c r="F275" s="36">
        <v>-0.62</v>
      </c>
      <c r="G275" s="36">
        <v>0.11</v>
      </c>
      <c r="H275" s="56" cm="1">
        <f t="array" ref="H275:I275">LINEST(E266:E275,D266:D275)</f>
        <v>-17.978181818181884</v>
      </c>
      <c r="I275" s="56">
        <v>23.985478787878794</v>
      </c>
      <c r="J275" s="56" cm="1">
        <f t="array" ref="J275:K275">LINEST(E261:E275,D261:D275)</f>
        <v>43.020000000000032</v>
      </c>
      <c r="K275" s="56">
        <v>14.039758333333332</v>
      </c>
      <c r="L275" s="56" cm="1">
        <f t="array" ref="L275:M275">LINEST(E256:E275,D256:D275)</f>
        <v>44.250225563909822</v>
      </c>
      <c r="M275" s="56">
        <v>13.839798496240594</v>
      </c>
      <c r="N275" s="56" cm="1">
        <f t="array" ref="N275:O275">LINEST(E251:E275,D251:D275)</f>
        <v>40.973538461538496</v>
      </c>
      <c r="O275" s="56">
        <v>14.356933846153845</v>
      </c>
      <c r="P275" s="56" cm="1">
        <f t="array" ref="P275:Q275">LINEST(E246:E275,D246:D275)</f>
        <v>31.54865406006677</v>
      </c>
      <c r="Q275" s="56">
        <v>15.824573526140149</v>
      </c>
      <c r="R275" s="56" cm="1">
        <f t="array" ref="R275:S275">LINEST(F266:F275,D266:D275)</f>
        <v>-78.370909090909109</v>
      </c>
      <c r="S275" s="56">
        <v>12.256193939393942</v>
      </c>
      <c r="T275" s="56" cm="1">
        <f t="array" ref="T275:U275">LINEST(F261:F275,D261:D275)</f>
        <v>-122.09142857142852</v>
      </c>
      <c r="U275" s="56">
        <v>19.382938095238089</v>
      </c>
      <c r="V275" s="56" cm="1">
        <f t="array" ref="V275:W275">LINEST(F256:F275,D256:D275)</f>
        <v>-88.592481203007537</v>
      </c>
      <c r="W275" s="56">
        <v>14.002116541353386</v>
      </c>
      <c r="X275" s="56" cm="1">
        <f t="array" ref="X275:Y275">LINEST(F251:F275,D251:D275)</f>
        <v>-62.844923076923074</v>
      </c>
      <c r="Y275" s="56">
        <v>9.9318376923076919</v>
      </c>
      <c r="Z275" s="56" cm="1">
        <f t="array" ref="Z275:AA275">LINEST(F246:F275,D246:D275)</f>
        <v>-31.425317018909897</v>
      </c>
      <c r="AA275" s="56">
        <v>5.0502342602892085</v>
      </c>
      <c r="AB275" s="37" cm="1">
        <f t="array" ref="AB275:AC275">LINEST(G266:G275,D266:D275)</f>
        <v>-62.530909090909113</v>
      </c>
      <c r="AC275" s="37">
        <v>10.526793939393944</v>
      </c>
      <c r="AD275" s="37" cm="1">
        <f t="array" ref="AD275:AE275">LINEST(G261:G275,D261:D275)</f>
        <v>-39.857142857142826</v>
      </c>
      <c r="AE275" s="37">
        <v>6.8421071428571381</v>
      </c>
      <c r="AF275" s="37" cm="1">
        <f t="array" ref="AF275:AG275">LINEST(G256:G275,D256:D275)</f>
        <v>-20.717593984962409</v>
      </c>
      <c r="AG275" s="37">
        <v>3.7722172932330835</v>
      </c>
      <c r="AH275" s="37" cm="1">
        <f t="array" ref="AH275:AI275">LINEST(G251:G275,D251:D275)</f>
        <v>-7.5766153846153843</v>
      </c>
      <c r="AI275" s="37">
        <v>1.6958584615384613</v>
      </c>
      <c r="AJ275" s="37" cm="1">
        <f t="array" ref="AJ275:AK275">LINEST(G246:G275,D246:D275)</f>
        <v>1.4800444938820947</v>
      </c>
      <c r="AK275" s="37">
        <v>0.28569343715239109</v>
      </c>
      <c r="AL275" s="41" t="s">
        <v>25</v>
      </c>
      <c r="AM275" s="19">
        <f>ROUND(MINUTE(AM274)/2,0)</f>
        <v>6</v>
      </c>
    </row>
    <row r="276" spans="1:39" x14ac:dyDescent="0.25">
      <c r="A276" s="61">
        <v>502</v>
      </c>
      <c r="B276" s="14">
        <f t="shared" si="4"/>
        <v>270</v>
      </c>
      <c r="C276" s="15">
        <v>43981</v>
      </c>
      <c r="D276" s="16">
        <v>0.16902777777777778</v>
      </c>
      <c r="E276" s="36">
        <v>21.02</v>
      </c>
      <c r="F276" s="36">
        <v>1.1299999999999999</v>
      </c>
      <c r="G276" s="36">
        <v>0.19</v>
      </c>
      <c r="H276" s="56" cm="1">
        <f t="array" ref="H276:I276">LINEST(E267:E276,D267:D276)</f>
        <v>-16.363636363636434</v>
      </c>
      <c r="I276" s="56">
        <v>23.732636363636374</v>
      </c>
      <c r="J276" s="56" cm="1">
        <f t="array" ref="J276:K276">LINEST(E262:E276,D262:D276)</f>
        <v>35.40857142857147</v>
      </c>
      <c r="K276" s="56">
        <v>15.240551190476184</v>
      </c>
      <c r="L276" s="56" cm="1">
        <f t="array" ref="L276:M276">LINEST(E257:E276,D257:D276)</f>
        <v>41.852030075187983</v>
      </c>
      <c r="M276" s="56">
        <v>14.19555864661654</v>
      </c>
      <c r="N276" s="56" cm="1">
        <f t="array" ref="N276:O276">LINEST(E252:E276,D252:D276)</f>
        <v>40.02092307692309</v>
      </c>
      <c r="O276" s="56">
        <v>14.487167692307692</v>
      </c>
      <c r="P276" s="56" cm="1">
        <f t="array" ref="P276:Q276">LINEST(E247:E276,D247:D276)</f>
        <v>32.288676307007812</v>
      </c>
      <c r="Q276" s="56">
        <v>15.70057486095661</v>
      </c>
      <c r="R276" s="56" cm="1">
        <f t="array" ref="R276:S276">LINEST(F267:F276,D267:D276)</f>
        <v>44.378181818182043</v>
      </c>
      <c r="S276" s="56">
        <v>-7.594781818181854</v>
      </c>
      <c r="T276" s="56" cm="1">
        <f t="array" ref="T276:U276">LINEST(F262:F276,D262:D276)</f>
        <v>-70.328571428571422</v>
      </c>
      <c r="U276" s="56">
        <v>11.267065476190474</v>
      </c>
      <c r="V276" s="56" cm="1">
        <f t="array" ref="V276:W276">LINEST(F257:F276,D257:D276)</f>
        <v>-61.151278195488743</v>
      </c>
      <c r="W276" s="56">
        <v>9.8054075187969971</v>
      </c>
      <c r="X276" s="56" cm="1">
        <f t="array" ref="X276:Y276">LINEST(F252:F276,D252:D276)</f>
        <v>-53.778461538461528</v>
      </c>
      <c r="Y276" s="56">
        <v>8.6401461538461533</v>
      </c>
      <c r="Z276" s="56" cm="1">
        <f t="array" ref="Z276:AA276">LINEST(F247:F276,D247:D276)</f>
        <v>-36.222647385984438</v>
      </c>
      <c r="AA276" s="56">
        <v>5.8864830552465719</v>
      </c>
      <c r="AB276" s="37" cm="1">
        <f t="array" ref="AB276:AC276">LINEST(G267:G276,D267:D276)</f>
        <v>-54.152727272727297</v>
      </c>
      <c r="AC276" s="37">
        <v>9.1878606060606085</v>
      </c>
      <c r="AD276" s="37" cm="1">
        <f t="array" ref="AD276:AE276">LINEST(G262:G276,D262:D276)</f>
        <v>-42.145714285714256</v>
      </c>
      <c r="AE276" s="37">
        <v>7.2247130952380907</v>
      </c>
      <c r="AF276" s="37" cm="1">
        <f t="array" ref="AF276:AG276">LINEST(G257:G276,D257:D276)</f>
        <v>-23.77082706766917</v>
      </c>
      <c r="AG276" s="37">
        <v>4.2537872180451126</v>
      </c>
      <c r="AH276" s="37" cm="1">
        <f t="array" ref="AH276:AI276">LINEST(G252:G276,D252:D276)</f>
        <v>-11.148923076923076</v>
      </c>
      <c r="AI276" s="37">
        <v>2.2426623076923073</v>
      </c>
      <c r="AJ276" s="37" cm="1">
        <f t="array" ref="AJ276:AK276">LINEST(G247:G276,D247:D276)</f>
        <v>-1.4383982202447156</v>
      </c>
      <c r="AK276" s="37">
        <v>0.71749484612532444</v>
      </c>
      <c r="AL276" s="41" t="s">
        <v>26</v>
      </c>
      <c r="AM276" s="20">
        <f>E272-E266</f>
        <v>-0.14000000000000057</v>
      </c>
    </row>
    <row r="277" spans="1:39" x14ac:dyDescent="0.25">
      <c r="A277" s="61">
        <v>502</v>
      </c>
      <c r="B277" s="14">
        <f t="shared" si="4"/>
        <v>271</v>
      </c>
      <c r="C277" s="15">
        <v>43981</v>
      </c>
      <c r="D277" s="16">
        <v>0.17041666666666666</v>
      </c>
      <c r="E277" s="36">
        <v>21.02</v>
      </c>
      <c r="F277" s="36">
        <v>-0.02</v>
      </c>
      <c r="G277" s="36">
        <v>0.17</v>
      </c>
      <c r="H277" s="56" cm="1">
        <f t="array" ref="H277:I277">LINEST(E268:E277,D268:D277)</f>
        <v>-11.520000000000081</v>
      </c>
      <c r="I277" s="56">
        <v>22.941200000000016</v>
      </c>
      <c r="J277" s="56" cm="1">
        <f t="array" ref="J277:K277">LINEST(E263:E277,D263:D277)</f>
        <v>26.562857142857126</v>
      </c>
      <c r="K277" s="56">
        <v>16.658829761904762</v>
      </c>
      <c r="L277" s="56" cm="1">
        <f t="array" ref="L277:M277">LINEST(E258:E277,D258:D277)</f>
        <v>38.739248120300772</v>
      </c>
      <c r="M277" s="56">
        <v>14.669329323308265</v>
      </c>
      <c r="N277" s="56" cm="1">
        <f t="array" ref="N277:O277">LINEST(E253:E277,D253:D277)</f>
        <v>38.414769230769245</v>
      </c>
      <c r="O277" s="56">
        <v>14.720929230769233</v>
      </c>
      <c r="P277" s="56" cm="1">
        <f t="array" ref="P277:Q277">LINEST(E248:E277,D248:D277)</f>
        <v>32.790033370411592</v>
      </c>
      <c r="Q277" s="56">
        <v>15.610053318502036</v>
      </c>
      <c r="R277" s="56" cm="1">
        <f t="array" ref="R277:S277">LINEST(F268:F277,D268:D277)</f>
        <v>120.13090909090924</v>
      </c>
      <c r="S277" s="56">
        <v>-20.186490909090935</v>
      </c>
      <c r="T277" s="56" cm="1">
        <f t="array" ref="T277:U277">LINEST(F263:F277,D263:D277)</f>
        <v>-58.320000000000057</v>
      </c>
      <c r="U277" s="56">
        <v>9.3857000000000088</v>
      </c>
      <c r="V277" s="56" cm="1">
        <f t="array" ref="V277:W277">LINEST(F258:F277,D258:D277)</f>
        <v>-62.445112781954904</v>
      </c>
      <c r="W277" s="56">
        <v>10.071259398496244</v>
      </c>
      <c r="X277" s="56" cm="1">
        <f t="array" ref="X277:Y277">LINEST(F253:F277,D253:D277)</f>
        <v>-52.388307692307698</v>
      </c>
      <c r="Y277" s="56">
        <v>8.4575023076923088</v>
      </c>
      <c r="Z277" s="56" cm="1">
        <f t="array" ref="Z277:AA277">LINEST(F248:F277,D248:D277)</f>
        <v>-38.723025583982185</v>
      </c>
      <c r="AA277" s="56">
        <v>6.2962102335928778</v>
      </c>
      <c r="AB277" s="37" cm="1">
        <f t="array" ref="AB277:AC277">LINEST(G268:G277,D268:D277)</f>
        <v>-40.669090909090919</v>
      </c>
      <c r="AC277" s="37">
        <v>6.9845090909090928</v>
      </c>
      <c r="AD277" s="37" cm="1">
        <f t="array" ref="AD277:AE277">LINEST(G263:G277,D263:D277)</f>
        <v>-43.354285714285709</v>
      </c>
      <c r="AE277" s="37">
        <v>7.4387928571428557</v>
      </c>
      <c r="AF277" s="37" cm="1">
        <f t="array" ref="AF277:AG277">LINEST(G258:G277,D258:D277)</f>
        <v>-26.75909774436089</v>
      </c>
      <c r="AG277" s="37">
        <v>4.7336248120300723</v>
      </c>
      <c r="AH277" s="37" cm="1">
        <f t="array" ref="AH277:AI277">LINEST(G253:G277,D253:D277)</f>
        <v>-14.311384615384616</v>
      </c>
      <c r="AI277" s="37">
        <v>2.7331753846153841</v>
      </c>
      <c r="AJ277" s="37" cm="1">
        <f t="array" ref="AJ277:AK277">LINEST(G248:G277,D248:D277)</f>
        <v>-4.3440266963292551</v>
      </c>
      <c r="AK277" s="37">
        <v>1.1541440118650352</v>
      </c>
      <c r="AL277" s="41" t="s">
        <v>27</v>
      </c>
      <c r="AM277" s="21">
        <f>F272-F266</f>
        <v>-1.44</v>
      </c>
    </row>
    <row r="278" spans="1:39" x14ac:dyDescent="0.25">
      <c r="A278" s="61">
        <v>502</v>
      </c>
      <c r="B278" s="14">
        <f t="shared" si="4"/>
        <v>272</v>
      </c>
      <c r="C278" s="15">
        <v>43981</v>
      </c>
      <c r="D278" s="16">
        <v>0.17180555555555554</v>
      </c>
      <c r="E278" s="36">
        <v>20.92</v>
      </c>
      <c r="F278" s="36">
        <v>-1.5</v>
      </c>
      <c r="G278" s="36">
        <v>0.04</v>
      </c>
      <c r="H278" s="56" cm="1">
        <f t="array" ref="H278:I278">LINEST(E269:E278,D269:D278)</f>
        <v>-10.385454545454605</v>
      </c>
      <c r="I278" s="56">
        <v>22.743369696969708</v>
      </c>
      <c r="J278" s="56" cm="1">
        <f t="array" ref="J278:K278">LINEST(E264:E278,D264:D278)</f>
        <v>14.965714285714286</v>
      </c>
      <c r="K278" s="56">
        <v>18.538307142857143</v>
      </c>
      <c r="L278" s="56" cm="1">
        <f t="array" ref="L278:M278">LINEST(E259:E278,D259:D278)</f>
        <v>34.018646616541389</v>
      </c>
      <c r="M278" s="56">
        <v>15.400264661654129</v>
      </c>
      <c r="N278" s="56" cm="1">
        <f t="array" ref="N278:O278">LINEST(E254:E278,D254:D278)</f>
        <v>36.060923076923103</v>
      </c>
      <c r="O278" s="56">
        <v>15.068348461538456</v>
      </c>
      <c r="P278" s="56" cm="1">
        <f t="array" ref="P278:Q278">LINEST(E249:E278,D249:D278)</f>
        <v>32.641067853170199</v>
      </c>
      <c r="Q278" s="56">
        <v>15.612771375602517</v>
      </c>
      <c r="R278" s="56" cm="1">
        <f t="array" ref="R278:S278">LINEST(F269:F278,D269:D278)</f>
        <v>60.523636363636513</v>
      </c>
      <c r="S278" s="56">
        <v>-10.549024242424267</v>
      </c>
      <c r="T278" s="56" cm="1">
        <f t="array" ref="T278:U278">LINEST(F264:F278,D264:D278)</f>
        <v>-61.585714285714282</v>
      </c>
      <c r="U278" s="56">
        <v>9.8173511904761916</v>
      </c>
      <c r="V278" s="56" cm="1">
        <f t="array" ref="V278:W278">LINEST(F259:F278,D259:D278)</f>
        <v>-72.90406015037594</v>
      </c>
      <c r="W278" s="56">
        <v>11.695893984962407</v>
      </c>
      <c r="X278" s="56" cm="1">
        <f t="array" ref="X278:Y278">LINEST(F254:F278,D254:D278)</f>
        <v>-60.230769230769219</v>
      </c>
      <c r="Y278" s="56">
        <v>9.6441346153846137</v>
      </c>
      <c r="Z278" s="56" cm="1">
        <f t="array" ref="Z278:AA278">LINEST(F249:F278,D249:D278)</f>
        <v>-47.097130144605124</v>
      </c>
      <c r="AA278" s="56">
        <v>7.5487314052651113</v>
      </c>
      <c r="AB278" s="37" cm="1">
        <f t="array" ref="AB278:AC278">LINEST(G269:G278,D269:D278)</f>
        <v>-32.858181818181841</v>
      </c>
      <c r="AC278" s="37">
        <v>5.6828545454545489</v>
      </c>
      <c r="AD278" s="37" cm="1">
        <f t="array" ref="AD278:AE278">LINEST(G264:G278,D264:D278)</f>
        <v>-44.794285714285699</v>
      </c>
      <c r="AE278" s="37">
        <v>7.6830738095238074</v>
      </c>
      <c r="AF278" s="37" cm="1">
        <f t="array" ref="AF278:AG278">LINEST(G259:G278,D259:D278)</f>
        <v>-30.359097744360888</v>
      </c>
      <c r="AG278" s="37">
        <v>5.3112902255639076</v>
      </c>
      <c r="AH278" s="37" cm="1">
        <f t="array" ref="AH278:AI278">LINEST(G254:G278,D254:D278)</f>
        <v>-17.894769230769231</v>
      </c>
      <c r="AI278" s="37">
        <v>3.2909746153846156</v>
      </c>
      <c r="AJ278" s="37" cm="1">
        <f t="array" ref="AJ278:AK278">LINEST(G249:G278,D249:D278)</f>
        <v>-7.6356840934371508</v>
      </c>
      <c r="AK278" s="37">
        <v>1.651745420837968</v>
      </c>
      <c r="AL278" s="41" t="s">
        <v>27</v>
      </c>
      <c r="AM278" s="21">
        <f>G272-G266</f>
        <v>-0.55000000000000004</v>
      </c>
    </row>
    <row r="279" spans="1:39" x14ac:dyDescent="0.25">
      <c r="A279" s="61">
        <v>502</v>
      </c>
      <c r="B279" s="14">
        <f t="shared" si="4"/>
        <v>273</v>
      </c>
      <c r="C279" s="15">
        <v>43981</v>
      </c>
      <c r="D279" s="16">
        <v>0.17319444444444443</v>
      </c>
      <c r="E279" s="36">
        <v>20.96</v>
      </c>
      <c r="F279" s="36">
        <v>1.21</v>
      </c>
      <c r="G279" s="36">
        <v>0.13</v>
      </c>
      <c r="H279" s="56" cm="1">
        <f t="array" ref="H279:I279">LINEST(E270:E279,D270:D279)</f>
        <v>-9.250909090909099</v>
      </c>
      <c r="I279" s="56">
        <v>22.554387878787885</v>
      </c>
      <c r="J279" s="56" cm="1">
        <f t="array" ref="J279:K279">LINEST(E265:E279,D265:D279)</f>
        <v>3.2914285714285452</v>
      </c>
      <c r="K279" s="56">
        <v>20.463276190476197</v>
      </c>
      <c r="L279" s="56" cm="1">
        <f t="array" ref="L279:M279">LINEST(E260:E279,D260:D279)</f>
        <v>29.043609022556431</v>
      </c>
      <c r="M279" s="56">
        <v>16.186522556390969</v>
      </c>
      <c r="N279" s="56" cm="1">
        <f t="array" ref="N279:O279">LINEST(E255:E279,D255:D279)</f>
        <v>33.624000000000059</v>
      </c>
      <c r="O279" s="56">
        <v>15.436109999999989</v>
      </c>
      <c r="P279" s="56" cm="1">
        <f t="array" ref="P279:Q279">LINEST(E250:E279,D250:D279)</f>
        <v>32.53054505005565</v>
      </c>
      <c r="Q279" s="56">
        <v>15.610686021505373</v>
      </c>
      <c r="R279" s="56" cm="1">
        <f t="array" ref="R279:S279">LINEST(F270:F279,D270:D279)</f>
        <v>82.210909090909226</v>
      </c>
      <c r="S279" s="56">
        <v>-13.982654545454569</v>
      </c>
      <c r="T279" s="56" cm="1">
        <f t="array" ref="T279:U279">LINEST(F265:F279,D265:D279)</f>
        <v>-14.528571428571448</v>
      </c>
      <c r="U279" s="56">
        <v>2.2296845238095271</v>
      </c>
      <c r="V279" s="56" cm="1">
        <f t="array" ref="V279:W279">LINEST(F260:F279,D260:D279)</f>
        <v>-58.893834586466163</v>
      </c>
      <c r="W279" s="56">
        <v>9.5965135338345871</v>
      </c>
      <c r="X279" s="56" cm="1">
        <f t="array" ref="X279:Y279">LINEST(F255:F279,D255:D279)</f>
        <v>-54.110769230769286</v>
      </c>
      <c r="Y279" s="56">
        <v>8.8058384615384711</v>
      </c>
      <c r="Z279" s="56" cm="1">
        <f t="array" ref="Z279:AA279">LINEST(F250:F279,D250:D279)</f>
        <v>-43.438665183537267</v>
      </c>
      <c r="AA279" s="56">
        <v>7.0815290322580635</v>
      </c>
      <c r="AB279" s="37" cm="1">
        <f t="array" ref="AB279:AC279">LINEST(G270:G279,D270:D279)</f>
        <v>-24.000000000000014</v>
      </c>
      <c r="AC279" s="37">
        <v>4.2106666666666692</v>
      </c>
      <c r="AD279" s="37" cm="1">
        <f t="array" ref="AD279:AE279">LINEST(G265:G279,D265:D279)</f>
        <v>-42.505714285714312</v>
      </c>
      <c r="AE279" s="37">
        <v>7.3271702380952419</v>
      </c>
      <c r="AF279" s="37" cm="1">
        <f t="array" ref="AF279:AG279">LINEST(G260:G279,D260:D279)</f>
        <v>-32.600300751879701</v>
      </c>
      <c r="AG279" s="37">
        <v>5.6870481203007524</v>
      </c>
      <c r="AH279" s="37" cm="1">
        <f t="array" ref="AH279:AI279">LINEST(G255:G279,D255:D279)</f>
        <v>-20.702769230769245</v>
      </c>
      <c r="AI279" s="37">
        <v>3.7413584615384643</v>
      </c>
      <c r="AJ279" s="37" cm="1">
        <f t="array" ref="AJ279:AK279">LINEST(G250:G279,D250:D279)</f>
        <v>-10.435595105672968</v>
      </c>
      <c r="AK279" s="37">
        <v>2.0862258064516124</v>
      </c>
    </row>
    <row r="280" spans="1:39" x14ac:dyDescent="0.25">
      <c r="A280" s="61">
        <v>502</v>
      </c>
      <c r="B280" s="14">
        <f t="shared" si="4"/>
        <v>274</v>
      </c>
      <c r="C280" s="15">
        <v>43981</v>
      </c>
      <c r="D280" s="16">
        <v>0.17458333333333334</v>
      </c>
      <c r="E280" s="36">
        <v>21.03</v>
      </c>
      <c r="F280" s="36">
        <v>1.88</v>
      </c>
      <c r="G280" s="36">
        <v>0.27</v>
      </c>
      <c r="H280" s="56" cm="1">
        <f t="array" ref="H280:I280">LINEST(E271:E280,D271:D280)</f>
        <v>-4.6254545454545468</v>
      </c>
      <c r="I280" s="56">
        <v>21.782618181818183</v>
      </c>
      <c r="J280" s="56" cm="1">
        <f t="array" ref="J280:K280">LINEST(E266:E280,D266:D280)</f>
        <v>-11.442857142857159</v>
      </c>
      <c r="K280" s="56">
        <v>22.939148809523807</v>
      </c>
      <c r="L280" s="56" cm="1">
        <f t="array" ref="L280:M280">LINEST(E261:E280,D261:D280)</f>
        <v>24.431278195488758</v>
      </c>
      <c r="M280" s="56">
        <v>16.929563157894734</v>
      </c>
      <c r="N280" s="56" cm="1">
        <f t="array" ref="N280:O280">LINEST(E256:E280,D256:D280)</f>
        <v>31.36430769230773</v>
      </c>
      <c r="O280" s="56">
        <v>15.784253076923068</v>
      </c>
      <c r="P280" s="56" cm="1">
        <f t="array" ref="P280:Q280">LINEST(E251:E280,D251:D280)</f>
        <v>32.641067853170227</v>
      </c>
      <c r="Q280" s="56">
        <v>15.576101742677039</v>
      </c>
      <c r="R280" s="56" cm="1">
        <f t="array" ref="R280:S280">LINEST(F271:F280,D271:D280)</f>
        <v>170.88000000000014</v>
      </c>
      <c r="S280" s="56">
        <v>-28.818800000000017</v>
      </c>
      <c r="T280" s="56" cm="1">
        <f t="array" ref="T280:U280">LINEST(F266:F280,D266:D280)</f>
        <v>43.842857142857227</v>
      </c>
      <c r="U280" s="56">
        <v>-7.3093154761904904</v>
      </c>
      <c r="V280" s="56" cm="1">
        <f t="array" ref="V280:W280">LINEST(F261:F280,D261:D280)</f>
        <v>-30.694736842105282</v>
      </c>
      <c r="W280" s="56">
        <v>5.1657894736842147</v>
      </c>
      <c r="X280" s="56" cm="1">
        <f t="array" ref="X280:Y280">LINEST(F256:F280,D256:D280)</f>
        <v>-37.700307692307703</v>
      </c>
      <c r="Y280" s="56">
        <v>6.317106923076925</v>
      </c>
      <c r="Z280" s="56" cm="1">
        <f t="array" ref="Z280:AA280">LINEST(F251:F280,D251:D280)</f>
        <v>-33.554082313681874</v>
      </c>
      <c r="AA280" s="56">
        <v>5.6422416017797561</v>
      </c>
      <c r="AB280" s="37" cm="1">
        <f t="array" ref="AB280:AC280">LINEST(G271:G280,D271:D280)</f>
        <v>-8.6399999999999881</v>
      </c>
      <c r="AC280" s="37">
        <v>1.6383999999999976</v>
      </c>
      <c r="AD280" s="37" cm="1">
        <f t="array" ref="AD280:AE280">LINEST(G266:G280,D266:D280)</f>
        <v>-35.794285714285728</v>
      </c>
      <c r="AE280" s="37">
        <v>6.2444190476190506</v>
      </c>
      <c r="AF280" s="37" cm="1">
        <f t="array" ref="AF280:AG280">LINEST(G261:G280,D261:D280)</f>
        <v>-32.405413533834569</v>
      </c>
      <c r="AG280" s="37">
        <v>5.6808736842105247</v>
      </c>
      <c r="AH280" s="37" cm="1">
        <f t="array" ref="AH280:AI280">LINEST(G256:G280,D256:D280)</f>
        <v>-21.95446153846154</v>
      </c>
      <c r="AI280" s="37">
        <v>3.9569753846153848</v>
      </c>
      <c r="AJ280" s="37" cm="1">
        <f t="array" ref="AJ280:AK280">LINEST(G251:G280,D251:D280)</f>
        <v>-12.192747497219138</v>
      </c>
      <c r="AK280" s="37">
        <v>2.369768780126067</v>
      </c>
    </row>
    <row r="281" spans="1:39" x14ac:dyDescent="0.25">
      <c r="A281" s="61">
        <v>502</v>
      </c>
      <c r="B281" s="14">
        <f t="shared" si="4"/>
        <v>275</v>
      </c>
      <c r="C281" s="15">
        <v>43981</v>
      </c>
      <c r="D281" s="16">
        <v>0.17597222222222222</v>
      </c>
      <c r="E281" s="36">
        <v>19.940000000000001</v>
      </c>
      <c r="F281" s="36">
        <v>1.88</v>
      </c>
      <c r="G281" s="36">
        <v>0.39</v>
      </c>
      <c r="H281" s="56" cm="1">
        <f t="array" ref="H281:I281">LINEST(E272:E281,D272:D281)</f>
        <v>-44.203636363636342</v>
      </c>
      <c r="I281" s="56">
        <v>28.395339393939391</v>
      </c>
      <c r="J281" s="56" cm="1">
        <f t="array" ref="J281:K281">LINEST(E267:E281,D267:D281)</f>
        <v>-29.057142857142875</v>
      </c>
      <c r="K281" s="56">
        <v>25.801416666666668</v>
      </c>
      <c r="L281" s="56" cm="1">
        <f t="array" ref="L281:M281">LINEST(E262:E281,D262:D281)</f>
        <v>8.3314285714286118</v>
      </c>
      <c r="M281" s="56">
        <v>19.498328571428562</v>
      </c>
      <c r="N281" s="56" cm="1">
        <f t="array" ref="N281:O281">LINEST(E257:E281,D257:D281)</f>
        <v>21.838153846153862</v>
      </c>
      <c r="O281" s="56">
        <v>17.249860769230764</v>
      </c>
      <c r="P281" s="56" cm="1">
        <f t="array" ref="P281:Q281">LINEST(E252:E281,D252:D281)</f>
        <v>26.280400444938856</v>
      </c>
      <c r="Q281" s="56">
        <v>16.520970930663694</v>
      </c>
      <c r="R281" s="56" cm="1">
        <f t="array" ref="R281:S281">LINEST(F272:F281,D272:D281)</f>
        <v>184.14545454545467</v>
      </c>
      <c r="S281" s="56">
        <v>-30.983575757575778</v>
      </c>
      <c r="T281" s="56" cm="1">
        <f t="array" ref="T281:U281">LINEST(F267:F281,D267:D281)</f>
        <v>99.745714285714485</v>
      </c>
      <c r="U281" s="56">
        <v>-16.600058333333365</v>
      </c>
      <c r="V281" s="56" cm="1">
        <f t="array" ref="V281:W281">LINEST(F262:F281,D262:D281)</f>
        <v>3.6054135338346014</v>
      </c>
      <c r="W281" s="56">
        <v>-0.36688120300752142</v>
      </c>
      <c r="X281" s="56" cm="1">
        <f t="array" ref="X281:Y281">LINEST(F257:F281,D257:D281)</f>
        <v>-15.840000000000012</v>
      </c>
      <c r="Y281" s="56">
        <v>2.8822000000000023</v>
      </c>
      <c r="Z281" s="56" cm="1">
        <f t="array" ref="Z281:AA281">LINEST(F252:F281,D252:D281)</f>
        <v>-23.92898776418242</v>
      </c>
      <c r="AA281" s="56">
        <v>4.2159339265850946</v>
      </c>
      <c r="AB281" s="37" cm="1">
        <f t="array" ref="AB281:AC281">LINEST(G272:G281,D272:D281)</f>
        <v>5.9781818181818345</v>
      </c>
      <c r="AC281" s="37">
        <v>-0.82363030303030582</v>
      </c>
      <c r="AD281" s="37" cm="1">
        <f t="array" ref="AD281:AE281">LINEST(G267:G281,D267:D281)</f>
        <v>-25.354285714285709</v>
      </c>
      <c r="AE281" s="37">
        <v>4.5304833333333319</v>
      </c>
      <c r="AF281" s="37" cm="1">
        <f t="array" ref="AF281:AG281">LINEST(G262:G281,D262:D281)</f>
        <v>-29.633684210526305</v>
      </c>
      <c r="AG281" s="37">
        <v>5.256705263157893</v>
      </c>
      <c r="AH281" s="37" cm="1">
        <f t="array" ref="AH281:AI281">LINEST(G257:G281,D257:D281)</f>
        <v>-21.467076923076927</v>
      </c>
      <c r="AI281" s="37">
        <v>3.8994246153846168</v>
      </c>
      <c r="AJ281" s="37" cm="1">
        <f t="array" ref="AJ281:AK281">LINEST(G252:G281,D252:D281)</f>
        <v>-13.121779755283654</v>
      </c>
      <c r="AK281" s="37">
        <v>2.5314773451983696</v>
      </c>
    </row>
    <row r="282" spans="1:39" x14ac:dyDescent="0.25">
      <c r="A282" s="61">
        <v>502</v>
      </c>
      <c r="B282" s="14">
        <f t="shared" si="4"/>
        <v>276</v>
      </c>
      <c r="C282" s="15">
        <v>43981</v>
      </c>
      <c r="D282" s="16">
        <v>0.17736111111111111</v>
      </c>
      <c r="E282" s="36">
        <v>20.03</v>
      </c>
      <c r="F282" s="36">
        <v>1.88</v>
      </c>
      <c r="G282" s="36">
        <v>0.51</v>
      </c>
      <c r="H282" s="56" cm="1">
        <f t="array" ref="H282:I282">LINEST(E273:E282,D273:D282)</f>
        <v>-71.519999999999953</v>
      </c>
      <c r="I282" s="56">
        <v>33.030866666666654</v>
      </c>
      <c r="J282" s="56" cm="1">
        <f t="array" ref="J282:K282">LINEST(E268:E282,D268:D282)</f>
        <v>-41.065714285714293</v>
      </c>
      <c r="K282" s="56">
        <v>27.776210714285718</v>
      </c>
      <c r="L282" s="56" cm="1">
        <f t="array" ref="L282:M282">LINEST(E263:E282,D263:D282)</f>
        <v>-6.1118796992480959</v>
      </c>
      <c r="M282" s="56">
        <v>21.842866917293225</v>
      </c>
      <c r="N282" s="56" cm="1">
        <f t="array" ref="N282:O282">LINEST(E258:E282,D258:D282)</f>
        <v>13.170461538461561</v>
      </c>
      <c r="O282" s="56">
        <v>18.606779999999993</v>
      </c>
      <c r="P282" s="56" cm="1">
        <f t="array" ref="P282:Q282">LINEST(E253:E282,D253:D282)</f>
        <v>20.297753058954438</v>
      </c>
      <c r="Q282" s="56">
        <v>17.427408824619945</v>
      </c>
      <c r="R282" s="56" cm="1">
        <f t="array" ref="R282:S282">LINEST(F273:F282,D273:D282)</f>
        <v>209.45454545454552</v>
      </c>
      <c r="S282" s="56">
        <v>-35.330000000000013</v>
      </c>
      <c r="T282" s="56" cm="1">
        <f t="array" ref="T282:U282">LINEST(F268:F282,D268:D282)</f>
        <v>153.18000000000015</v>
      </c>
      <c r="U282" s="56">
        <v>-25.632258333333365</v>
      </c>
      <c r="V282" s="56" cm="1">
        <f t="array" ref="V282:W282">LINEST(F263:F282,D263:D282)</f>
        <v>26.363909774436092</v>
      </c>
      <c r="W282" s="56">
        <v>-4.0500751879699264</v>
      </c>
      <c r="X282" s="56" cm="1">
        <f t="array" ref="X282:Y282">LINEST(F258:F282,D258:D282)</f>
        <v>-5.2172307692307669</v>
      </c>
      <c r="Y282" s="56">
        <v>1.2551799999999997</v>
      </c>
      <c r="Z282" s="56" cm="1">
        <f t="array" ref="Z282:AA282">LINEST(F253:F282,D253:D282)</f>
        <v>-14.563381535038941</v>
      </c>
      <c r="AA282" s="56">
        <v>2.8036872080088999</v>
      </c>
      <c r="AB282" s="37" cm="1">
        <f t="array" ref="AB282:AC282">LINEST(G273:G282,D273:D282)</f>
        <v>21.818181818181831</v>
      </c>
      <c r="AC282" s="37">
        <v>-3.517333333333335</v>
      </c>
      <c r="AD282" s="37" cm="1">
        <f t="array" ref="AD282:AE282">LINEST(G268:G282,D268:D282)</f>
        <v>-11.468571428571416</v>
      </c>
      <c r="AE282" s="37">
        <v>2.2172452380952365</v>
      </c>
      <c r="AF282" s="37" cm="1">
        <f t="array" ref="AF282:AG282">LINEST(G263:G282,D263:D282)</f>
        <v>-25.237894736842101</v>
      </c>
      <c r="AG282" s="37">
        <v>4.5642210526315798</v>
      </c>
      <c r="AH282" s="37" cm="1">
        <f t="array" ref="AH282:AI282">LINEST(G258:G282,D258:D282)</f>
        <v>-20.182153846153842</v>
      </c>
      <c r="AI282" s="37">
        <v>3.7179600000000002</v>
      </c>
      <c r="AJ282" s="37" cm="1">
        <f t="array" ref="AJ282:AK282">LINEST(G253:G282,D253:D282)</f>
        <v>-13.195461624026699</v>
      </c>
      <c r="AK282" s="37">
        <v>2.5632864664441977</v>
      </c>
    </row>
    <row r="283" spans="1:39" x14ac:dyDescent="0.25">
      <c r="A283" s="61">
        <v>502</v>
      </c>
      <c r="B283" s="14">
        <f t="shared" si="4"/>
        <v>277</v>
      </c>
      <c r="C283" s="15">
        <v>43981</v>
      </c>
      <c r="D283" s="16">
        <v>0.17874999999999999</v>
      </c>
      <c r="E283" s="36">
        <v>20.05</v>
      </c>
      <c r="F283" s="36">
        <v>1.88</v>
      </c>
      <c r="G283" s="36">
        <v>0.62</v>
      </c>
      <c r="H283" s="56" cm="1">
        <f t="array" ref="H283:I283">LINEST(E274:E283,D274:D283)</f>
        <v>-90.283636363636361</v>
      </c>
      <c r="I283" s="56">
        <v>36.27092727272727</v>
      </c>
      <c r="J283" s="56" cm="1">
        <f t="array" ref="J283:K283">LINEST(E269:E283,D269:D283)</f>
        <v>-50.297142857142859</v>
      </c>
      <c r="K283" s="56">
        <v>29.31828095238096</v>
      </c>
      <c r="L283" s="56" cm="1">
        <f t="array" ref="L283:M283">LINEST(E264:E283,D264:D283)</f>
        <v>-19.569924812030077</v>
      </c>
      <c r="M283" s="56">
        <v>24.063409774436089</v>
      </c>
      <c r="N283" s="56" cm="1">
        <f t="array" ref="N283:O283">LINEST(E259:E283,D259:D283)</f>
        <v>4.9292307692308004</v>
      </c>
      <c r="O283" s="56">
        <v>19.918253846153839</v>
      </c>
      <c r="P283" s="56" cm="1">
        <f t="array" ref="P283:Q283">LINEST(E254:E283,D254:D283)</f>
        <v>14.733170189099035</v>
      </c>
      <c r="Q283" s="56">
        <v>18.282488839451233</v>
      </c>
      <c r="R283" s="56" cm="1">
        <f t="array" ref="R283:S283">LINEST(F274:F283,D274:D283)</f>
        <v>203.25818181818218</v>
      </c>
      <c r="S283" s="56">
        <v>-34.290036363636425</v>
      </c>
      <c r="T283" s="56" cm="1">
        <f t="array" ref="T283:U283">LINEST(F269:F283,D269:D283)</f>
        <v>167.52857142857152</v>
      </c>
      <c r="U283" s="56">
        <v>-28.087648809523831</v>
      </c>
      <c r="V283" s="56" cm="1">
        <f t="array" ref="V283:W283">LINEST(F264:F283,D264:D283)</f>
        <v>53.095939849624123</v>
      </c>
      <c r="W283" s="56">
        <v>-8.4773278195488846</v>
      </c>
      <c r="X283" s="56" cm="1">
        <f t="array" ref="X283:Y283">LINEST(F259:F283,D259:D283)</f>
        <v>8.130461538461514</v>
      </c>
      <c r="Y283" s="56">
        <v>-0.8626123076923039</v>
      </c>
      <c r="Z283" s="56" cm="1">
        <f t="array" ref="Z283:AA283">LINEST(F254:F283,D254:D283)</f>
        <v>-5.4572636262513923</v>
      </c>
      <c r="AA283" s="56">
        <v>1.4065826473859846</v>
      </c>
      <c r="AB283" s="37" cm="1">
        <f t="array" ref="AB283:AC283">LINEST(G274:G283,D274:D283)</f>
        <v>35.956363636363669</v>
      </c>
      <c r="AC283" s="37">
        <v>-5.9424727272727322</v>
      </c>
      <c r="AD283" s="37" cm="1">
        <f t="array" ref="AD283:AE283">LINEST(G269:G283,D269:D283)</f>
        <v>2.5200000000000089</v>
      </c>
      <c r="AE283" s="37">
        <v>-0.13595000000000157</v>
      </c>
      <c r="AF283" s="37" cm="1">
        <f t="array" ref="AF283:AG283">LINEST(G264:G283,D264:D283)</f>
        <v>-19.109774436090234</v>
      </c>
      <c r="AG283" s="37">
        <v>3.5767293233082724</v>
      </c>
      <c r="AH283" s="37" cm="1">
        <f t="array" ref="AH283:AI283">LINEST(G259:G283,D259:D283)</f>
        <v>-17.955692307692303</v>
      </c>
      <c r="AI283" s="37">
        <v>3.3839184615384608</v>
      </c>
      <c r="AJ283" s="37" cm="1">
        <f t="array" ref="AJ283:AK283">LINEST(G254:G283,D254:D283)</f>
        <v>-12.578776418242491</v>
      </c>
      <c r="AK283" s="37">
        <v>2.4881337041156839</v>
      </c>
      <c r="AL283" s="40" t="s">
        <v>85</v>
      </c>
    </row>
    <row r="284" spans="1:39" x14ac:dyDescent="0.25">
      <c r="A284" s="61">
        <v>502</v>
      </c>
      <c r="B284" s="14">
        <f t="shared" si="4"/>
        <v>278</v>
      </c>
      <c r="C284" s="15">
        <v>43981</v>
      </c>
      <c r="D284" s="16">
        <v>0.18013888888888888</v>
      </c>
      <c r="E284" s="36">
        <v>20.079999999999998</v>
      </c>
      <c r="F284" s="36">
        <v>0.96</v>
      </c>
      <c r="G284" s="36">
        <v>0.64</v>
      </c>
      <c r="H284" s="56" cm="1">
        <f t="array" ref="H284:I284">LINEST(E275:E284,D275:D284)</f>
        <v>-99.490909090909113</v>
      </c>
      <c r="I284" s="56">
        <v>37.904363636363641</v>
      </c>
      <c r="J284" s="56" cm="1">
        <f t="array" ref="J284:K284">LINEST(E270:E284,D270:D284)</f>
        <v>-57.728571428571449</v>
      </c>
      <c r="K284" s="56">
        <v>30.586577380952388</v>
      </c>
      <c r="L284" s="56" cm="1">
        <f t="array" ref="L284:M284">LINEST(E265:E284,D265:D284)</f>
        <v>-32.031879699248151</v>
      </c>
      <c r="M284" s="56">
        <v>26.155044360902266</v>
      </c>
      <c r="N284" s="56" cm="1">
        <f t="array" ref="N284:O284">LINEST(E260:E284,D260:D284)</f>
        <v>-2.9575384615384364</v>
      </c>
      <c r="O284" s="56">
        <v>21.195475384615381</v>
      </c>
      <c r="P284" s="56" cm="1">
        <f t="array" ref="P284:Q284">LINEST(E255:E284,D255:D284)</f>
        <v>9.4008453837597568</v>
      </c>
      <c r="Q284" s="56">
        <v>19.11619807193177</v>
      </c>
      <c r="R284" s="56" cm="1">
        <f t="array" ref="R284:S284">LINEST(F275:F284,D275:D284)</f>
        <v>173.58545454545481</v>
      </c>
      <c r="S284" s="56">
        <v>-29.316581818181863</v>
      </c>
      <c r="T284" s="56" cm="1">
        <f t="array" ref="T284:U284">LINEST(F270:F284,D270:D284)</f>
        <v>145.1057142857143</v>
      </c>
      <c r="U284" s="56">
        <v>-24.335098809523814</v>
      </c>
      <c r="V284" s="56" cm="1">
        <f t="array" ref="V284:W284">LINEST(F265:F284,D265:D284)</f>
        <v>66.65142857142861</v>
      </c>
      <c r="W284" s="56">
        <v>-10.812085714285724</v>
      </c>
      <c r="X284" s="56" cm="1">
        <f t="array" ref="X284:Y284">LINEST(F260:F284,D260:D284)</f>
        <v>11.016000000000002</v>
      </c>
      <c r="Y284" s="56">
        <v>-1.3228100000000005</v>
      </c>
      <c r="Z284" s="56" cm="1">
        <f t="array" ref="Z284:AA284">LINEST(F255:F284,D255:D284)</f>
        <v>-4.6579755283648492</v>
      </c>
      <c r="AA284" s="56">
        <v>1.3079427512050428</v>
      </c>
      <c r="AB284" s="37" cm="1">
        <f t="array" ref="AB284:AC284">LINEST(G275:G284,D275:D284)</f>
        <v>46.560000000000038</v>
      </c>
      <c r="AC284" s="37">
        <v>-7.7892666666666717</v>
      </c>
      <c r="AD284" s="37" cm="1">
        <f t="array" ref="AD284:AE284">LINEST(G270:G284,D270:D284)</f>
        <v>13.551428571428579</v>
      </c>
      <c r="AE284" s="37">
        <v>-2.0113892857142872</v>
      </c>
      <c r="AF284" s="37" cm="1">
        <f t="array" ref="AF284:AG284">LINEST(G265:G284,D265:D284)</f>
        <v>-12.489022556390976</v>
      </c>
      <c r="AG284" s="37">
        <v>2.4904729323308272</v>
      </c>
      <c r="AH284" s="37" cm="1">
        <f t="array" ref="AH284:AI284">LINEST(G260:G284,D260:D284)</f>
        <v>-15.723692307692309</v>
      </c>
      <c r="AI284" s="37">
        <v>3.0443869230769232</v>
      </c>
      <c r="AJ284" s="37" cm="1">
        <f t="array" ref="AJ284:AK284">LINEST(G255:G284,D255:D284)</f>
        <v>-11.960489432703003</v>
      </c>
      <c r="AK284" s="37">
        <v>2.412011642565814</v>
      </c>
    </row>
    <row r="285" spans="1:39" x14ac:dyDescent="0.25">
      <c r="A285" s="61">
        <v>502</v>
      </c>
      <c r="B285" s="14">
        <f t="shared" si="4"/>
        <v>279</v>
      </c>
      <c r="C285" s="15">
        <v>43981</v>
      </c>
      <c r="D285" s="16">
        <v>0.18152777777777776</v>
      </c>
      <c r="E285" s="36">
        <v>20.07</v>
      </c>
      <c r="F285" s="36">
        <v>-0.22</v>
      </c>
      <c r="G285" s="36">
        <v>0.57999999999999996</v>
      </c>
      <c r="H285" s="56" cm="1">
        <f t="array" ref="H285:I285">LINEST(E276:E285,D276:D285)</f>
        <v>-101.93454545454559</v>
      </c>
      <c r="I285" s="56">
        <v>38.378860606060627</v>
      </c>
      <c r="J285" s="56" cm="1">
        <f t="array" ref="J285:K285">LINEST(E271:E285,D271:D285)</f>
        <v>-62.922857142857204</v>
      </c>
      <c r="K285" s="56">
        <v>31.491163095238104</v>
      </c>
      <c r="L285" s="56" cm="1">
        <f t="array" ref="L285:M285">LINEST(E266:E285,D266:D285)</f>
        <v>-45.841804511278241</v>
      </c>
      <c r="M285" s="56">
        <v>28.514703759398504</v>
      </c>
      <c r="N285" s="56" cm="1">
        <f t="array" ref="N285:O285">LINEST(E261:E285,D261:D285)</f>
        <v>-10.550769230769216</v>
      </c>
      <c r="O285" s="56">
        <v>22.444211538461541</v>
      </c>
      <c r="P285" s="56" cm="1">
        <f t="array" ref="P285:Q285">LINEST(E256:E285,D256:D285)</f>
        <v>4.1614238042269376</v>
      </c>
      <c r="Q285" s="56">
        <v>19.948392436040042</v>
      </c>
      <c r="R285" s="56" cm="1">
        <f t="array" ref="R285:S285">LINEST(F276:F285,D276:D285)</f>
        <v>59.432727272727647</v>
      </c>
      <c r="S285" s="56">
        <v>-9.509236363636429</v>
      </c>
      <c r="T285" s="56" cm="1">
        <f t="array" ref="T285:U285">LINEST(F271:F285,D271:D285)</f>
        <v>122.68285714285727</v>
      </c>
      <c r="U285" s="56">
        <v>-20.688263095238121</v>
      </c>
      <c r="V285" s="56" cm="1">
        <f t="array" ref="V285:W285">LINEST(F266:F285,D266:D285)</f>
        <v>68.026466165413609</v>
      </c>
      <c r="W285" s="56">
        <v>-11.193121804511295</v>
      </c>
      <c r="X285" s="56" cm="1">
        <f t="array" ref="X285:Y285">LINEST(F261:F285,D261:D285)</f>
        <v>10.927384615384604</v>
      </c>
      <c r="Y285" s="56">
        <v>-1.376700769230768</v>
      </c>
      <c r="Z285" s="56" cm="1">
        <f t="array" ref="Z285:AA285">LINEST(F256:F285,D256:D285)</f>
        <v>-5.1785539488320298</v>
      </c>
      <c r="AA285" s="56">
        <v>1.3514277345198362</v>
      </c>
      <c r="AB285" s="37" cm="1">
        <f t="array" ref="AB285:AC285">LINEST(G276:G285,D276:D285)</f>
        <v>47.825454545454598</v>
      </c>
      <c r="AC285" s="37">
        <v>-8.0287393939394036</v>
      </c>
      <c r="AD285" s="37" cm="1">
        <f t="array" ref="AD285:AE285">LINEST(G271:G285,D271:D285)</f>
        <v>22.165714285714291</v>
      </c>
      <c r="AE285" s="37">
        <v>-3.502859523809525</v>
      </c>
      <c r="AF285" s="37" cm="1">
        <f t="array" ref="AF285:AG285">LINEST(G266:G285,D266:D285)</f>
        <v>-6.2093233082706725</v>
      </c>
      <c r="AG285" s="37">
        <v>1.4397360902255634</v>
      </c>
      <c r="AH285" s="37" cm="1">
        <f t="array" ref="AH285:AI285">LINEST(G261:G285,D261:D285)</f>
        <v>-13.608000000000009</v>
      </c>
      <c r="AI285" s="37">
        <v>2.7138300000000024</v>
      </c>
      <c r="AJ285" s="37" cm="1">
        <f t="array" ref="AJ285:AK285">LINEST(G256:G285,D256:D285)</f>
        <v>-11.374238042269194</v>
      </c>
      <c r="AK285" s="37">
        <v>2.3353423062662229</v>
      </c>
    </row>
    <row r="286" spans="1:39" x14ac:dyDescent="0.25">
      <c r="A286" s="61">
        <v>502</v>
      </c>
      <c r="B286" s="14">
        <f t="shared" si="4"/>
        <v>280</v>
      </c>
      <c r="C286" s="15">
        <v>43981</v>
      </c>
      <c r="D286" s="16">
        <v>0.18291666666666664</v>
      </c>
      <c r="E286" s="36">
        <v>20.059999999999999</v>
      </c>
      <c r="F286" s="36">
        <v>-0.27</v>
      </c>
      <c r="G286" s="36">
        <v>0.51</v>
      </c>
      <c r="H286" s="56" cm="1">
        <f t="array" ref="H286:I286">LINEST(E277:E286,D277:D286)</f>
        <v>-95.301818181818476</v>
      </c>
      <c r="I286" s="56">
        <v>37.252654545454604</v>
      </c>
      <c r="J286" s="56" cm="1">
        <f t="array" ref="J286:K286">LINEST(E272:E286,D272:D286)</f>
        <v>-66.497142857142975</v>
      </c>
      <c r="K286" s="56">
        <v>32.131602380952401</v>
      </c>
      <c r="L286" s="56" cm="1">
        <f t="array" ref="L286:M286">LINEST(E267:E286,D267:D286)</f>
        <v>-49.203609022556464</v>
      </c>
      <c r="M286" s="56">
        <v>29.093445864661668</v>
      </c>
      <c r="N286" s="56" cm="1">
        <f t="array" ref="N286:O286">LINEST(E262:E286,D262:D286)</f>
        <v>-17.75076923076923</v>
      </c>
      <c r="O286" s="56">
        <v>23.646265384615386</v>
      </c>
      <c r="P286" s="56" cm="1">
        <f t="array" ref="P286:Q286">LINEST(E257:E286,D257:D286)</f>
        <v>-0.77365962180199477</v>
      </c>
      <c r="Q286" s="56">
        <v>20.742934593993326</v>
      </c>
      <c r="R286" s="56" cm="1">
        <f t="array" ref="R286:S286">LINEST(F277:F286,D277:D286)</f>
        <v>23.825454545454985</v>
      </c>
      <c r="S286" s="56">
        <v>-3.4411636363637133</v>
      </c>
      <c r="T286" s="56" cm="1">
        <f t="array" ref="T286:U286">LINEST(F272:F286,D272:D286)</f>
        <v>74.828571428571621</v>
      </c>
      <c r="U286" s="56">
        <v>-12.497892857142892</v>
      </c>
      <c r="V286" s="56" cm="1">
        <f t="array" ref="V286:W286">LINEST(F267:F286,D267:D286)</f>
        <v>70.121503759398635</v>
      </c>
      <c r="W286" s="56">
        <v>-11.702677443609049</v>
      </c>
      <c r="X286" s="56" cm="1">
        <f t="array" ref="X286:Y286">LINEST(F262:F286,D262:D286)</f>
        <v>15.63507692307693</v>
      </c>
      <c r="Y286" s="56">
        <v>-2.2541315384615404</v>
      </c>
      <c r="Z286" s="56" cm="1">
        <f t="array" ref="Z286:AA286">LINEST(F257:F286,D257:D286)</f>
        <v>-1.4576195773081302</v>
      </c>
      <c r="AA286" s="56">
        <v>0.67726807563960112</v>
      </c>
      <c r="AB286" s="37" cm="1">
        <f t="array" ref="AB286:AC286">LINEST(G277:G286,D277:D286)</f>
        <v>46.080000000000069</v>
      </c>
      <c r="AC286" s="37">
        <v>-7.754800000000011</v>
      </c>
      <c r="AD286" s="37" cm="1">
        <f t="array" ref="AD286:AE286">LINEST(G272:G286,D272:D286)</f>
        <v>26.151428571428589</v>
      </c>
      <c r="AE286" s="37">
        <v>-4.2112821428571463</v>
      </c>
      <c r="AF286" s="37" cm="1">
        <f t="array" ref="AF286:AG286">LINEST(G267:G286,D267:D286)</f>
        <v>-0.29774436090225009</v>
      </c>
      <c r="AG286" s="37">
        <v>0.43003383458646516</v>
      </c>
      <c r="AH286" s="37" cm="1">
        <f t="array" ref="AH286:AI286">LINEST(G262:G286,D262:D286)</f>
        <v>-11.331692307692315</v>
      </c>
      <c r="AI286" s="37">
        <v>2.3446938461538478</v>
      </c>
      <c r="AJ286" s="37" cm="1">
        <f t="array" ref="AJ286:AK286">LINEST(G257:G286,D257:D286)</f>
        <v>-10.579755283648502</v>
      </c>
      <c r="AK286" s="37">
        <v>2.2171490545050068</v>
      </c>
    </row>
    <row r="287" spans="1:39" x14ac:dyDescent="0.25">
      <c r="A287" s="61">
        <v>502</v>
      </c>
      <c r="B287" s="14">
        <f t="shared" si="4"/>
        <v>281</v>
      </c>
      <c r="C287" s="15">
        <v>43981</v>
      </c>
      <c r="D287" s="16">
        <v>0.18430555555555553</v>
      </c>
      <c r="E287" s="36">
        <v>20.07</v>
      </c>
      <c r="F287" s="36">
        <v>0.34</v>
      </c>
      <c r="G287" s="36">
        <v>0.5</v>
      </c>
      <c r="H287" s="56" cm="1">
        <f t="array" ref="H287:I287">LINEST(E278:E287,D278:D287)</f>
        <v>-79.898181818182152</v>
      </c>
      <c r="I287" s="56">
        <v>34.547315151515207</v>
      </c>
      <c r="J287" s="56" cm="1">
        <f t="array" ref="J287:K287">LINEST(E273:E287,D273:D287)</f>
        <v>-67.757142857143009</v>
      </c>
      <c r="K287" s="56">
        <v>32.379934523809553</v>
      </c>
      <c r="L287" s="56" cm="1">
        <f t="array" ref="L287:M287">LINEST(E268:E287,D268:D287)</f>
        <v>-50.806015037594065</v>
      </c>
      <c r="M287" s="56">
        <v>29.378973684210539</v>
      </c>
      <c r="N287" s="56" cm="1">
        <f t="array" ref="N287:O287">LINEST(E263:E287,D263:D287)</f>
        <v>-24.53538461538464</v>
      </c>
      <c r="O287" s="56">
        <v>24.797884615384618</v>
      </c>
      <c r="P287" s="56" cm="1">
        <f t="array" ref="P287:Q287">LINEST(E258:E287,D258:D287)</f>
        <v>-5.5341490545049981</v>
      </c>
      <c r="Q287" s="56">
        <v>21.522189469781239</v>
      </c>
      <c r="R287" s="56" cm="1">
        <f t="array" ref="R287:S287">LINEST(F278:F287,D278:D287)</f>
        <v>-30.807272727272419</v>
      </c>
      <c r="S287" s="56">
        <v>6.2894060606060052</v>
      </c>
      <c r="T287" s="56" cm="1">
        <f t="array" ref="T287:U287">LINEST(F273:F287,D273:D287)</f>
        <v>52.431428571428754</v>
      </c>
      <c r="U287" s="56">
        <v>-8.6343202380952704</v>
      </c>
      <c r="V287" s="56" cm="1">
        <f t="array" ref="V287:W287">LINEST(F268:F287,D268:D287)</f>
        <v>79.779248120300892</v>
      </c>
      <c r="W287" s="56">
        <v>-13.481615789473713</v>
      </c>
      <c r="X287" s="56" cm="1">
        <f t="array" ref="X287:Y287">LINEST(F263:F287,D263:D287)</f>
        <v>18.299076923076949</v>
      </c>
      <c r="Y287" s="56">
        <v>-2.737636923076928</v>
      </c>
      <c r="Z287" s="56" cm="1">
        <f t="array" ref="Z287:AA287">LINEST(F258:F287,D258:D287)</f>
        <v>-1.9717908787541709</v>
      </c>
      <c r="AA287" s="56">
        <v>0.76070233592880965</v>
      </c>
      <c r="AB287" s="37" cm="1">
        <f t="array" ref="AB287:AC287">LINEST(G278:G287,D278:D287)</f>
        <v>40.189090909091014</v>
      </c>
      <c r="AC287" s="37">
        <v>-6.7368909090909259</v>
      </c>
      <c r="AD287" s="37" cm="1">
        <f t="array" ref="AD287:AE287">LINEST(G273:G287,D273:D287)</f>
        <v>28.234285714285743</v>
      </c>
      <c r="AE287" s="37">
        <v>-4.5952357142857201</v>
      </c>
      <c r="AF287" s="37" cm="1">
        <f t="array" ref="AF287:AG287">LINEST(G268:G287,D268:D287)</f>
        <v>5.9494736842105329</v>
      </c>
      <c r="AG287" s="37">
        <v>-0.65452105263158034</v>
      </c>
      <c r="AH287" s="37" cm="1">
        <f t="array" ref="AH287:AI287">LINEST(G263:G287,D263:D287)</f>
        <v>-8.9889230769230828</v>
      </c>
      <c r="AI287" s="37">
        <v>1.957693076923078</v>
      </c>
      <c r="AJ287" s="37" cm="1">
        <f t="array" ref="AJ287:AK287">LINEST(G258:G287,D258:D287)</f>
        <v>-9.8861846496106853</v>
      </c>
      <c r="AK287" s="37">
        <v>2.1136486466444211</v>
      </c>
    </row>
    <row r="288" spans="1:39" x14ac:dyDescent="0.25">
      <c r="A288" s="61">
        <v>502</v>
      </c>
      <c r="B288" s="14">
        <f t="shared" si="4"/>
        <v>282</v>
      </c>
      <c r="C288" s="15">
        <v>43981</v>
      </c>
      <c r="D288" s="16">
        <v>0.18569444444444447</v>
      </c>
      <c r="E288" s="36">
        <v>20.079999999999998</v>
      </c>
      <c r="F288" s="36">
        <v>0.24</v>
      </c>
      <c r="G288" s="36">
        <v>0.48</v>
      </c>
      <c r="H288" s="56" cm="1">
        <f t="array" ref="H288:I288">LINEST(E279:E288,D279:D288)</f>
        <v>-60.610909090909296</v>
      </c>
      <c r="I288" s="56">
        <v>31.113290909090946</v>
      </c>
      <c r="J288" s="56" cm="1">
        <f t="array" ref="J288:K288">LINEST(E274:E288,D274:D288)</f>
        <v>-66.780000000000115</v>
      </c>
      <c r="K288" s="56">
        <v>32.240091666666686</v>
      </c>
      <c r="L288" s="56" cm="1">
        <f t="array" ref="L288:M288">LINEST(E269:E288,D269:D288)</f>
        <v>-51.412330827067748</v>
      </c>
      <c r="M288" s="56">
        <v>29.499127067669193</v>
      </c>
      <c r="N288" s="56" cm="1">
        <f t="array" ref="N288:O288">LINEST(E264:E288,D264:D288)</f>
        <v>-30.821538461538509</v>
      </c>
      <c r="O288" s="56">
        <v>25.882896153846161</v>
      </c>
      <c r="P288" s="56" cm="1">
        <f t="array" ref="P288:Q288">LINEST(E259:E288,D259:D288)</f>
        <v>-10.067185761957743</v>
      </c>
      <c r="Q288" s="56">
        <v>22.276345198368563</v>
      </c>
      <c r="R288" s="56" cm="1">
        <f t="array" ref="R288:S288">LINEST(F279:F288,D279:D288)</f>
        <v>-163.54909090909069</v>
      </c>
      <c r="S288" s="56">
        <v>30.325975757575716</v>
      </c>
      <c r="T288" s="56" cm="1">
        <f t="array" ref="T288:U288">LINEST(F274:F288,D274:D288)</f>
        <v>21.497142857142926</v>
      </c>
      <c r="U288" s="56">
        <v>-3.1982333333333455</v>
      </c>
      <c r="V288" s="56" cm="1">
        <f t="array" ref="V288:W288">LINEST(F269:F288,D269:D288)</f>
        <v>68.800601503759481</v>
      </c>
      <c r="W288" s="56">
        <v>-11.643603759398513</v>
      </c>
      <c r="X288" s="56" cm="1">
        <f t="array" ref="X288:Y288">LINEST(F264:F288,D264:D288)</f>
        <v>23.820923076923098</v>
      </c>
      <c r="Y288" s="56">
        <v>-3.733997692307697</v>
      </c>
      <c r="Z288" s="56" cm="1">
        <f t="array" ref="Z288:AA288">LINEST(F259:F288,D259:D288)</f>
        <v>-0.48854282536152233</v>
      </c>
      <c r="AA288" s="56">
        <v>0.4952143121987409</v>
      </c>
      <c r="AB288" s="37" cm="1">
        <f t="array" ref="AB288:AC288">LINEST(G279:G288,D279:D288)</f>
        <v>24.39272727272726</v>
      </c>
      <c r="AC288" s="37">
        <v>-3.9141393939393909</v>
      </c>
      <c r="AD288" s="37" cm="1">
        <f t="array" ref="AD288:AE288">LINEST(G274:G288,D274:D288)</f>
        <v>27.694285714285733</v>
      </c>
      <c r="AE288" s="37">
        <v>-4.5194250000000036</v>
      </c>
      <c r="AF288" s="37" cm="1">
        <f t="array" ref="AF288:AG288">LINEST(G269:G288,D269:D288)</f>
        <v>10.85954887218046</v>
      </c>
      <c r="AG288" s="37">
        <v>-1.5202721804511297</v>
      </c>
      <c r="AH288" s="37" cm="1">
        <f t="array" ref="AH288:AI288">LINEST(G264:G288,D264:D288)</f>
        <v>-6.4246153846153877</v>
      </c>
      <c r="AI288" s="37">
        <v>1.5247384615384625</v>
      </c>
      <c r="AJ288" s="37" cm="1">
        <f t="array" ref="AJ288:AK288">LINEST(G259:G288,D259:D288)</f>
        <v>-9.1445606229143532</v>
      </c>
      <c r="AK288" s="37">
        <v>1.9989328142380431</v>
      </c>
      <c r="AL288" s="40" t="s">
        <v>86</v>
      </c>
    </row>
    <row r="289" spans="1:38" x14ac:dyDescent="0.25">
      <c r="A289" s="61">
        <v>502</v>
      </c>
      <c r="B289" s="14">
        <f t="shared" si="4"/>
        <v>283</v>
      </c>
      <c r="C289" s="15">
        <v>43981</v>
      </c>
      <c r="D289" s="16">
        <v>0.18708333333333335</v>
      </c>
      <c r="E289" s="36">
        <v>20.09</v>
      </c>
      <c r="F289" s="36">
        <v>0.21</v>
      </c>
      <c r="G289" s="36">
        <v>0.46</v>
      </c>
      <c r="H289" s="56" cm="1">
        <f t="array" ref="H289:I289">LINEST(E280:E289,D280:D289)</f>
        <v>-31.680000000000092</v>
      </c>
      <c r="I289" s="56">
        <v>25.878800000000016</v>
      </c>
      <c r="J289" s="56" cm="1">
        <f t="array" ref="J289:K289">LINEST(E275:E289,D275:D289)</f>
        <v>-63.231428571428594</v>
      </c>
      <c r="K289" s="56">
        <v>31.642129761904762</v>
      </c>
      <c r="L289" s="56" cm="1">
        <f t="array" ref="L289:M289">LINEST(E270:E289,D270:D289)</f>
        <v>-51.634285714285788</v>
      </c>
      <c r="M289" s="56">
        <v>29.558628571428585</v>
      </c>
      <c r="N289" s="56" cm="1">
        <f t="array" ref="N289:O289">LINEST(E265:E289,D265:D289)</f>
        <v>-36.664615384615438</v>
      </c>
      <c r="O289" s="56">
        <v>26.909061538461554</v>
      </c>
      <c r="P289" s="56" cm="1">
        <f t="array" ref="P289:Q289">LINEST(E260:E289,D260:D289)</f>
        <v>-14.46567296996664</v>
      </c>
      <c r="Q289" s="56">
        <v>23.020630404152765</v>
      </c>
      <c r="R289" s="56" cm="1">
        <f t="array" ref="R289:S289">LINEST(F280:F289,D280:D289)</f>
        <v>-182.5745454545451</v>
      </c>
      <c r="S289" s="56">
        <v>33.893563636363567</v>
      </c>
      <c r="T289" s="56" cm="1">
        <f t="array" ref="T289:U289">LINEST(F275:F289,D275:D289)</f>
        <v>2.7257142857143202</v>
      </c>
      <c r="U289" s="56">
        <v>0.11523095238094627</v>
      </c>
      <c r="V289" s="56" cm="1">
        <f t="array" ref="V289:W289">LINEST(F270:F289,D270:D289)</f>
        <v>49.046616541353423</v>
      </c>
      <c r="W289" s="56">
        <v>-8.2186616541353459</v>
      </c>
      <c r="X289" s="56" cm="1">
        <f t="array" ref="X289:Y289">LINEST(F265:F289,D265:D289)</f>
        <v>27.79200000000003</v>
      </c>
      <c r="Y289" s="56">
        <v>-4.4722200000000063</v>
      </c>
      <c r="Z289" s="56" cm="1">
        <f t="array" ref="Z289:AA289">LINEST(F260:F289,D260:D289)</f>
        <v>-1.5585317018909843</v>
      </c>
      <c r="AA289" s="56">
        <v>0.66852154245457829</v>
      </c>
      <c r="AB289" s="37" cm="1">
        <f t="array" ref="AB289:AC289">LINEST(G280:G289,D280:D289)</f>
        <v>8.2909090909090395</v>
      </c>
      <c r="AC289" s="37">
        <v>-1.0032727272727178</v>
      </c>
      <c r="AD289" s="37" cm="1">
        <f t="array" ref="AD289:AE289">LINEST(G275:G289,D275:D289)</f>
        <v>25.817142857142848</v>
      </c>
      <c r="AE289" s="37">
        <v>-4.2056238095238081</v>
      </c>
      <c r="AF289" s="37" cm="1">
        <f t="array" ref="AF289:AG289">LINEST(G270:G289,D270:D289)</f>
        <v>13.85864661654135</v>
      </c>
      <c r="AG289" s="37">
        <v>-2.0598646616541352</v>
      </c>
      <c r="AH289" s="37" cm="1">
        <f t="array" ref="AH289:AI289">LINEST(G265:G289,D265:D289)</f>
        <v>-3.7550769230769228</v>
      </c>
      <c r="AI289" s="37">
        <v>1.0655276923076924</v>
      </c>
      <c r="AJ289" s="37" cm="1">
        <f t="array" ref="AJ289:AK289">LINEST(G260:G289,D260:D289)</f>
        <v>-8.5406896551724145</v>
      </c>
      <c r="AK289" s="37">
        <v>1.905154022988506</v>
      </c>
    </row>
    <row r="290" spans="1:38" x14ac:dyDescent="0.25">
      <c r="A290" s="61">
        <v>502</v>
      </c>
      <c r="B290" s="14">
        <f t="shared" si="4"/>
        <v>284</v>
      </c>
      <c r="C290" s="15">
        <v>43981</v>
      </c>
      <c r="D290" s="16">
        <v>0.18847222222222224</v>
      </c>
      <c r="E290" s="36">
        <v>20.12</v>
      </c>
      <c r="F290" s="36">
        <v>1.03</v>
      </c>
      <c r="G290" s="36">
        <v>0.5</v>
      </c>
      <c r="H290" s="56" cm="1">
        <f t="array" ref="H290:I290">LINEST(E281:E290,D281:D290)</f>
        <v>9.3818181818180761</v>
      </c>
      <c r="I290" s="56">
        <v>18.349424242424263</v>
      </c>
      <c r="J290" s="56" cm="1">
        <f t="array" ref="J290:K290">LINEST(E276:E290,D276:D290)</f>
        <v>-57.188571428571422</v>
      </c>
      <c r="K290" s="56">
        <v>30.591790476190472</v>
      </c>
      <c r="L290" s="56" cm="1">
        <f t="array" ref="L290:M290">LINEST(E271:E290,D271:D290)</f>
        <v>-50.567819548872201</v>
      </c>
      <c r="M290" s="56">
        <v>29.394915037593989</v>
      </c>
      <c r="N290" s="56" cm="1">
        <f t="array" ref="N290:O290">LINEST(E266:E290,D266:D290)</f>
        <v>-43.144615384615413</v>
      </c>
      <c r="O290" s="56">
        <v>28.067684615384614</v>
      </c>
      <c r="P290" s="56" cm="1">
        <f t="array" ref="P290:Q290">LINEST(E261:E290,D261:D290)</f>
        <v>-18.487741935483875</v>
      </c>
      <c r="Q290" s="56">
        <v>23.713436559139794</v>
      </c>
      <c r="R290" s="56" cm="1">
        <f t="array" ref="R290:S290">LINEST(F281:F290,D281:D290)</f>
        <v>-128.50909090909028</v>
      </c>
      <c r="S290" s="56">
        <v>24.210212121212003</v>
      </c>
      <c r="T290" s="56" cm="1">
        <f t="array" ref="T290:U290">LINEST(F276:F290,D276:D290)</f>
        <v>-14.579999999999878</v>
      </c>
      <c r="U290" s="56">
        <v>3.3148416666666449</v>
      </c>
      <c r="V290" s="56" cm="1">
        <f t="array" ref="V290:W290">LINEST(F271:F290,D271:D290)</f>
        <v>51.10917293233085</v>
      </c>
      <c r="W290" s="56">
        <v>-8.5888022556391022</v>
      </c>
      <c r="X290" s="56" cm="1">
        <f t="array" ref="X290:Y290">LINEST(F266:F290,D266:D290)</f>
        <v>37.606153846153866</v>
      </c>
      <c r="Y290" s="56">
        <v>-6.1925461538461581</v>
      </c>
      <c r="Z290" s="56" cm="1">
        <f t="array" ref="Z290:AA290">LINEST(F261:F290,D261:D290)</f>
        <v>4.8133481646273637</v>
      </c>
      <c r="AA290" s="56">
        <v>-0.40458027437893979</v>
      </c>
      <c r="AB290" s="37" cm="1">
        <f t="array" ref="AB290:AC290">LINEST(G281:G290,D281:D290)</f>
        <v>-2.4000000000000243</v>
      </c>
      <c r="AC290" s="37">
        <v>0.9563333333333377</v>
      </c>
      <c r="AD290" s="37" cm="1">
        <f t="array" ref="AD290:AE290">LINEST(G276:G290,D276:D290)</f>
        <v>22.679999999999982</v>
      </c>
      <c r="AE290" s="37">
        <v>-3.6547166666666633</v>
      </c>
      <c r="AF290" s="37" cm="1">
        <f t="array" ref="AF290:AG290">LINEST(G271:G290,D271:D290)</f>
        <v>16.765714285714278</v>
      </c>
      <c r="AG290" s="37">
        <v>-2.587157142857142</v>
      </c>
      <c r="AH290" s="37" cm="1">
        <f t="array" ref="AH290:AI290">LINEST(G266:G290,D266:D290)</f>
        <v>-0.56492307692307286</v>
      </c>
      <c r="AI290" s="37">
        <v>0.51065692307692245</v>
      </c>
      <c r="AJ290" s="37" cm="1">
        <f t="array" ref="AJ290:AK290">LINEST(G261:G290,D261:D290)</f>
        <v>-7.4979310344827583</v>
      </c>
      <c r="AK290" s="37">
        <v>1.7358183908045981</v>
      </c>
    </row>
    <row r="291" spans="1:38" x14ac:dyDescent="0.25">
      <c r="A291" s="61">
        <v>502</v>
      </c>
      <c r="B291" s="14">
        <f t="shared" si="4"/>
        <v>285</v>
      </c>
      <c r="C291" s="15">
        <v>43981</v>
      </c>
      <c r="D291" s="16">
        <v>0.18986111111111112</v>
      </c>
      <c r="E291" s="36">
        <v>20.14</v>
      </c>
      <c r="F291" s="36">
        <v>0.44</v>
      </c>
      <c r="G291" s="36">
        <v>0.5</v>
      </c>
      <c r="H291" s="56" cm="1">
        <f t="array" ref="H291:I291">LINEST(E282:E291,D282:D291)</f>
        <v>6.8509090909090764</v>
      </c>
      <c r="I291" s="56">
        <v>18.821096969696974</v>
      </c>
      <c r="J291" s="56" cm="1">
        <f t="array" ref="J291:K291">LINEST(E277:E291,D277:D291)</f>
        <v>-47.931428571428569</v>
      </c>
      <c r="K291" s="56">
        <v>28.944980952380952</v>
      </c>
      <c r="L291" s="56" cm="1">
        <f t="array" ref="L291:M291">LINEST(E272:E291,D272:D291)</f>
        <v>-48.700150375939863</v>
      </c>
      <c r="M291" s="56">
        <v>29.089693233082706</v>
      </c>
      <c r="N291" s="56" cm="1">
        <f t="array" ref="N291:O291">LINEST(E267:E291,D267:D291)</f>
        <v>-42.862153846153895</v>
      </c>
      <c r="O291" s="56">
        <v>28.037486923076933</v>
      </c>
      <c r="P291" s="56" cm="1">
        <f t="array" ref="P291:Q291">LINEST(E262:E291,D262:D291)</f>
        <v>-22.126985539488327</v>
      </c>
      <c r="Q291" s="56">
        <v>24.351441156840941</v>
      </c>
      <c r="R291" s="56" cm="1">
        <f t="array" ref="R291:S291">LINEST(F282:F291,D282:D291)</f>
        <v>-90.196363636363117</v>
      </c>
      <c r="S291" s="56">
        <v>17.210054545454447</v>
      </c>
      <c r="T291" s="56" cm="1">
        <f t="array" ref="T291:U291">LINEST(F277:F291,D277:D291)</f>
        <v>-10.748571428571347</v>
      </c>
      <c r="U291" s="56">
        <v>2.5989023809523664</v>
      </c>
      <c r="V291" s="56" cm="1">
        <f t="array" ref="V291:W291">LINEST(F272:F291,D272:D291)</f>
        <v>32.172631578947367</v>
      </c>
      <c r="W291" s="56">
        <v>-5.2243315789473685</v>
      </c>
      <c r="X291" s="56" cm="1">
        <f t="array" ref="X291:Y291">LINEST(F267:F291,D267:D291)</f>
        <v>43.438153846153881</v>
      </c>
      <c r="Y291" s="56">
        <v>-7.2740469230769298</v>
      </c>
      <c r="Z291" s="56" cm="1">
        <f t="array" ref="Z291:AA291">LINEST(F262:F291,D262:D291)</f>
        <v>11.499176863181317</v>
      </c>
      <c r="AA291" s="56">
        <v>-1.5886658509454961</v>
      </c>
      <c r="AB291" s="37" cm="1">
        <f t="array" ref="AB291:AC291">LINEST(G282:G291,D282:D291)</f>
        <v>-9.3381818181818055</v>
      </c>
      <c r="AC291" s="37">
        <v>2.2445939393939369</v>
      </c>
      <c r="AD291" s="37" cm="1">
        <f t="array" ref="AD291:AE291">LINEST(G277:G291,D277:D291)</f>
        <v>20.185714285714251</v>
      </c>
      <c r="AE291" s="37">
        <v>-3.2162321428571365</v>
      </c>
      <c r="AF291" s="37" cm="1">
        <f t="array" ref="AF291:AG291">LINEST(G272:G291,D272:D291)</f>
        <v>17.935037593984951</v>
      </c>
      <c r="AG291" s="37">
        <v>-2.8080233082706751</v>
      </c>
      <c r="AH291" s="37" cm="1">
        <f t="array" ref="AH291:AI291">LINEST(G267:G291,D267:D291)</f>
        <v>2.863384615384621</v>
      </c>
      <c r="AI291" s="37">
        <v>-9.472230769230866E-2</v>
      </c>
      <c r="AJ291" s="37" cm="1">
        <f t="array" ref="AJ291:AK291">LINEST(G262:G291,D262:D291)</f>
        <v>-6.0034705228031147</v>
      </c>
      <c r="AK291" s="37">
        <v>1.4842556915090843</v>
      </c>
    </row>
    <row r="292" spans="1:38" x14ac:dyDescent="0.25">
      <c r="A292" s="61">
        <v>502</v>
      </c>
      <c r="B292" s="14">
        <f t="shared" si="4"/>
        <v>286</v>
      </c>
      <c r="C292" s="15">
        <v>43981</v>
      </c>
      <c r="D292" s="16">
        <v>0.19125</v>
      </c>
      <c r="E292" s="36">
        <v>20.170000000000002</v>
      </c>
      <c r="F292" s="36">
        <v>1</v>
      </c>
      <c r="G292" s="36">
        <v>0.54</v>
      </c>
      <c r="H292" s="56" cm="1">
        <f t="array" ref="H292:I292">LINEST(E283:E292,D283:D292)</f>
        <v>8.0727272727273824</v>
      </c>
      <c r="I292" s="56">
        <v>18.599545454545435</v>
      </c>
      <c r="J292" s="56" cm="1">
        <f t="array" ref="J292:K292">LINEST(E278:E292,D278:D292)</f>
        <v>-35.871428571428574</v>
      </c>
      <c r="K292" s="56">
        <v>26.765660714285712</v>
      </c>
      <c r="L292" s="56" cm="1">
        <f t="array" ref="L292:M292">LINEST(E273:E292,D273:D292)</f>
        <v>-45.766015037593988</v>
      </c>
      <c r="M292" s="56">
        <v>28.591893233082708</v>
      </c>
      <c r="N292" s="56" cm="1">
        <f t="array" ref="N292:O292">LINEST(E268:E292,D268:D292)</f>
        <v>-41.521846153846155</v>
      </c>
      <c r="O292" s="56">
        <v>27.821422307692309</v>
      </c>
      <c r="P292" s="56" cm="1">
        <f t="array" ref="P292:Q292">LINEST(E263:E292,D263:D292)</f>
        <v>-25.426651835372642</v>
      </c>
      <c r="Q292" s="56">
        <v>24.941449314052655</v>
      </c>
      <c r="R292" s="56" cm="1">
        <f t="array" ref="R292:S292">LINEST(F283:F292,D283:D292)</f>
        <v>-17.323636363636183</v>
      </c>
      <c r="S292" s="56">
        <v>3.7658727272726931</v>
      </c>
      <c r="T292" s="56" cm="1">
        <f t="array" ref="T292:U292">LINEST(F278:F292,D278:D292)</f>
        <v>-18.719999999999906</v>
      </c>
      <c r="U292" s="56">
        <v>4.1288666666666494</v>
      </c>
      <c r="V292" s="56" cm="1">
        <f t="array" ref="V292:W292">LINEST(F273:F292,D273:D292)</f>
        <v>26.596691729323343</v>
      </c>
      <c r="W292" s="56">
        <v>-4.2001887218045182</v>
      </c>
      <c r="X292" s="56" cm="1">
        <f t="array" ref="X292:Y292">LINEST(F268:F292,D268:D292)</f>
        <v>53.257846153846124</v>
      </c>
      <c r="Y292" s="56">
        <v>-9.0455323076923069</v>
      </c>
      <c r="Z292" s="56" cm="1">
        <f t="array" ref="Z292:AA292">LINEST(F263:F292,D263:D292)</f>
        <v>16.230834260289217</v>
      </c>
      <c r="AA292" s="56">
        <v>-2.404942751205045</v>
      </c>
      <c r="AB292" s="37" cm="1">
        <f t="array" ref="AB292:AC292">LINEST(G283:G292,D283:D292)</f>
        <v>-9.9054545454545231</v>
      </c>
      <c r="AC292" s="37">
        <v>2.3655090909090863</v>
      </c>
      <c r="AD292" s="37" cm="1">
        <f t="array" ref="AD292:AE292">LINEST(G278:G292,D278:D292)</f>
        <v>17.202857142857113</v>
      </c>
      <c r="AE292" s="37">
        <v>-2.6781297619047564</v>
      </c>
      <c r="AF292" s="37" cm="1">
        <f t="array" ref="AF292:AG292">LINEST(G273:G292,D273:D292)</f>
        <v>18.63879699248119</v>
      </c>
      <c r="AG292" s="37">
        <v>-2.944241353383457</v>
      </c>
      <c r="AH292" s="37" cm="1">
        <f t="array" ref="AH292:AI292">LINEST(G268:G292,D268:D292)</f>
        <v>6.8012307692307701</v>
      </c>
      <c r="AI292" s="37">
        <v>-0.79738153846153892</v>
      </c>
      <c r="AJ292" s="37" cm="1">
        <f t="array" ref="AJ292:AK292">LINEST(G263:G292,D263:D292)</f>
        <v>-4.2431145717463812</v>
      </c>
      <c r="AK292" s="37">
        <v>1.1843773822766033</v>
      </c>
    </row>
    <row r="293" spans="1:38" x14ac:dyDescent="0.25">
      <c r="A293" s="61">
        <v>502</v>
      </c>
      <c r="B293" s="55">
        <f t="shared" si="4"/>
        <v>287</v>
      </c>
      <c r="C293" s="15">
        <v>43981</v>
      </c>
      <c r="D293" s="16">
        <v>0.19263888888888889</v>
      </c>
      <c r="E293" s="36">
        <v>20.18</v>
      </c>
      <c r="F293" s="36">
        <v>0.19</v>
      </c>
      <c r="G293" s="36">
        <v>0.51</v>
      </c>
      <c r="H293" s="56" cm="1">
        <f t="array" ref="H293:I293">LINEST(E284:E293,D284:D293)</f>
        <v>9.4254545454546754</v>
      </c>
      <c r="I293" s="56">
        <v>18.349199999999978</v>
      </c>
      <c r="J293" s="56" cm="1">
        <f t="array" ref="J293:K293">LINEST(E279:E293,D279:D293)</f>
        <v>-23.502857142857145</v>
      </c>
      <c r="K293" s="56">
        <v>24.503730952380955</v>
      </c>
      <c r="L293" s="56" cm="1">
        <f t="array" ref="L293:M293">LINEST(E274:E293,D274:D293)</f>
        <v>-42.025263157894734</v>
      </c>
      <c r="M293" s="56">
        <v>27.942699999999999</v>
      </c>
      <c r="N293" s="56" cm="1">
        <f t="array" ref="N293:O293">LINEST(E269:E293,D269:D293)</f>
        <v>-39.755076923076942</v>
      </c>
      <c r="O293" s="56">
        <v>27.528189230769236</v>
      </c>
      <c r="P293" s="56" cm="1">
        <f t="array" ref="P293:Q293">LINEST(E264:E293,D264:D293)</f>
        <v>-28.429988876529499</v>
      </c>
      <c r="Q293" s="56">
        <v>25.488506414534669</v>
      </c>
      <c r="R293" s="56" cm="1">
        <f t="array" ref="R293:S293">LINEST(F284:F293,D284:D293)</f>
        <v>31.41818181818185</v>
      </c>
      <c r="S293" s="56">
        <v>-5.4640000000000049</v>
      </c>
      <c r="T293" s="56" cm="1">
        <f t="array" ref="T293:U293">LINEST(F279:F293,D279:D293)</f>
        <v>-74.339999999999819</v>
      </c>
      <c r="U293" s="56">
        <v>14.441358333333298</v>
      </c>
      <c r="V293" s="56" cm="1">
        <f t="array" ref="V293:W293">LINEST(F274:F293,D274:D293)</f>
        <v>8.5425563909774898</v>
      </c>
      <c r="W293" s="56">
        <v>-0.95091428571429415</v>
      </c>
      <c r="X293" s="56" cm="1">
        <f t="array" ref="X293:Y293">LINEST(F269:F293,D269:D293)</f>
        <v>44.83384615384616</v>
      </c>
      <c r="Y293" s="56">
        <v>-7.5951115384615413</v>
      </c>
      <c r="Z293" s="56" cm="1">
        <f t="array" ref="Z293:AA293">LINEST(F264:F293,D264:D293)</f>
        <v>19.394349276974435</v>
      </c>
      <c r="AA293" s="56">
        <v>-3.0061919169447577</v>
      </c>
      <c r="AB293" s="37" cm="1">
        <f t="array" ref="AB293:AC293">LINEST(G284:G293,D284:D293)</f>
        <v>-6.6327272727272666</v>
      </c>
      <c r="AC293" s="37">
        <v>1.7582666666666653</v>
      </c>
      <c r="AD293" s="37" cm="1">
        <f t="array" ref="AD293:AE293">LINEST(G279:G293,D279:D293)</f>
        <v>10.054285714285692</v>
      </c>
      <c r="AE293" s="37">
        <v>-1.3630964285714242</v>
      </c>
      <c r="AF293" s="37" cm="1">
        <f t="array" ref="AF293:AG293">LINEST(G274:G293,D274:D293)</f>
        <v>17.821353383458639</v>
      </c>
      <c r="AG293" s="37">
        <v>-2.8069428571428561</v>
      </c>
      <c r="AH293" s="37" cm="1">
        <f t="array" ref="AH293:AI293">LINEST(G269:G293,D269:D293)</f>
        <v>9.7587692307692286</v>
      </c>
      <c r="AI293" s="37">
        <v>-1.334472307692308</v>
      </c>
      <c r="AJ293" s="37" cm="1">
        <f t="array" ref="AJ293:AK293">LINEST(G264:G293,D264:D293)</f>
        <v>-2.4058731924360406</v>
      </c>
      <c r="AK293" s="37">
        <v>0.86434645902855056</v>
      </c>
      <c r="AL293" s="39" t="s">
        <v>87</v>
      </c>
    </row>
    <row r="294" spans="1:38" x14ac:dyDescent="0.25">
      <c r="A294" s="61">
        <v>502</v>
      </c>
      <c r="B294" s="14">
        <f t="shared" si="4"/>
        <v>288</v>
      </c>
      <c r="C294" s="15">
        <v>43981</v>
      </c>
      <c r="D294" s="16">
        <v>0.19402777777777777</v>
      </c>
      <c r="E294" s="36">
        <v>20.190000000000001</v>
      </c>
      <c r="F294" s="36">
        <v>0.31</v>
      </c>
      <c r="G294" s="36">
        <v>0.49</v>
      </c>
      <c r="H294" s="56" cm="1">
        <f t="array" ref="H294:I294">LINEST(E285:E294,D285:D294)</f>
        <v>11.476363636363748</v>
      </c>
      <c r="I294" s="56">
        <v>17.961993939393921</v>
      </c>
      <c r="J294" s="56" cm="1">
        <f t="array" ref="J294:K294">LINEST(E280:E294,D280:D294)</f>
        <v>-8.2285714285713922</v>
      </c>
      <c r="K294" s="56">
        <v>21.669904761904753</v>
      </c>
      <c r="L294" s="56" cm="1">
        <f t="array" ref="L294:M294">LINEST(E275:E294,D275:D294)</f>
        <v>-37.283007518796964</v>
      </c>
      <c r="M294" s="56">
        <v>27.102510526315783</v>
      </c>
      <c r="N294" s="56" cm="1">
        <f t="array" ref="N294:O294">LINEST(E270:E294,D270:D294)</f>
        <v>-37.94400000000001</v>
      </c>
      <c r="O294" s="56">
        <v>27.225790000000003</v>
      </c>
      <c r="P294" s="56" cm="1">
        <f t="array" ref="P294:Q294">LINEST(E265:E294,D265:D294)</f>
        <v>-31.177041156840964</v>
      </c>
      <c r="Q294" s="56">
        <v>25.998674378939569</v>
      </c>
      <c r="R294" s="56" cm="1">
        <f t="array" ref="R294:S294">LINEST(F285:F294,D285:D294)</f>
        <v>55.461818181818195</v>
      </c>
      <c r="S294" s="56">
        <v>-10.087496969696971</v>
      </c>
      <c r="T294" s="56" cm="1">
        <f t="array" ref="T294:U294">LINEST(F280:F294,D280:D294)</f>
        <v>-76.397142857142725</v>
      </c>
      <c r="U294" s="56">
        <v>14.863751190476165</v>
      </c>
      <c r="V294" s="56" cm="1">
        <f t="array" ref="V294:W294">LINEST(F275:F294,D275:D294)</f>
        <v>-0.87157894736838681</v>
      </c>
      <c r="W294" s="56">
        <v>0.75511052631578324</v>
      </c>
      <c r="X294" s="56" cm="1">
        <f t="array" ref="X294:Y294">LINEST(F270:F294,D270:D294)</f>
        <v>32.017846153846179</v>
      </c>
      <c r="Y294" s="56">
        <v>-5.3119207692307739</v>
      </c>
      <c r="Z294" s="56" cm="1">
        <f t="array" ref="Z294:AA294">LINEST(F265:F294,D265:D294)</f>
        <v>22.141401557285885</v>
      </c>
      <c r="AA294" s="56">
        <v>-3.5311437152391574</v>
      </c>
      <c r="AB294" s="37" cm="1">
        <f t="array" ref="AB294:AC294">LINEST(G285:G294,D285:D294)</f>
        <v>-2.2254545454545518</v>
      </c>
      <c r="AC294" s="37">
        <v>0.92489090909091032</v>
      </c>
      <c r="AD294" s="37" cm="1">
        <f t="array" ref="AD294:AE294">LINEST(G280:G294,D280:D294)</f>
        <v>3.1885714285714126</v>
      </c>
      <c r="AE294" s="37">
        <v>-8.7671428571425625E-2</v>
      </c>
      <c r="AF294" s="37" cm="1">
        <f t="array" ref="AF294:AG294">LINEST(G275:G294,D275:D294)</f>
        <v>16.327218045112765</v>
      </c>
      <c r="AG294" s="37">
        <v>-2.5455052631578918</v>
      </c>
      <c r="AH294" s="37" cm="1">
        <f t="array" ref="AH294:AI294">LINEST(G270:G294,D270:D294)</f>
        <v>11.459076923076923</v>
      </c>
      <c r="AI294" s="37">
        <v>-1.6507946153846158</v>
      </c>
      <c r="AJ294" s="37" cm="1">
        <f t="array" ref="AJ294:AK294">LINEST(G265:G294,D265:D294)</f>
        <v>-0.52538375973303453</v>
      </c>
      <c r="AK294" s="37">
        <v>0.53069173155357785</v>
      </c>
    </row>
    <row r="295" spans="1:38" x14ac:dyDescent="0.25">
      <c r="A295" s="61">
        <v>502</v>
      </c>
      <c r="B295" s="14">
        <f t="shared" si="4"/>
        <v>289</v>
      </c>
      <c r="C295" s="15">
        <v>43981</v>
      </c>
      <c r="D295" s="16">
        <v>0.19541666666666666</v>
      </c>
      <c r="E295" s="36">
        <v>20.190000000000001</v>
      </c>
      <c r="F295" s="36">
        <v>0.12</v>
      </c>
      <c r="G295" s="36">
        <v>0.46</v>
      </c>
      <c r="H295" s="56" cm="1">
        <f t="array" ref="H295:I295">LINEST(E286:E295,D286:D295)</f>
        <v>12.087272727272904</v>
      </c>
      <c r="I295" s="56">
        <v>17.842490909090877</v>
      </c>
      <c r="J295" s="56" cm="1">
        <f t="array" ref="J295:K295">LINEST(E281:E295,D281:D295)</f>
        <v>10.465714285714313</v>
      </c>
      <c r="K295" s="56">
        <v>18.15390833333333</v>
      </c>
      <c r="L295" s="56" cm="1">
        <f t="array" ref="L295:M295">LINEST(E276:E295,D276:D295)</f>
        <v>-31.880300751879677</v>
      </c>
      <c r="M295" s="56">
        <v>26.129799248120296</v>
      </c>
      <c r="N295" s="56" cm="1">
        <f t="array" ref="N295:O295">LINEST(E271:E295,D271:D295)</f>
        <v>-35.700923076923068</v>
      </c>
      <c r="O295" s="56">
        <v>26.841539999999995</v>
      </c>
      <c r="P295" s="56" cm="1">
        <f t="array" ref="P295:Q295">LINEST(E266:E295,D266:D295)</f>
        <v>-34.551991101223599</v>
      </c>
      <c r="Q295" s="56">
        <v>26.631196218020023</v>
      </c>
      <c r="R295" s="56" cm="1">
        <f t="array" ref="R295:S295">LINEST(F286:F295,D286:D295)</f>
        <v>21.076363636363777</v>
      </c>
      <c r="S295" s="56">
        <v>-3.6259454545454806</v>
      </c>
      <c r="T295" s="56" cm="1">
        <f t="array" ref="T295:U295">LINEST(F281:F295,D281:D295)</f>
        <v>-65.777142857142735</v>
      </c>
      <c r="U295" s="56">
        <v>12.880449999999977</v>
      </c>
      <c r="V295" s="56" cm="1">
        <f t="array" ref="V295:W295">LINEST(F276:F295,D276:D295)</f>
        <v>-19.62406015037589</v>
      </c>
      <c r="W295" s="56">
        <v>4.2104398496240512</v>
      </c>
      <c r="X295" s="56" cm="1">
        <f t="array" ref="X295:Y295">LINEST(F271:F295,D271:D295)</f>
        <v>26.584615384615415</v>
      </c>
      <c r="Y295" s="56">
        <v>-4.374000000000005</v>
      </c>
      <c r="Z295" s="56" cm="1">
        <f t="array" ref="Z295:AA295">LINEST(F266:F295,D266:D295)</f>
        <v>24.201290322580661</v>
      </c>
      <c r="AA295" s="56">
        <v>-3.9496150537634436</v>
      </c>
      <c r="AB295" s="37" cm="1">
        <f t="array" ref="AB295:AC295">LINEST(G286:G295,D286:D295)</f>
        <v>-0.56727272727273104</v>
      </c>
      <c r="AC295" s="37">
        <v>0.60230909090909157</v>
      </c>
      <c r="AD295" s="37" cm="1">
        <f t="array" ref="AD295:AE295">LINEST(G281:G295,D281:D295)</f>
        <v>-2.2628571428571473</v>
      </c>
      <c r="AE295" s="37">
        <v>0.93286666666666751</v>
      </c>
      <c r="AF295" s="37" cm="1">
        <f t="array" ref="AF295:AG295">LINEST(G276:G295,D276:D295)</f>
        <v>13.495939849624055</v>
      </c>
      <c r="AG295" s="37">
        <v>-2.0347601503759387</v>
      </c>
      <c r="AH295" s="37" cm="1">
        <f t="array" ref="AH295:AI295">LINEST(G271:G295,D271:D295)</f>
        <v>12.616615384615381</v>
      </c>
      <c r="AI295" s="37">
        <v>-1.8740199999999991</v>
      </c>
      <c r="AJ295" s="37" cm="1">
        <f t="array" ref="AJ295:AK295">LINEST(G266:G295,D266:D295)</f>
        <v>1.3615127919911034</v>
      </c>
      <c r="AK295" s="37">
        <v>0.18935706340378169</v>
      </c>
    </row>
    <row r="296" spans="1:38" x14ac:dyDescent="0.25">
      <c r="A296" s="61">
        <v>502</v>
      </c>
      <c r="B296" s="14">
        <f t="shared" si="4"/>
        <v>290</v>
      </c>
      <c r="C296" s="15">
        <v>43981</v>
      </c>
      <c r="D296" s="16">
        <v>0.19680555555555557</v>
      </c>
      <c r="E296" s="36">
        <v>20.2</v>
      </c>
      <c r="F296" s="36">
        <v>0.32</v>
      </c>
      <c r="G296" s="36">
        <v>0.45</v>
      </c>
      <c r="H296" s="56" cm="1">
        <f t="array" ref="H296:I296">LINEST(E287:E296,D287:D296)</f>
        <v>11.563636363636434</v>
      </c>
      <c r="I296" s="56">
        <v>17.939484848484831</v>
      </c>
      <c r="J296" s="56" cm="1">
        <f t="array" ref="J296:K296">LINEST(E282:E296,D282:D296)</f>
        <v>9.0771428571428849</v>
      </c>
      <c r="K296" s="56">
        <v>18.416484523809519</v>
      </c>
      <c r="L296" s="56" cm="1">
        <f t="array" ref="L296:M296">LINEST(E277:E296,D277:D296)</f>
        <v>-25.167518796992486</v>
      </c>
      <c r="M296" s="56">
        <v>24.900536090225565</v>
      </c>
      <c r="N296" s="56" cm="1">
        <f t="array" ref="N296:O296">LINEST(E272:E296,D272:D296)</f>
        <v>-33.180923076923094</v>
      </c>
      <c r="O296" s="56">
        <v>26.403174615384618</v>
      </c>
      <c r="P296" s="56" cm="1">
        <f t="array" ref="P296:Q296">LINEST(E267:E296,D267:D296)</f>
        <v>-33.339443826473861</v>
      </c>
      <c r="Q296" s="56">
        <v>26.432635076010385</v>
      </c>
      <c r="R296" s="56" cm="1">
        <f t="array" ref="R296:S296">LINEST(F287:F296,D287:D296)</f>
        <v>-10.821818181818147</v>
      </c>
      <c r="S296" s="56">
        <v>2.4821575757575687</v>
      </c>
      <c r="T296" s="56" cm="1">
        <f t="array" ref="T296:U296">LINEST(F282:F296,D282:D296)</f>
        <v>-47.031428571428464</v>
      </c>
      <c r="U296" s="56">
        <v>9.3607964285714065</v>
      </c>
      <c r="V296" s="56" cm="1">
        <f t="array" ref="V296:W296">LINEST(F277:F296,D277:D296)</f>
        <v>-17.225864661654082</v>
      </c>
      <c r="W296" s="56">
        <v>3.75686015037593</v>
      </c>
      <c r="X296" s="56" cm="1">
        <f t="array" ref="X296:Y296">LINEST(F272:F296,D272:D296)</f>
        <v>13.685538461538478</v>
      </c>
      <c r="Y296" s="56">
        <v>-2.0200976923076954</v>
      </c>
      <c r="Z296" s="56" cm="1">
        <f t="array" ref="Z296:AA296">LINEST(F267:F296,D267:D296)</f>
        <v>27.446496106785347</v>
      </c>
      <c r="AA296" s="56">
        <v>-4.576547645532079</v>
      </c>
      <c r="AB296" s="37" cm="1">
        <f t="array" ref="AB296:AC296">LINEST(G287:G296,D287:D296)</f>
        <v>-1.6145454545454592</v>
      </c>
      <c r="AC296" s="37">
        <v>0.79666060606060696</v>
      </c>
      <c r="AD296" s="37" cm="1">
        <f t="array" ref="AD296:AE296">LINEST(G282:G296,D282:D296)</f>
        <v>-5.9142857142857137</v>
      </c>
      <c r="AE296" s="37">
        <v>1.6231309523809521</v>
      </c>
      <c r="AF296" s="37" cm="1">
        <f t="array" ref="AF296:AG296">LINEST(G277:G296,D277:D296)</f>
        <v>11.092330827067663</v>
      </c>
      <c r="AG296" s="37">
        <v>-1.5991751879699239</v>
      </c>
      <c r="AH296" s="37" cm="1">
        <f t="array" ref="AH296:AI296">LINEST(G272:G296,D272:D296)</f>
        <v>12.633230769230764</v>
      </c>
      <c r="AI296" s="37">
        <v>-1.8893361538461528</v>
      </c>
      <c r="AJ296" s="37" cm="1">
        <f t="array" ref="AJ296:AK296">LINEST(G267:G296,D267:D296)</f>
        <v>3.3605339265851026</v>
      </c>
      <c r="AK296" s="37">
        <v>-0.17769432703003485</v>
      </c>
    </row>
    <row r="297" spans="1:38" x14ac:dyDescent="0.25">
      <c r="A297" s="61">
        <v>502</v>
      </c>
      <c r="B297" s="14">
        <f t="shared" si="4"/>
        <v>291</v>
      </c>
      <c r="C297" s="15">
        <v>43981</v>
      </c>
      <c r="D297" s="16">
        <v>0.19819444444444445</v>
      </c>
      <c r="E297" s="36">
        <v>19.96</v>
      </c>
      <c r="F297" s="36">
        <v>0.32</v>
      </c>
      <c r="G297" s="36">
        <v>0.44</v>
      </c>
      <c r="H297" s="56" cm="1">
        <f t="array" ref="H297:I297">LINEST(E288:E297,D288:D297)</f>
        <v>0.87272727272734418</v>
      </c>
      <c r="I297" s="56">
        <v>19.964484848484833</v>
      </c>
      <c r="J297" s="56" cm="1">
        <f t="array" ref="J297:K297">LINEST(E283:E297,D283:D297)</f>
        <v>4.5514285714286382</v>
      </c>
      <c r="K297" s="56">
        <v>19.25218214285713</v>
      </c>
      <c r="L297" s="56" cm="1">
        <f t="array" ref="L297:M297">LINEST(E278:E297,D278:D297)</f>
        <v>-20.035488721804512</v>
      </c>
      <c r="M297" s="56">
        <v>23.933065413533829</v>
      </c>
      <c r="N297" s="56" cm="1">
        <f t="array" ref="N297:O297">LINEST(E273:E297,D273:D297)</f>
        <v>-31.929230769230756</v>
      </c>
      <c r="O297" s="56">
        <v>26.179242307692306</v>
      </c>
      <c r="P297" s="56" cm="1">
        <f t="array" ref="P297:Q297">LINEST(E268:E297,D268:D297)</f>
        <v>-32.732369299221361</v>
      </c>
      <c r="Q297" s="56">
        <v>26.329180200222474</v>
      </c>
      <c r="R297" s="56" cm="1">
        <f t="array" ref="R297:S297">LINEST(F288:F297,D288:D297)</f>
        <v>-18.589090909090949</v>
      </c>
      <c r="S297" s="56">
        <v>3.9860727272727345</v>
      </c>
      <c r="T297" s="56" cm="1">
        <f t="array" ref="T297:U297">LINEST(F283:F297,D283:D297)</f>
        <v>-24.274285714285629</v>
      </c>
      <c r="U297" s="56">
        <v>5.033028571428555</v>
      </c>
      <c r="V297" s="56" cm="1">
        <f t="array" ref="V297:W297">LINEST(F278:F297,D278:D297)</f>
        <v>-27.024360902255562</v>
      </c>
      <c r="W297" s="56">
        <v>5.610506766917279</v>
      </c>
      <c r="X297" s="56" cm="1">
        <f t="array" ref="X297:Y297">LINEST(F273:F297,D273:D297)</f>
        <v>5.9040000000000186</v>
      </c>
      <c r="Y297" s="56">
        <v>-0.5929400000000038</v>
      </c>
      <c r="Z297" s="56" cm="1">
        <f t="array" ref="Z297:AA297">LINEST(F268:F297,D268:D297)</f>
        <v>30.883915461624035</v>
      </c>
      <c r="AA297" s="56">
        <v>-5.2467193919169475</v>
      </c>
      <c r="AB297" s="37" cm="1">
        <f t="array" ref="AB297:AC297">LINEST(G288:G297,D288:D297)</f>
        <v>-3.0109090909091027</v>
      </c>
      <c r="AC297" s="37">
        <v>1.0609272727272749</v>
      </c>
      <c r="AD297" s="37" cm="1">
        <f t="array" ref="AD297:AE297">LINEST(G283:G297,D283:D297)</f>
        <v>-7.4314285714285697</v>
      </c>
      <c r="AE297" s="37">
        <v>1.9126178571428567</v>
      </c>
      <c r="AF297" s="37" cm="1">
        <f t="array" ref="AF297:AG297">LINEST(G278:G297,D278:D297)</f>
        <v>8.0769924812029981</v>
      </c>
      <c r="AG297" s="37">
        <v>-1.0432436090225545</v>
      </c>
      <c r="AH297" s="37" cm="1">
        <f t="array" ref="AH297:AI297">LINEST(G273:G297,D273:D297)</f>
        <v>12.079384615384608</v>
      </c>
      <c r="AI297" s="37">
        <v>-1.7991438461538454</v>
      </c>
      <c r="AJ297" s="37" cm="1">
        <f t="array" ref="AJ297:AK297">LINEST(G268:G297,D268:D297)</f>
        <v>5.4780867630700811</v>
      </c>
      <c r="AK297" s="37">
        <v>-0.57207044864664525</v>
      </c>
    </row>
    <row r="298" spans="1:38" x14ac:dyDescent="0.25">
      <c r="A298" s="61">
        <v>502</v>
      </c>
      <c r="B298" s="14">
        <f t="shared" si="4"/>
        <v>292</v>
      </c>
      <c r="C298" s="15">
        <v>43981</v>
      </c>
      <c r="D298" s="16">
        <v>0.19958333333333333</v>
      </c>
      <c r="E298" s="36">
        <v>19.97</v>
      </c>
      <c r="F298" s="36">
        <v>0.32</v>
      </c>
      <c r="G298" s="36">
        <v>0.43</v>
      </c>
      <c r="H298" s="56" cm="1">
        <f t="array" ref="H298:I298">LINEST(E289:E298,D289:D298)</f>
        <v>-7.9854545454546439</v>
      </c>
      <c r="I298" s="56">
        <v>21.664854545454567</v>
      </c>
      <c r="J298" s="56" cm="1">
        <f t="array" ref="J298:K298">LINEST(E284:E298,D284:D298)</f>
        <v>0.79714285714291744</v>
      </c>
      <c r="K298" s="56">
        <v>19.953320238095223</v>
      </c>
      <c r="L298" s="56" cm="1">
        <f t="array" ref="L298:M298">LINEST(E279:E298,D279:D298)</f>
        <v>-14.789774436090235</v>
      </c>
      <c r="M298" s="56">
        <v>22.935649624060154</v>
      </c>
      <c r="N298" s="56" cm="1">
        <f t="array" ref="N298:O298">LINEST(E274:E298,D274:D298)</f>
        <v>-30.162461538461546</v>
      </c>
      <c r="O298" s="56">
        <v>25.858816923076922</v>
      </c>
      <c r="P298" s="56" cm="1">
        <f t="array" ref="P298:Q298">LINEST(E269:E298,D269:D298)</f>
        <v>-31.827363737486106</v>
      </c>
      <c r="Q298" s="56">
        <v>26.171910270671123</v>
      </c>
      <c r="R298" s="56" cm="1">
        <f t="array" ref="R298:S298">LINEST(F289:F298,D289:D298)</f>
        <v>-30.981818181818184</v>
      </c>
      <c r="S298" s="56">
        <v>6.4158181818181816</v>
      </c>
      <c r="T298" s="56" cm="1">
        <f t="array" ref="T298:U298">LINEST(F284:F298,D284:D298)</f>
        <v>2.4942857142857631</v>
      </c>
      <c r="U298" s="56">
        <v>-0.11956785714286633</v>
      </c>
      <c r="V298" s="56" cm="1">
        <f t="array" ref="V298:W298">LINEST(F279:F298,D279:D298)</f>
        <v>-54.016240601503732</v>
      </c>
      <c r="W298" s="56">
        <v>10.770027067669167</v>
      </c>
      <c r="X298" s="56" cm="1">
        <f t="array" ref="X298:Y298">LINEST(F274:F298,D274:D298)</f>
        <v>-3.926769230769211</v>
      </c>
      <c r="Y298" s="56">
        <v>1.2394715384615349</v>
      </c>
      <c r="Z298" s="56" cm="1">
        <f t="array" ref="Z298:AA298">LINEST(F269:F298,D269:D298)</f>
        <v>25.674927697441603</v>
      </c>
      <c r="AA298" s="56">
        <v>-4.3155564701520222</v>
      </c>
      <c r="AB298" s="37" cm="1">
        <f t="array" ref="AB298:AC298">LINEST(G289:G298,D289:D298)</f>
        <v>-5.2363636363636497</v>
      </c>
      <c r="AC298" s="37">
        <v>1.4903636363636388</v>
      </c>
      <c r="AD298" s="37" cm="1">
        <f t="array" ref="AD298:AE298">LINEST(G284:G298,D284:D298)</f>
        <v>-6.6857142857142815</v>
      </c>
      <c r="AE298" s="37">
        <v>1.7686904761904754</v>
      </c>
      <c r="AF298" s="37" cm="1">
        <f t="array" ref="AF298:AG298">LINEST(G279:G298,D279:D298)</f>
        <v>3.1885714285714215</v>
      </c>
      <c r="AG298" s="37">
        <v>-0.12381428571428432</v>
      </c>
      <c r="AH298" s="37" cm="1">
        <f t="array" ref="AH298:AI298">LINEST(G274:G298,D274:D298)</f>
        <v>10.783384615384609</v>
      </c>
      <c r="AI298" s="37">
        <v>-1.5688607692307681</v>
      </c>
      <c r="AJ298" s="37" cm="1">
        <f t="array" ref="AJ298:AK298">LINEST(G269:G298,D269:D298)</f>
        <v>7.0254060066740776</v>
      </c>
      <c r="AK298" s="37">
        <v>-0.86600341119762658</v>
      </c>
    </row>
    <row r="299" spans="1:38" x14ac:dyDescent="0.25">
      <c r="A299" s="61">
        <v>502</v>
      </c>
      <c r="B299" s="14">
        <f t="shared" si="4"/>
        <v>293</v>
      </c>
      <c r="C299" s="15">
        <v>43981</v>
      </c>
      <c r="D299" s="16">
        <v>0.20097222222222222</v>
      </c>
      <c r="E299" s="36">
        <v>19.97</v>
      </c>
      <c r="F299" s="36">
        <v>0.32</v>
      </c>
      <c r="G299" s="36">
        <v>0.42</v>
      </c>
      <c r="H299" s="56" cm="1">
        <f t="array" ref="H299:I299">LINEST(E290:E299,D290:D299)</f>
        <v>-15.403636363636549</v>
      </c>
      <c r="I299" s="56">
        <v>23.108430303030339</v>
      </c>
      <c r="J299" s="56" cm="1">
        <f t="array" ref="J299:K299">LINEST(E285:E299,D285:D299)</f>
        <v>-2.1342857142857072</v>
      </c>
      <c r="K299" s="56">
        <v>20.505515476190478</v>
      </c>
      <c r="L299" s="56" cm="1">
        <f t="array" ref="L299:M299">LINEST(E280:E299,D280:D299)</f>
        <v>-8.0607518796992608</v>
      </c>
      <c r="M299" s="56">
        <v>21.643130075187972</v>
      </c>
      <c r="N299" s="56" cm="1">
        <f t="array" ref="N299:O299">LINEST(E275:E299,D275:D299)</f>
        <v>-27.819692307692314</v>
      </c>
      <c r="O299" s="56">
        <v>25.427323846153847</v>
      </c>
      <c r="P299" s="56" cm="1">
        <f t="array" ref="P299:Q299">LINEST(E270:E299,D270:D299)</f>
        <v>-30.931968854282541</v>
      </c>
      <c r="Q299" s="56">
        <v>26.016531034482767</v>
      </c>
      <c r="R299" s="56" cm="1">
        <f t="array" ref="R299:S299">LINEST(F290:F299,D290:D299)</f>
        <v>-45.512727272727247</v>
      </c>
      <c r="S299" s="56">
        <v>9.2993393939393858</v>
      </c>
      <c r="T299" s="56" cm="1">
        <f t="array" ref="T299:U299">LINEST(F285:F299,D285:D299)</f>
        <v>14.348571428571468</v>
      </c>
      <c r="U299" s="56">
        <v>-2.4328309523809599</v>
      </c>
      <c r="V299" s="56" cm="1">
        <f t="array" ref="V299:W299">LINEST(F280:F299,D280:D299)</f>
        <v>-52.170225563909703</v>
      </c>
      <c r="W299" s="56">
        <v>10.453909022556378</v>
      </c>
      <c r="X299" s="56" cm="1">
        <f t="array" ref="X299:Y299">LINEST(F275:F299,D275:D299)</f>
        <v>-9.0166153846153705</v>
      </c>
      <c r="Y299" s="56">
        <v>2.1958123076923046</v>
      </c>
      <c r="Z299" s="56" cm="1">
        <f t="array" ref="Z299:AA299">LINEST(F270:F299,D270:D299)</f>
        <v>16.909988876529482</v>
      </c>
      <c r="AA299" s="56">
        <v>-2.7055563218390812</v>
      </c>
      <c r="AB299" s="37" cm="1">
        <f t="array" ref="AB299:AC299">LINEST(G290:G299,D290:D299)</f>
        <v>-8.3781818181818295</v>
      </c>
      <c r="AC299" s="37">
        <v>2.1054181818181839</v>
      </c>
      <c r="AD299" s="37" cm="1">
        <f t="array" ref="AD299:AE299">LINEST(G285:G299,D285:D299)</f>
        <v>-5.2200000000000006</v>
      </c>
      <c r="AE299" s="37">
        <v>1.4829916666666669</v>
      </c>
      <c r="AF299" s="37" cm="1">
        <f t="array" ref="AF299:AG299">LINEST(G280:G299,D280:D299)</f>
        <v>-1.2018045112782014</v>
      </c>
      <c r="AG299" s="37">
        <v>0.7106721804511289</v>
      </c>
      <c r="AH299" s="37" cm="1">
        <f t="array" ref="AH299:AI299">LINEST(G275:G299,D275:D299)</f>
        <v>9.2104615384615371</v>
      </c>
      <c r="AI299" s="37">
        <v>-1.2839392307692303</v>
      </c>
      <c r="AJ299" s="37" cm="1">
        <f t="array" ref="AJ299:AK299">LINEST(G270:G299,D270:D299)</f>
        <v>7.7654282536151289</v>
      </c>
      <c r="AK299" s="37">
        <v>-1.0129149425287358</v>
      </c>
    </row>
    <row r="300" spans="1:38" x14ac:dyDescent="0.25">
      <c r="A300" s="61">
        <v>502</v>
      </c>
      <c r="B300" s="14">
        <f t="shared" si="4"/>
        <v>294</v>
      </c>
      <c r="C300" s="15">
        <v>43981</v>
      </c>
      <c r="D300" s="16">
        <v>0.2023611111111111</v>
      </c>
      <c r="E300" s="36">
        <v>19.96</v>
      </c>
      <c r="F300" s="36">
        <v>-0.27</v>
      </c>
      <c r="G300" s="36">
        <v>0.37</v>
      </c>
      <c r="H300" s="56" cm="1">
        <f t="array" ref="H300:I300">LINEST(E291:E300,D291:D300)</f>
        <v>-20.727272727272855</v>
      </c>
      <c r="I300" s="56">
        <v>24.157848484848511</v>
      </c>
      <c r="J300" s="56" cm="1">
        <f t="array" ref="J300:K300">LINEST(E286:E300,D286:D300)</f>
        <v>-5.1685714285714033</v>
      </c>
      <c r="K300" s="56">
        <v>21.085667857142848</v>
      </c>
      <c r="L300" s="56" cm="1">
        <f t="array" ref="L300:M300">LINEST(E281:E300,D281:D300)</f>
        <v>0.43308270676691357</v>
      </c>
      <c r="M300" s="56">
        <v>19.994075187969926</v>
      </c>
      <c r="N300" s="56" cm="1">
        <f t="array" ref="N300:O300">LINEST(E276:E300,D276:D300)</f>
        <v>-25.111384615384626</v>
      </c>
      <c r="O300" s="56">
        <v>24.921844615384614</v>
      </c>
      <c r="P300" s="56" cm="1">
        <f t="array" ref="P300:Q300">LINEST(E271:E300,D271:D300)</f>
        <v>-29.770678531701904</v>
      </c>
      <c r="Q300" s="56">
        <v>25.810212532443458</v>
      </c>
      <c r="R300" s="56" cm="1">
        <f t="array" ref="R300:S300">LINEST(F291:F300,D291:D300)</f>
        <v>-44.814545454545446</v>
      </c>
      <c r="S300" s="56">
        <v>9.095630303030303</v>
      </c>
      <c r="T300" s="56" cm="1">
        <f t="array" ref="T300:U300">LINEST(F286:F300,D286:D300)</f>
        <v>-7.0457142857142356</v>
      </c>
      <c r="U300" s="56">
        <v>1.6652785714285616</v>
      </c>
      <c r="V300" s="56" cm="1">
        <f t="array" ref="V300:W300">LINEST(F281:F300,D281:D300)</f>
        <v>-47.812330827067612</v>
      </c>
      <c r="W300" s="56">
        <v>9.5944992481202895</v>
      </c>
      <c r="X300" s="56" cm="1">
        <f t="array" ref="X300:Y300">LINEST(F276:F300,D276:D300)</f>
        <v>-22.668923076923051</v>
      </c>
      <c r="Y300" s="56">
        <v>4.7574930769230717</v>
      </c>
      <c r="Z300" s="56" cm="1">
        <f t="array" ref="Z300:AA300">LINEST(F271:F300,D271:D300)</f>
        <v>11.475150166852062</v>
      </c>
      <c r="AA300" s="56">
        <v>-1.7423606970708201</v>
      </c>
      <c r="AB300" s="37" cm="1">
        <f t="array" ref="AB300:AC300">LINEST(G291:G300,D291:D300)</f>
        <v>-11.214545454545464</v>
      </c>
      <c r="AC300" s="37">
        <v>2.6602969696969714</v>
      </c>
      <c r="AD300" s="37" cm="1">
        <f t="array" ref="AD300:AE300">LINEST(G286:G300,D286:D300)</f>
        <v>-5.3228571428571438</v>
      </c>
      <c r="AE300" s="37">
        <v>1.4960559523809525</v>
      </c>
      <c r="AF300" s="37" cm="1">
        <f t="array" ref="AF300:AG300">LINEST(G281:G300,D281:D300)</f>
        <v>-4.8288721804511283</v>
      </c>
      <c r="AG300" s="37">
        <v>1.4034616541353382</v>
      </c>
      <c r="AH300" s="37" cm="1">
        <f t="array" ref="AH300:AI300">LINEST(G276:G300,D276:D300)</f>
        <v>6.7347692307692313</v>
      </c>
      <c r="AI300" s="37">
        <v>-0.82660923076923098</v>
      </c>
      <c r="AJ300" s="37" cm="1">
        <f t="array" ref="AJ300:AK300">LINEST(G271:G300,D271:D300)</f>
        <v>8.056952169076748</v>
      </c>
      <c r="AK300" s="37">
        <v>-1.0801557285873187</v>
      </c>
    </row>
    <row r="301" spans="1:38" x14ac:dyDescent="0.25">
      <c r="A301" s="61">
        <v>502</v>
      </c>
      <c r="B301" s="14">
        <f t="shared" si="4"/>
        <v>295</v>
      </c>
      <c r="C301" s="15">
        <v>43981</v>
      </c>
      <c r="D301" s="16">
        <v>0.20374999999999999</v>
      </c>
      <c r="E301" s="36">
        <v>19.95</v>
      </c>
      <c r="F301" s="36">
        <v>-0.37</v>
      </c>
      <c r="G301" s="36">
        <v>0.31</v>
      </c>
      <c r="H301" s="56" cm="1">
        <f t="array" ref="H301:I301">LINEST(E292:E301,D292:D301)</f>
        <v>-24.087272727272889</v>
      </c>
      <c r="I301" s="56">
        <v>24.831236363636396</v>
      </c>
      <c r="J301" s="56" cm="1">
        <f t="array" ref="J301:K301">LINEST(E287:E301,D287:D301)</f>
        <v>-8.3057142857143109</v>
      </c>
      <c r="K301" s="56">
        <v>21.694205952380955</v>
      </c>
      <c r="L301" s="56" cm="1">
        <f t="array" ref="L301:M301">LINEST(E282:E301,D282:D301)</f>
        <v>-2.4090225563909762</v>
      </c>
      <c r="M301" s="56">
        <v>20.535552631578945</v>
      </c>
      <c r="N301" s="56" cm="1">
        <f t="array" ref="N301:O301">LINEST(E277:E301,D277:D301)</f>
        <v>-21.683076923076939</v>
      </c>
      <c r="O301" s="56">
        <v>24.272542307692309</v>
      </c>
      <c r="P301" s="56" cm="1">
        <f t="array" ref="P301:Q301">LINEST(E272:E301,D272:D301)</f>
        <v>-28.492458286985556</v>
      </c>
      <c r="Q301" s="56">
        <v>25.580198591027074</v>
      </c>
      <c r="R301" s="56" cm="1">
        <f t="array" ref="R301:S301">LINEST(F292:F301,D292:D301)</f>
        <v>-65.018181818181802</v>
      </c>
      <c r="S301" s="56">
        <v>13.067090909090908</v>
      </c>
      <c r="T301" s="56" cm="1">
        <f t="array" ref="T301:U301">LINEST(F287:F301,D287:D301)</f>
        <v>-31.140000000000004</v>
      </c>
      <c r="U301" s="56">
        <v>6.3433583333333337</v>
      </c>
      <c r="V301" s="56" cm="1">
        <f t="array" ref="V301:W301">LINEST(F282:F301,D282:D301)</f>
        <v>-42.155187969924754</v>
      </c>
      <c r="W301" s="56">
        <v>8.4704052631578826</v>
      </c>
      <c r="X301" s="56" cm="1">
        <f t="array" ref="X301:Y301">LINEST(F277:F301,D277:D301)</f>
        <v>-24.579692307692277</v>
      </c>
      <c r="Y301" s="56">
        <v>5.0864507692307637</v>
      </c>
      <c r="Z301" s="56" cm="1">
        <f t="array" ref="Z301:AA301">LINEST(F272:F301,D272:D301)</f>
        <v>-0.34758620689653552</v>
      </c>
      <c r="AA301" s="56">
        <v>0.44548735632183617</v>
      </c>
      <c r="AB301" s="37" cm="1">
        <f t="array" ref="AB301:AC301">LINEST(G292:G301,D292:D301)</f>
        <v>-15.272727272727284</v>
      </c>
      <c r="AC301" s="37">
        <v>3.458363636363639</v>
      </c>
      <c r="AD301" s="37" cm="1">
        <f t="array" ref="AD301:AE301">LINEST(G287:G301,D287:D301)</f>
        <v>-7.4057142857142919</v>
      </c>
      <c r="AE301" s="37">
        <v>1.8942476190476203</v>
      </c>
      <c r="AF301" s="37" cm="1">
        <f t="array" ref="AF301:AG301">LINEST(G282:G301,D282:D301)</f>
        <v>-7.8171428571428576</v>
      </c>
      <c r="AG301" s="37">
        <v>1.9755999999999998</v>
      </c>
      <c r="AH301" s="37" cm="1">
        <f t="array" ref="AH301:AI301">LINEST(G277:G301,D277:D301)</f>
        <v>4.2923076923076895</v>
      </c>
      <c r="AI301" s="37">
        <v>-0.37421923076923025</v>
      </c>
      <c r="AJ301" s="37" cm="1">
        <f t="array" ref="AJ301:AK301">LINEST(G272:G301,D272:D301)</f>
        <v>7.3569744160177928</v>
      </c>
      <c r="AK301" s="37">
        <v>-0.96315558027437809</v>
      </c>
    </row>
    <row r="302" spans="1:38" x14ac:dyDescent="0.25">
      <c r="A302" s="61">
        <v>502</v>
      </c>
      <c r="B302" s="14">
        <f t="shared" si="4"/>
        <v>296</v>
      </c>
      <c r="C302" s="15">
        <v>43981</v>
      </c>
      <c r="D302" s="16">
        <v>0.2051388888888889</v>
      </c>
      <c r="E302" s="36">
        <v>19.940000000000001</v>
      </c>
      <c r="F302" s="36">
        <v>-0.34</v>
      </c>
      <c r="G302" s="36">
        <v>0.26</v>
      </c>
      <c r="H302" s="56" cm="1">
        <f t="array" ref="H302:I302">LINEST(E293:E302,D293:D302)</f>
        <v>-24.7418181818182</v>
      </c>
      <c r="I302" s="56">
        <v>24.971872727272729</v>
      </c>
      <c r="J302" s="56" cm="1">
        <f t="array" ref="J302:K302">LINEST(E288:E302,D288:D302)</f>
        <v>-11.134285714285726</v>
      </c>
      <c r="K302" s="56">
        <v>22.249825000000001</v>
      </c>
      <c r="L302" s="56" cm="1">
        <f t="array" ref="L302:M302">LINEST(E283:E302,D283:D302)</f>
        <v>-4.3416541353383185</v>
      </c>
      <c r="M302" s="56">
        <v>20.905356390977438</v>
      </c>
      <c r="N302" s="56" cm="1">
        <f t="array" ref="N302:O302">LINEST(E278:E302,D278:D302)</f>
        <v>-17.728615384615402</v>
      </c>
      <c r="O302" s="56">
        <v>23.514151538461537</v>
      </c>
      <c r="P302" s="56" cm="1">
        <f t="array" ref="P302:Q302">LINEST(E273:E302,D273:D302)</f>
        <v>-27.007608453837594</v>
      </c>
      <c r="Q302" s="56">
        <v>25.308740897293294</v>
      </c>
      <c r="R302" s="56" cm="1">
        <f t="array" ref="R302:S302">LINEST(F293:F302,D293:D302)</f>
        <v>-50.094545454545397</v>
      </c>
      <c r="S302" s="56">
        <v>10.055248484848475</v>
      </c>
      <c r="T302" s="56" cm="1">
        <f t="array" ref="T302:U302">LINEST(F288:F302,D288:D302)</f>
        <v>-41.888571428571474</v>
      </c>
      <c r="U302" s="56">
        <v>8.4417250000000088</v>
      </c>
      <c r="V302" s="56" cm="1">
        <f t="array" ref="V302:W302">LINEST(F283:F302,D283:D302)</f>
        <v>-33.75338345864656</v>
      </c>
      <c r="W302" s="56">
        <v>6.8052744360902144</v>
      </c>
      <c r="X302" s="56" cm="1">
        <f t="array" ref="X302:Y302">LINEST(F278:F302,D278:D302)</f>
        <v>-33.740307692307674</v>
      </c>
      <c r="Y302" s="56">
        <v>6.8343107692307656</v>
      </c>
      <c r="Z302" s="56" cm="1">
        <f t="array" ref="Z302:AA302">LINEST(F273:F302,D273:D302)</f>
        <v>-8.1770856507230079</v>
      </c>
      <c r="AA302" s="56">
        <v>1.9004275120504235</v>
      </c>
      <c r="AB302" s="37" cm="1">
        <f t="array" ref="AB302:AC302">LINEST(G293:G302,D293:D302)</f>
        <v>-17.716363636363635</v>
      </c>
      <c r="AC302" s="37">
        <v>3.9375878787878786</v>
      </c>
      <c r="AD302" s="37" cm="1">
        <f t="array" ref="AD302:AE302">LINEST(G288:G302,D288:D302)</f>
        <v>-10.080000000000013</v>
      </c>
      <c r="AE302" s="37">
        <v>2.4111333333333356</v>
      </c>
      <c r="AF302" s="37" cm="1">
        <f t="array" ref="AF302:AG302">LINEST(G283:G302,D283:D302)</f>
        <v>-9.8688721804511257</v>
      </c>
      <c r="AG302" s="37">
        <v>2.367775187969924</v>
      </c>
      <c r="AH302" s="37" cm="1">
        <f t="array" ref="AH302:AI302">LINEST(G278:G302,D278:D302)</f>
        <v>1.3070769230769221</v>
      </c>
      <c r="AI302" s="37">
        <v>0.18605230769230785</v>
      </c>
      <c r="AJ302" s="37" cm="1">
        <f t="array" ref="AJ302:AK302">LINEST(G273:G302,D273:D302)</f>
        <v>6.1300111234705144</v>
      </c>
      <c r="AK302" s="37">
        <v>-0.74638539117537861</v>
      </c>
    </row>
    <row r="303" spans="1:38" x14ac:dyDescent="0.25">
      <c r="A303" s="61">
        <v>502</v>
      </c>
      <c r="B303" s="14">
        <f t="shared" si="4"/>
        <v>297</v>
      </c>
      <c r="C303" s="15">
        <v>43981</v>
      </c>
      <c r="D303" s="16">
        <v>0.20652777777777778</v>
      </c>
      <c r="E303" s="36">
        <v>19.96</v>
      </c>
      <c r="F303" s="36">
        <v>0.64</v>
      </c>
      <c r="G303" s="36">
        <v>0.28999999999999998</v>
      </c>
      <c r="H303" s="56" cm="1">
        <f t="array" ref="H303:I303">LINEST(E294:E303,D294:D303)</f>
        <v>-22.123636363636379</v>
      </c>
      <c r="I303" s="56">
        <v>24.459872727272732</v>
      </c>
      <c r="J303" s="56" cm="1">
        <f t="array" ref="J303:K303">LINEST(E289:E303,D289:D303)</f>
        <v>-13.062857142857183</v>
      </c>
      <c r="K303" s="56">
        <v>22.636842857142863</v>
      </c>
      <c r="L303" s="56" cm="1">
        <f t="array" ref="L303:M303">LINEST(E284:E303,D284:D303)</f>
        <v>-5.7437593984961959</v>
      </c>
      <c r="M303" s="56">
        <v>21.177960150375927</v>
      </c>
      <c r="N303" s="56" cm="1">
        <f t="array" ref="N303:O303">LINEST(E279:E303,D279:D303)</f>
        <v>-13.763076923076925</v>
      </c>
      <c r="O303" s="56">
        <v>22.747473076923075</v>
      </c>
      <c r="P303" s="56" cm="1">
        <f t="array" ref="P303:Q303">LINEST(E274:E303,D274:D303)</f>
        <v>-25.179977753058957</v>
      </c>
      <c r="Q303" s="56">
        <v>24.970601408972939</v>
      </c>
      <c r="R303" s="56" cm="1">
        <f t="array" ref="R303:S303">LINEST(F294:F303,D294:D303)</f>
        <v>-23.869090909090836</v>
      </c>
      <c r="S303" s="56">
        <v>4.917448484848471</v>
      </c>
      <c r="T303" s="56" cm="1">
        <f t="array" ref="T303:U303">LINEST(F289:F303,D289:D303)</f>
        <v>-35.305714285714295</v>
      </c>
      <c r="U303" s="56">
        <v>7.2310273809523817</v>
      </c>
      <c r="V303" s="56" cm="1">
        <f t="array" ref="V303:W303">LINEST(F284:F303,D284:D303)</f>
        <v>-12.867969924811993</v>
      </c>
      <c r="W303" s="56">
        <v>2.752307518796985</v>
      </c>
      <c r="X303" s="56" cm="1">
        <f t="array" ref="X303:Y303">LINEST(F279:F303,D279:D303)</f>
        <v>-46.8664615384615</v>
      </c>
      <c r="Y303" s="56">
        <v>9.4589184615384525</v>
      </c>
      <c r="Z303" s="56" cm="1">
        <f t="array" ref="Z303:AA303">LINEST(F274:F303,D274:D303)</f>
        <v>-12.604404894327008</v>
      </c>
      <c r="AA303" s="56">
        <v>2.7829876900259509</v>
      </c>
      <c r="AB303" s="37" cm="1">
        <f t="array" ref="AB303:AC303">LINEST(G294:G303,D294:D303)</f>
        <v>-17.978181818181813</v>
      </c>
      <c r="AC303" s="37">
        <v>3.9926303030303019</v>
      </c>
      <c r="AD303" s="37" cm="1">
        <f t="array" ref="AD303:AE303">LINEST(G289:G303,D289:D303)</f>
        <v>-12.008571428571447</v>
      </c>
      <c r="AE303" s="37">
        <v>2.7920202380952412</v>
      </c>
      <c r="AF303" s="37" cm="1">
        <f t="array" ref="AF303:AG303">LINEST(G284:G303,D284:D303)</f>
        <v>-10.090827067669174</v>
      </c>
      <c r="AG303" s="37">
        <v>2.4078932330827065</v>
      </c>
      <c r="AH303" s="37" cm="1">
        <f t="array" ref="AH303:AI303">LINEST(G279:G303,D279:D303)</f>
        <v>-2.4646153846153855</v>
      </c>
      <c r="AI303" s="37">
        <v>0.91033461538461546</v>
      </c>
      <c r="AJ303" s="37" cm="1">
        <f t="array" ref="AJ303:AK303">LINEST(G274:G303,D274:D303)</f>
        <v>4.6451612903225801</v>
      </c>
      <c r="AK303" s="37">
        <v>-0.47447311827956978</v>
      </c>
    </row>
    <row r="304" spans="1:38" x14ac:dyDescent="0.25">
      <c r="A304" s="61">
        <v>502</v>
      </c>
      <c r="B304" s="14">
        <f t="shared" si="4"/>
        <v>298</v>
      </c>
      <c r="C304" s="15">
        <v>43981</v>
      </c>
      <c r="D304" s="16">
        <v>0.20791666666666667</v>
      </c>
      <c r="E304" s="36">
        <v>19.940000000000001</v>
      </c>
      <c r="F304" s="36">
        <v>-0.56999999999999995</v>
      </c>
      <c r="G304" s="36">
        <v>0.22</v>
      </c>
      <c r="H304" s="56" cm="1">
        <f t="array" ref="H304:I304">LINEST(E295:E304,D295:D304)</f>
        <v>-17.890909090909016</v>
      </c>
      <c r="I304" s="56">
        <v>23.611999999999984</v>
      </c>
      <c r="J304" s="56" cm="1">
        <f t="array" ref="J304:K304">LINEST(E290:E304,D290:D304)</f>
        <v>-14.837142857142885</v>
      </c>
      <c r="K304" s="56">
        <v>22.996639285714288</v>
      </c>
      <c r="L304" s="56" cm="1">
        <f t="array" ref="L304:M304">LINEST(E285:E304,D285:D304)</f>
        <v>-6.913082706766879</v>
      </c>
      <c r="M304" s="56">
        <v>21.406630827067659</v>
      </c>
      <c r="N304" s="56" cm="1">
        <f t="array" ref="N304:O304">LINEST(E280:E304,D280:D304)</f>
        <v>-9.1107692307692218</v>
      </c>
      <c r="O304" s="56">
        <v>21.836034615384612</v>
      </c>
      <c r="P304" s="56" cm="1">
        <f t="array" ref="P304:Q304">LINEST(E275:E304,D275:D304)</f>
        <v>-23.10887652947719</v>
      </c>
      <c r="Q304" s="56">
        <v>24.581000148312945</v>
      </c>
      <c r="R304" s="56" cm="1">
        <f t="array" ref="R304:S304">LINEST(F295:F304,D295:D304)</f>
        <v>-43.330909090909024</v>
      </c>
      <c r="S304" s="56">
        <v>8.7873999999999857</v>
      </c>
      <c r="T304" s="56" cm="1">
        <f t="array" ref="T304:U304">LINEST(F290:F304,D290:D304)</f>
        <v>-52.148571428571408</v>
      </c>
      <c r="U304" s="56">
        <v>10.566223809523803</v>
      </c>
      <c r="V304" s="56" cm="1">
        <f t="array" ref="V304:W304">LINEST(F285:F304,D285:D304)</f>
        <v>-13.544661654135297</v>
      </c>
      <c r="W304" s="56">
        <v>2.8254466165413454</v>
      </c>
      <c r="X304" s="56" cm="1">
        <f t="array" ref="X304:Y304">LINEST(F280:F304,D280:D304)</f>
        <v>-49.70769230769227</v>
      </c>
      <c r="Y304" s="56">
        <v>9.9961961538461459</v>
      </c>
      <c r="Z304" s="56" cm="1">
        <f t="array" ref="Z304:AA304">LINEST(F275:F304,D275:D304)</f>
        <v>-19.419977753058927</v>
      </c>
      <c r="AA304" s="56">
        <v>4.0613069336299539</v>
      </c>
      <c r="AB304" s="37" cm="1">
        <f t="array" ref="AB304:AC304">LINEST(G295:G304,D295:D304)</f>
        <v>-20.0290909090909</v>
      </c>
      <c r="AC304" s="37">
        <v>4.4041999999999986</v>
      </c>
      <c r="AD304" s="37" cm="1">
        <f t="array" ref="AD304:AE304">LINEST(G290:G304,D290:D304)</f>
        <v>-15.120000000000008</v>
      </c>
      <c r="AE304" s="37">
        <v>3.409366666666668</v>
      </c>
      <c r="AF304" s="37" cm="1">
        <f t="array" ref="AF304:AG304">LINEST(G285:G304,D285:D304)</f>
        <v>-10.448120300751874</v>
      </c>
      <c r="AG304" s="37">
        <v>2.4704812030075174</v>
      </c>
      <c r="AH304" s="37" cm="1">
        <f t="array" ref="AH304:AI304">LINEST(G280:G304,D280:D304)</f>
        <v>-6.1920000000000011</v>
      </c>
      <c r="AI304" s="37">
        <v>1.6302200000000002</v>
      </c>
      <c r="AJ304" s="37" cm="1">
        <f t="array" ref="AJ304:AK304">LINEST(G275:G304,D275:D304)</f>
        <v>2.7502558398220236</v>
      </c>
      <c r="AK304" s="37">
        <v>-0.12343692992213556</v>
      </c>
    </row>
    <row r="305" spans="1:37" x14ac:dyDescent="0.25">
      <c r="A305" s="61">
        <v>502</v>
      </c>
      <c r="B305" s="14">
        <f t="shared" si="4"/>
        <v>299</v>
      </c>
      <c r="C305" s="15">
        <v>43981</v>
      </c>
      <c r="D305" s="16">
        <v>0.20930555555555555</v>
      </c>
      <c r="E305" s="36">
        <v>19.940000000000001</v>
      </c>
      <c r="F305" s="36">
        <v>-0.14000000000000001</v>
      </c>
      <c r="G305" s="36">
        <v>0.2</v>
      </c>
      <c r="H305" s="56" cm="1">
        <f t="array" ref="H305:I305">LINEST(E296:E305,D296:D305)</f>
        <v>-11.476363636363473</v>
      </c>
      <c r="I305" s="56">
        <v>22.309339393939364</v>
      </c>
      <c r="J305" s="56" cm="1">
        <f t="array" ref="J305:K305">LINEST(E291:E305,D291:D305)</f>
        <v>-15.608571428571421</v>
      </c>
      <c r="K305" s="56">
        <v>23.15921071428571</v>
      </c>
      <c r="L305" s="56" cm="1">
        <f t="array" ref="L305:M305">LINEST(E286:E305,D286:D305)</f>
        <v>-8.0445112781954418</v>
      </c>
      <c r="M305" s="56">
        <v>21.631618045112766</v>
      </c>
      <c r="N305" s="56" cm="1">
        <f t="array" ref="N305:O305">LINEST(E281:E305,D281:D305)</f>
        <v>-3.3895384615384434</v>
      </c>
      <c r="O305" s="56">
        <v>20.702956923076922</v>
      </c>
      <c r="P305" s="56" cm="1">
        <f t="array" ref="P305:Q305">LINEST(E276:E305,D276:D305)</f>
        <v>-20.794304783092304</v>
      </c>
      <c r="Q305" s="56">
        <v>24.140255988134964</v>
      </c>
      <c r="R305" s="56" cm="1">
        <f t="array" ref="R305:S305">LINEST(F296:F305,D296:D305)</f>
        <v>-47.345454545454523</v>
      </c>
      <c r="S305" s="56">
        <v>9.6367575757575725</v>
      </c>
      <c r="T305" s="56" cm="1">
        <f t="array" ref="T305:U305">LINEST(F291:F305,D291:D305)</f>
        <v>-42.377142857142836</v>
      </c>
      <c r="U305" s="56">
        <v>8.6104380952380914</v>
      </c>
      <c r="V305" s="56" cm="1">
        <f t="array" ref="V305:W305">LINEST(F286:F305,D286:D305)</f>
        <v>-21.55669172932328</v>
      </c>
      <c r="W305" s="56">
        <v>4.4195067669172872</v>
      </c>
      <c r="X305" s="56" cm="1">
        <f t="array" ref="X305:Y305">LINEST(F281:F305,D281:D305)</f>
        <v>-43.881230769230747</v>
      </c>
      <c r="Y305" s="56">
        <v>8.8620315384615331</v>
      </c>
      <c r="Z305" s="56" cm="1">
        <f t="array" ref="Z305:AA305">LINEST(F276:F305,D276:D305)</f>
        <v>-27.134149054504984</v>
      </c>
      <c r="AA305" s="56">
        <v>5.5635431961438586</v>
      </c>
      <c r="AB305" s="37" cm="1">
        <f t="array" ref="AB305:AC305">LINEST(G296:G305,D296:D305)</f>
        <v>-21.949090909090927</v>
      </c>
      <c r="AC305" s="37">
        <v>4.7958848484848531</v>
      </c>
      <c r="AD305" s="37" cm="1">
        <f t="array" ref="AD305:AE305">LINEST(G291:G305,D291:D305)</f>
        <v>-17.151428571428575</v>
      </c>
      <c r="AE305" s="37">
        <v>3.8158059523809529</v>
      </c>
      <c r="AF305" s="37" cm="1">
        <f t="array" ref="AF305:AG305">LINEST(G286:G305,D286:D305)</f>
        <v>-11.238496240601499</v>
      </c>
      <c r="AG305" s="37">
        <v>2.6209939849624044</v>
      </c>
      <c r="AH305" s="37" cm="1">
        <f t="array" ref="AH305:AI305">LINEST(G281:G305,D281:D305)</f>
        <v>-9.0941538461538478</v>
      </c>
      <c r="AI305" s="37">
        <v>2.1950876923076925</v>
      </c>
      <c r="AJ305" s="37" cm="1">
        <f t="array" ref="AJ305:AK305">LINEST(G276:G305,D276:D305)</f>
        <v>0.44849833147942259</v>
      </c>
      <c r="AK305" s="37">
        <v>0.31115906562847584</v>
      </c>
    </row>
    <row r="306" spans="1:37" x14ac:dyDescent="0.25">
      <c r="A306" s="61">
        <v>502</v>
      </c>
      <c r="B306" s="14">
        <f t="shared" si="4"/>
        <v>300</v>
      </c>
      <c r="C306" s="15">
        <v>43981</v>
      </c>
      <c r="D306" s="16">
        <v>0.21069444444444443</v>
      </c>
      <c r="E306" s="36">
        <v>19.95</v>
      </c>
      <c r="F306" s="36">
        <v>0.3</v>
      </c>
      <c r="G306" s="36">
        <v>0.2</v>
      </c>
      <c r="H306" s="56" cm="1">
        <f t="array" ref="H306:I306">LINEST(E297:E306,D297:D306)</f>
        <v>-2.0072727272726558</v>
      </c>
      <c r="I306" s="56">
        <v>20.364375757575743</v>
      </c>
      <c r="J306" s="56" cm="1">
        <f t="array" ref="J306:K306">LINEST(E292:E306,D292:D306)</f>
        <v>-15.325714285714302</v>
      </c>
      <c r="K306" s="56">
        <v>23.111376190476197</v>
      </c>
      <c r="L306" s="56" cm="1">
        <f t="array" ref="L306:M306">LINEST(E287:E306,D287:D306)</f>
        <v>-9.046015037593973</v>
      </c>
      <c r="M306" s="56">
        <v>21.835087969924807</v>
      </c>
      <c r="N306" s="56" cm="1">
        <f t="array" ref="N306:O306">LINEST(E282:E306,D282:D306)</f>
        <v>-4.8461538461538254</v>
      </c>
      <c r="O306" s="56">
        <v>20.990688461538454</v>
      </c>
      <c r="P306" s="56" cm="1">
        <f t="array" ref="P306:Q306">LINEST(E277:E306,D277:D306)</f>
        <v>-17.947942157953285</v>
      </c>
      <c r="Q306" s="56">
        <v>23.59108008898777</v>
      </c>
      <c r="R306" s="56" cm="1">
        <f t="array" ref="R306:S306">LINEST(F297:F306,D297:D306)</f>
        <v>-22.210909090909094</v>
      </c>
      <c r="S306" s="56">
        <v>4.5618969696969716</v>
      </c>
      <c r="T306" s="56" cm="1">
        <f t="array" ref="T306:U306">LINEST(F292:F306,D292:D306)</f>
        <v>-33.814285714285703</v>
      </c>
      <c r="U306" s="56">
        <v>6.939065476190474</v>
      </c>
      <c r="V306" s="56" cm="1">
        <f t="array" ref="V306:W306">LINEST(F287:F306,D287:D306)</f>
        <v>-25.698045112781951</v>
      </c>
      <c r="W306" s="56">
        <v>5.2958639097744351</v>
      </c>
      <c r="X306" s="56" cm="1">
        <f t="array" ref="X306:Y306">LINEST(F282:F306,D282:D306)</f>
        <v>-34.011692307692286</v>
      </c>
      <c r="Y306" s="56">
        <v>6.9448130769230714</v>
      </c>
      <c r="Z306" s="56" cm="1">
        <f t="array" ref="Z306:AA306">LINEST(F277:F306,D277:D306)</f>
        <v>-24.268565072302543</v>
      </c>
      <c r="AA306" s="56">
        <v>5.027509899888762</v>
      </c>
      <c r="AB306" s="37" cm="1">
        <f t="array" ref="AB306:AC306">LINEST(G297:G306,D297:D306)</f>
        <v>-22.080000000000013</v>
      </c>
      <c r="AC306" s="37">
        <v>4.8281333333333372</v>
      </c>
      <c r="AD306" s="37" cm="1">
        <f t="array" ref="AD306:AE306">LINEST(G292:G306,D292:D306)</f>
        <v>-18.411428571428576</v>
      </c>
      <c r="AE306" s="37">
        <v>4.0728523809523818</v>
      </c>
      <c r="AF306" s="37" cm="1">
        <f t="array" ref="AF306:AG306">LINEST(G287:G306,D287:D306)</f>
        <v>-12.413233082706773</v>
      </c>
      <c r="AG306" s="37">
        <v>2.8531135338345872</v>
      </c>
      <c r="AH306" s="37" cm="1">
        <f t="array" ref="AH306:AI306">LINEST(G282:G306,D282:D306)</f>
        <v>-11.09353846153846</v>
      </c>
      <c r="AI306" s="37">
        <v>2.5880546153846145</v>
      </c>
      <c r="AJ306" s="37" cm="1">
        <f t="array" ref="AJ306:AK306">LINEST(G277:G306,D277:D306)</f>
        <v>-1.4848498331479401</v>
      </c>
      <c r="AK306" s="37">
        <v>0.67927971820541289</v>
      </c>
    </row>
    <row r="307" spans="1:37" x14ac:dyDescent="0.25">
      <c r="A307" s="61">
        <v>502</v>
      </c>
      <c r="B307" s="14">
        <f t="shared" si="4"/>
        <v>301</v>
      </c>
      <c r="C307" s="15">
        <v>43981</v>
      </c>
      <c r="D307" s="16">
        <v>0.21208333333333332</v>
      </c>
      <c r="E307" s="36">
        <v>19.96</v>
      </c>
      <c r="F307" s="36">
        <v>0.49</v>
      </c>
      <c r="G307" s="36">
        <v>0.23</v>
      </c>
      <c r="H307" s="56" cm="1">
        <f t="array" ref="H307:I307">LINEST(E298:E307,D298:D307)</f>
        <v>-1.4836363636362422</v>
      </c>
      <c r="I307" s="56">
        <v>20.259381818181794</v>
      </c>
      <c r="J307" s="56" cm="1">
        <f t="array" ref="J307:K307">LINEST(E293:E307,D293:D307)</f>
        <v>-13.757142857142842</v>
      </c>
      <c r="K307" s="56">
        <v>22.801244047619043</v>
      </c>
      <c r="L307" s="56" cm="1">
        <f t="array" ref="L307:M307">LINEST(E288:E307,D288:D307)</f>
        <v>-9.7118796992481116</v>
      </c>
      <c r="M307" s="56">
        <v>21.974584962406009</v>
      </c>
      <c r="N307" s="56" cm="1">
        <f t="array" ref="N307:O307">LINEST(E283:E307,D283:D307)</f>
        <v>-5.5938461538461217</v>
      </c>
      <c r="O307" s="56">
        <v>21.14073076923076</v>
      </c>
      <c r="P307" s="56" cm="1">
        <f t="array" ref="P307:Q307">LINEST(E278:E307,D278:D307)</f>
        <v>-14.712347052280316</v>
      </c>
      <c r="Q307" s="56">
        <v>22.959619948090474</v>
      </c>
      <c r="R307" s="56" cm="1">
        <f t="array" ref="R307:S307">LINEST(F298:F307,D298:D307)</f>
        <v>10.560000000000002</v>
      </c>
      <c r="S307" s="56">
        <v>-2.1356000000000011</v>
      </c>
      <c r="T307" s="56" cm="1">
        <f t="array" ref="T307:U307">LINEST(F293:F307,D293:D307)</f>
        <v>-9.9514285714285755</v>
      </c>
      <c r="U307" s="56">
        <v>2.1231154761904767</v>
      </c>
      <c r="V307" s="56" cm="1">
        <f t="array" ref="V307:W307">LINEST(F288:F307,D288:D307)</f>
        <v>-21.567518796992506</v>
      </c>
      <c r="W307" s="56">
        <v>4.5175398496240646</v>
      </c>
      <c r="X307" s="56" cm="1">
        <f t="array" ref="X307:Y307">LINEST(F283:F307,D283:D307)</f>
        <v>-22.00430769230768</v>
      </c>
      <c r="Y307" s="56">
        <v>4.5900084615384591</v>
      </c>
      <c r="Z307" s="56" cm="1">
        <f t="array" ref="Z307:AA307">LINEST(F278:F307,D278:D307)</f>
        <v>-25.964849833147913</v>
      </c>
      <c r="AA307" s="56">
        <v>5.4038086763070012</v>
      </c>
      <c r="AB307" s="37" cm="1">
        <f t="array" ref="AB307:AC307">LINEST(G298:G307,D298:D307)</f>
        <v>-19.330909090909106</v>
      </c>
      <c r="AC307" s="37">
        <v>4.2719454545454587</v>
      </c>
      <c r="AD307" s="37" cm="1">
        <f t="array" ref="AD307:AE307">LINEST(G293:G307,D293:D307)</f>
        <v>-17.537142857142864</v>
      </c>
      <c r="AE307" s="37">
        <v>3.9008357142857157</v>
      </c>
      <c r="AF307" s="37" cm="1">
        <f t="array" ref="AF307:AG307">LINEST(G288:G307,D288:D307)</f>
        <v>-13.05744360902257</v>
      </c>
      <c r="AG307" s="37">
        <v>2.984980451127822</v>
      </c>
      <c r="AH307" s="37" cm="1">
        <f t="array" ref="AH307:AI307">LINEST(G283:G307,D283:D307)</f>
        <v>-11.924307692307691</v>
      </c>
      <c r="AI307" s="37">
        <v>2.754608461538461</v>
      </c>
      <c r="AJ307" s="37" cm="1">
        <f t="array" ref="AJ307:AK307">LINEST(G278:G307,D278:D307)</f>
        <v>-3.3813570634037782</v>
      </c>
      <c r="AK307" s="37">
        <v>1.0473660363366695</v>
      </c>
    </row>
    <row r="308" spans="1:37" x14ac:dyDescent="0.25">
      <c r="A308" s="61">
        <v>502</v>
      </c>
      <c r="B308" s="14">
        <f t="shared" si="4"/>
        <v>302</v>
      </c>
      <c r="C308" s="15">
        <v>43981</v>
      </c>
      <c r="D308" s="16">
        <v>0.2134722222222222</v>
      </c>
      <c r="E308" s="36">
        <v>19.95</v>
      </c>
      <c r="F308" s="36">
        <v>-0.31</v>
      </c>
      <c r="G308" s="36">
        <v>0.18</v>
      </c>
      <c r="H308" s="56" cm="1">
        <f t="array" ref="H308:I308">LINEST(E299:E308,D299:D308)</f>
        <v>-0.8727272727272567</v>
      </c>
      <c r="I308" s="56">
        <v>20.132848484848481</v>
      </c>
      <c r="J308" s="56" cm="1">
        <f t="array" ref="J308:K308">LINEST(E294:E308,D294:D308)</f>
        <v>-11.622857142857168</v>
      </c>
      <c r="K308" s="56">
        <v>22.370157142857146</v>
      </c>
      <c r="L308" s="56" cm="1">
        <f t="array" ref="L308:M308">LINEST(E289:E308,D289:D308)</f>
        <v>-10.247819548872206</v>
      </c>
      <c r="M308" s="56">
        <v>22.088910526315789</v>
      </c>
      <c r="N308" s="56" cm="1">
        <f t="array" ref="N308:O308">LINEST(E284:E308,D284:D308)</f>
        <v>-6.2252307692307429</v>
      </c>
      <c r="O308" s="56">
        <v>21.26875999999999</v>
      </c>
      <c r="P308" s="56" cm="1">
        <f t="array" ref="P308:Q308">LINEST(E279:E308,D279:D308)</f>
        <v>-11.680177975528375</v>
      </c>
      <c r="Q308" s="56">
        <v>22.361501075268826</v>
      </c>
      <c r="R308" s="56" cm="1">
        <f t="array" ref="R308:S308">LINEST(F299:F308,D299:D308)</f>
        <v>10.429090909090945</v>
      </c>
      <c r="S308" s="56">
        <v>-2.1861393939394018</v>
      </c>
      <c r="T308" s="56" cm="1">
        <f t="array" ref="T308:U308">LINEST(F294:F308,D294:D308)</f>
        <v>-15.839999999999996</v>
      </c>
      <c r="U308" s="56">
        <v>3.303399999999999</v>
      </c>
      <c r="V308" s="56" cm="1">
        <f t="array" ref="V308:W308">LINEST(F289:F308,D289:D308)</f>
        <v>-26.964812030075212</v>
      </c>
      <c r="W308" s="56">
        <v>5.6009526315789504</v>
      </c>
      <c r="X308" s="56" cm="1">
        <f t="array" ref="X308:Y308">LINEST(F284:F308,D284:D308)</f>
        <v>-14.543999999999995</v>
      </c>
      <c r="Y308" s="56">
        <v>3.0647399999999987</v>
      </c>
      <c r="Z308" s="56" cm="1">
        <f t="array" ref="Z308:AA308">LINEST(F279:F308,D279:D308)</f>
        <v>-38.889610678531696</v>
      </c>
      <c r="AA308" s="56">
        <v>7.9783247311827941</v>
      </c>
      <c r="AB308" s="37" cm="1">
        <f t="array" ref="AB308:AC308">LINEST(G299:G308,D299:D308)</f>
        <v>-17.1927272727273</v>
      </c>
      <c r="AC308" s="37">
        <v>3.8307151515151578</v>
      </c>
      <c r="AD308" s="37" cm="1">
        <f t="array" ref="AD308:AE308">LINEST(G294:G308,D294:D308)</f>
        <v>-17.382857142857155</v>
      </c>
      <c r="AE308" s="37">
        <v>3.8717571428571453</v>
      </c>
      <c r="AF308" s="37" cm="1">
        <f t="array" ref="AF308:AG308">LINEST(G289:G308,D289:D308)</f>
        <v>-14.150977443609037</v>
      </c>
      <c r="AG308" s="37">
        <v>3.207126315789476</v>
      </c>
      <c r="AH308" s="37" cm="1">
        <f t="array" ref="AH308:AI308">LINEST(G284:G308,D284:D308)</f>
        <v>-12.14030769230769</v>
      </c>
      <c r="AI308" s="37">
        <v>2.7960799999999995</v>
      </c>
      <c r="AJ308" s="37" cm="1">
        <f t="array" ref="AJ308:AK308">LINEST(G279:G308,D279:D308)</f>
        <v>-6.1748609566184633</v>
      </c>
      <c r="AK308" s="37">
        <v>1.5968064516129026</v>
      </c>
    </row>
    <row r="309" spans="1:37" x14ac:dyDescent="0.25">
      <c r="A309" s="61">
        <v>502</v>
      </c>
      <c r="B309" s="14">
        <f t="shared" si="4"/>
        <v>303</v>
      </c>
      <c r="C309" s="15">
        <v>43981</v>
      </c>
      <c r="D309" s="16">
        <v>0.21486111111111109</v>
      </c>
      <c r="E309" s="36">
        <v>19.95</v>
      </c>
      <c r="F309" s="36">
        <v>-0.13</v>
      </c>
      <c r="G309" s="36">
        <v>0.16</v>
      </c>
      <c r="H309" s="56" cm="1">
        <f t="array" ref="H309:I309">LINEST(E300:E309,D300:D309)</f>
        <v>-8.7272727272820205E-2</v>
      </c>
      <c r="I309" s="56">
        <v>19.968206060606075</v>
      </c>
      <c r="J309" s="56" cm="1">
        <f t="array" ref="J309:K309">LINEST(E295:E309,D295:D309)</f>
        <v>-8.6914285714285917</v>
      </c>
      <c r="K309" s="56">
        <v>21.76895</v>
      </c>
      <c r="L309" s="56" cm="1">
        <f t="array" ref="L309:M309">LINEST(E290:E309,D290:D309)</f>
        <v>-10.529323308270721</v>
      </c>
      <c r="M309" s="56">
        <v>22.152913533834592</v>
      </c>
      <c r="N309" s="56" cm="1">
        <f t="array" ref="N309:O309">LINEST(E285:E309,D285:D309)</f>
        <v>-6.5852307692307628</v>
      </c>
      <c r="O309" s="56">
        <v>21.343556153846148</v>
      </c>
      <c r="P309" s="56" cm="1">
        <f t="array" ref="P309:Q309">LINEST(E280:E309,D280:D309)</f>
        <v>-8.1386429365962236</v>
      </c>
      <c r="Q309" s="56">
        <v>21.654441305153878</v>
      </c>
      <c r="R309" s="56" cm="1">
        <f t="array" ref="R309:S309">LINEST(F300:F309,D300:D309)</f>
        <v>22.865454545454625</v>
      </c>
      <c r="S309" s="56">
        <v>-4.8399878787878965</v>
      </c>
      <c r="T309" s="56" cm="1">
        <f t="array" ref="T309:U309">LINEST(F295:F309,D295:D309)</f>
        <v>-14.734285714285713</v>
      </c>
      <c r="U309" s="56">
        <v>3.0692416666666662</v>
      </c>
      <c r="V309" s="56" cm="1">
        <f t="array" ref="V309:W309">LINEST(F290:F309,D290:D309)</f>
        <v>-30.256240601503777</v>
      </c>
      <c r="W309" s="56">
        <v>6.2851751879699274</v>
      </c>
      <c r="X309" s="56" cm="1">
        <f t="array" ref="X309:Y309">LINEST(F285:F309,D285:D309)</f>
        <v>-11.298461538461527</v>
      </c>
      <c r="Y309" s="56">
        <v>2.3980923076923051</v>
      </c>
      <c r="Z309" s="56" cm="1">
        <f t="array" ref="Z309:AA309">LINEST(F280:F309,D280:D309)</f>
        <v>-37.902914349276976</v>
      </c>
      <c r="AA309" s="56">
        <v>7.7955397107897664</v>
      </c>
      <c r="AB309" s="37" cm="1">
        <f t="array" ref="AB309:AC309">LINEST(G300:G309,D300:D309)</f>
        <v>-14.138181818181847</v>
      </c>
      <c r="AC309" s="37">
        <v>3.1913818181818248</v>
      </c>
      <c r="AD309" s="37" cm="1">
        <f t="array" ref="AD309:AE309">LINEST(G295:G309,D295:D309)</f>
        <v>-17.151428571428589</v>
      </c>
      <c r="AE309" s="37">
        <v>3.8264250000000031</v>
      </c>
      <c r="AF309" s="37" cm="1">
        <f t="array" ref="AF309:AG309">LINEST(G290:G309,D290:D309)</f>
        <v>-15.352781954887234</v>
      </c>
      <c r="AG309" s="37">
        <v>3.4541443609022591</v>
      </c>
      <c r="AH309" s="37" cm="1">
        <f t="array" ref="AH309:AI309">LINEST(G285:G309,D285:D309)</f>
        <v>-12.101538461538466</v>
      </c>
      <c r="AI309" s="37">
        <v>2.786057692307693</v>
      </c>
      <c r="AJ309" s="37" cm="1">
        <f t="array" ref="AJ309:AK309">LINEST(G280:G309,D280:D309)</f>
        <v>-8.6592213570634033</v>
      </c>
      <c r="AK309" s="37">
        <v>2.0901428253615126</v>
      </c>
    </row>
    <row r="310" spans="1:37" x14ac:dyDescent="0.25">
      <c r="A310" s="61">
        <v>502</v>
      </c>
      <c r="B310" s="14">
        <f t="shared" si="4"/>
        <v>304</v>
      </c>
      <c r="C310" s="15">
        <v>43981</v>
      </c>
      <c r="D310" s="16">
        <v>0.21625000000000003</v>
      </c>
      <c r="E310" s="36">
        <v>19.95</v>
      </c>
      <c r="F310" s="36">
        <v>0.17</v>
      </c>
      <c r="G310" s="36">
        <v>0.16</v>
      </c>
      <c r="H310" s="56" cm="1">
        <f t="array" ref="H310:I310">LINEST(E301:E310,D301:D310)</f>
        <v>0.39272727272716301</v>
      </c>
      <c r="I310" s="56">
        <v>19.866527272727293</v>
      </c>
      <c r="J310" s="56" cm="1">
        <f t="array" ref="J310:K310">LINEST(E296:E310,D296:D310)</f>
        <v>-5.1428571428571432</v>
      </c>
      <c r="K310" s="56">
        <v>21.032142857142858</v>
      </c>
      <c r="L310" s="56" cm="1">
        <f t="array" ref="L310:M310">LINEST(E291:E310,D291:D310)</f>
        <v>-10.318195488721843</v>
      </c>
      <c r="M310" s="56">
        <v>22.116166917293235</v>
      </c>
      <c r="N310" s="56" cm="1">
        <f t="array" ref="N310:O310">LINEST(E286:E310,D286:D310)</f>
        <v>-6.9452307692307667</v>
      </c>
      <c r="O310" s="56">
        <v>21.419752307692299</v>
      </c>
      <c r="P310" s="56" cm="1">
        <f t="array" ref="P310:Q310">LINEST(E281:E310,D281:D310)</f>
        <v>-3.9259621802002256</v>
      </c>
      <c r="Q310" s="56">
        <v>20.803591472005937</v>
      </c>
      <c r="R310" s="56" cm="1">
        <f t="array" ref="R310:S310">LINEST(F301:F310,D301:D310)</f>
        <v>22.690909090909145</v>
      </c>
      <c r="S310" s="56">
        <v>-4.7910909090909204</v>
      </c>
      <c r="T310" s="56" cm="1">
        <f t="array" ref="T310:U310">LINEST(F296:F310,D296:D310)</f>
        <v>-11.005714285714268</v>
      </c>
      <c r="U310" s="56">
        <v>2.3229857142857102</v>
      </c>
      <c r="V310" s="56" cm="1">
        <f t="array" ref="V310:W310">LINEST(F291:F310,D291:D310)</f>
        <v>-20.771729323308275</v>
      </c>
      <c r="W310" s="56">
        <v>4.3583150375939859</v>
      </c>
      <c r="X310" s="56" cm="1">
        <f t="array" ref="X310:Y310">LINEST(F286:F310,D286:D310)</f>
        <v>-13.951384615384599</v>
      </c>
      <c r="Y310" s="56">
        <v>2.9588638461538421</v>
      </c>
      <c r="Z310" s="56" cm="1">
        <f t="array" ref="Z310:AA310">LINEST(F281:F310,D281:D310)</f>
        <v>-31.766496106785294</v>
      </c>
      <c r="AA310" s="56">
        <v>6.5877628476084489</v>
      </c>
      <c r="AB310" s="37" cm="1">
        <f t="array" ref="AB310:AC310">LINEST(G301:G310,D301:D310)</f>
        <v>-11.214545454545457</v>
      </c>
      <c r="AC310" s="37">
        <v>2.576054545454546</v>
      </c>
      <c r="AD310" s="37" cm="1">
        <f t="array" ref="AD310:AE310">LINEST(G296:G310,D296:D310)</f>
        <v>-16.688571428571432</v>
      </c>
      <c r="AE310" s="37">
        <v>3.7346535714285727</v>
      </c>
      <c r="AF310" s="37" cm="1">
        <f t="array" ref="AF310:AG310">LINEST(G291:G310,D291:D310)</f>
        <v>-15.775037593984973</v>
      </c>
      <c r="AG310" s="37">
        <v>3.5442090225563931</v>
      </c>
      <c r="AH310" s="37" cm="1">
        <f t="array" ref="AH310:AI310">LINEST(G286:G310,D286:D310)</f>
        <v>-12.228923076923076</v>
      </c>
      <c r="AI310" s="37">
        <v>2.8114892307692299</v>
      </c>
      <c r="AJ310" s="37" cm="1">
        <f t="array" ref="AJ310:AK310">LINEST(G281:G310,D281:D310)</f>
        <v>-10.458020022246938</v>
      </c>
      <c r="AK310" s="37">
        <v>2.4512672599184269</v>
      </c>
    </row>
    <row r="311" spans="1:37" x14ac:dyDescent="0.25">
      <c r="A311" s="61">
        <v>502</v>
      </c>
      <c r="B311" s="14">
        <f t="shared" si="4"/>
        <v>305</v>
      </c>
      <c r="C311" s="15">
        <v>43981</v>
      </c>
      <c r="D311" s="16">
        <v>0.21763888888888891</v>
      </c>
      <c r="E311" s="36">
        <v>19.940000000000001</v>
      </c>
      <c r="F311" s="36">
        <v>-0.37</v>
      </c>
      <c r="G311" s="36">
        <v>0.12</v>
      </c>
      <c r="H311" s="56" cm="1">
        <f t="array" ref="H311:I311">LINEST(E302:E311,D302:D311)</f>
        <v>8.7272727272614425E-2</v>
      </c>
      <c r="I311" s="56">
        <v>19.929551515151537</v>
      </c>
      <c r="J311" s="56" cm="1">
        <f t="array" ref="J311:K311">LINEST(E297:E311,D297:D311)</f>
        <v>-0.95142857142856552</v>
      </c>
      <c r="K311" s="56">
        <v>20.150484523809521</v>
      </c>
      <c r="L311" s="56" cm="1">
        <f t="array" ref="L311:M311">LINEST(E292:E311,D292:D311)</f>
        <v>-9.7984962406015192</v>
      </c>
      <c r="M311" s="56">
        <v>22.014248120300753</v>
      </c>
      <c r="N311" s="56" cm="1">
        <f t="array" ref="N311:O311">LINEST(E287:E311,D287:D311)</f>
        <v>-7.3772307692307688</v>
      </c>
      <c r="O311" s="56">
        <v>21.511418461538454</v>
      </c>
      <c r="P311" s="56" cm="1">
        <f t="array" ref="P311:Q311">LINEST(E282:E311,D282:D311)</f>
        <v>-4.8261624026696257</v>
      </c>
      <c r="Q311" s="56">
        <v>20.986833741193919</v>
      </c>
      <c r="R311" s="56" cm="1">
        <f t="array" ref="R311:S311">LINEST(F302:F311,D302:D311)</f>
        <v>-7.3309090909091044</v>
      </c>
      <c r="S311" s="56">
        <v>1.5236727272727302</v>
      </c>
      <c r="T311" s="56" cm="1">
        <f t="array" ref="T311:U311">LINEST(F297:F311,D297:D311)</f>
        <v>-13.011428571428551</v>
      </c>
      <c r="U311" s="56">
        <v>2.7092928571428527</v>
      </c>
      <c r="V311" s="56" cm="1">
        <f t="array" ref="V311:W311">LINEST(F292:F311,D292:D311)</f>
        <v>-22.617744360902243</v>
      </c>
      <c r="W311" s="56">
        <v>4.7240721804511248</v>
      </c>
      <c r="X311" s="56" cm="1">
        <f t="array" ref="X311:Y311">LINEST(F287:F311,D287:D311)</f>
        <v>-20.769230769230763</v>
      </c>
      <c r="Y311" s="56">
        <v>4.3444384615384601</v>
      </c>
      <c r="Z311" s="56" cm="1">
        <f t="array" ref="Z311:AA311">LINEST(F282:F311,D282:D311)</f>
        <v>-27.590656284760843</v>
      </c>
      <c r="AA311" s="56">
        <v>5.7321546162402655</v>
      </c>
      <c r="AB311" s="37" cm="1">
        <f t="array" ref="AB311:AC311">LINEST(G302:G311,D302:D311)</f>
        <v>-10.909090909090908</v>
      </c>
      <c r="AC311" s="37">
        <v>2.5080606060606061</v>
      </c>
      <c r="AD311" s="37" cm="1">
        <f t="array" ref="AD311:AE311">LINEST(G297:G311,D297:D311)</f>
        <v>-16.380000000000003</v>
      </c>
      <c r="AE311" s="37">
        <v>3.6716750000000005</v>
      </c>
      <c r="AF311" s="37" cm="1">
        <f t="array" ref="AF311:AG311">LINEST(G292:G311,D292:D311)</f>
        <v>-16.240601503759397</v>
      </c>
      <c r="AG311" s="37">
        <v>3.6423007518796986</v>
      </c>
      <c r="AH311" s="37" cm="1">
        <f t="array" ref="AH311:AI311">LINEST(G287:G311,D287:D311)</f>
        <v>-12.893538461538466</v>
      </c>
      <c r="AI311" s="37">
        <v>2.9464430769230776</v>
      </c>
      <c r="AJ311" s="37" cm="1">
        <f t="array" ref="AJ311:AK311">LINEST(G282:G311,D282:D311)</f>
        <v>-11.811523915461624</v>
      </c>
      <c r="AK311" s="37">
        <v>2.7241093066370037</v>
      </c>
    </row>
    <row r="312" spans="1:37" x14ac:dyDescent="0.25">
      <c r="A312" s="61">
        <v>502</v>
      </c>
      <c r="B312" s="14">
        <f t="shared" si="4"/>
        <v>306</v>
      </c>
      <c r="C312" s="15">
        <v>43981</v>
      </c>
      <c r="D312" s="16">
        <v>0.21902777777777779</v>
      </c>
      <c r="E312" s="36">
        <v>19.940000000000001</v>
      </c>
      <c r="F312" s="36">
        <v>0.06</v>
      </c>
      <c r="G312" s="36">
        <v>0.11</v>
      </c>
      <c r="H312" s="56" cm="1">
        <f t="array" ref="H312:I312">LINEST(E303:E312,D303:D312)</f>
        <v>-0.61090909090912515</v>
      </c>
      <c r="I312" s="56">
        <v>20.077987878787887</v>
      </c>
      <c r="J312" s="56" cm="1">
        <f t="array" ref="J312:K312">LINEST(E298:E312,D298:D312)</f>
        <v>-1.0285714285713883</v>
      </c>
      <c r="K312" s="56">
        <v>20.166619047619037</v>
      </c>
      <c r="L312" s="56" cm="1">
        <f t="array" ref="L312:M312">LINEST(E293:E312,D293:D312)</f>
        <v>-8.7212030075187883</v>
      </c>
      <c r="M312" s="56">
        <v>21.794614285714282</v>
      </c>
      <c r="N312" s="56" cm="1">
        <f t="array" ref="N312:O312">LINEST(E288:E312,D288:D312)</f>
        <v>-7.6707692307692277</v>
      </c>
      <c r="O312" s="56">
        <v>21.57586538461538</v>
      </c>
      <c r="P312" s="56" cm="1">
        <f t="array" ref="P312:Q312">LINEST(E283:E312,D283:D312)</f>
        <v>-5.2794660734148868</v>
      </c>
      <c r="Q312" s="56">
        <v>21.080693807934743</v>
      </c>
      <c r="R312" s="56" cm="1">
        <f t="array" ref="R312:S312">LINEST(F303:F312,D303:D312)</f>
        <v>-19.02545454545449</v>
      </c>
      <c r="S312" s="56">
        <v>4.0621939393939277</v>
      </c>
      <c r="T312" s="56" cm="1">
        <f t="array" ref="T312:U312">LINEST(F298:F312,D298:D312)</f>
        <v>-5.502857142857124</v>
      </c>
      <c r="U312" s="56">
        <v>1.1384452380952341</v>
      </c>
      <c r="V312" s="56" cm="1">
        <f t="array" ref="V312:W312">LINEST(F293:F312,D293:D312)</f>
        <v>-12.797593984962397</v>
      </c>
      <c r="W312" s="56">
        <v>2.6871714285714265</v>
      </c>
      <c r="X312" s="56" cm="1">
        <f t="array" ref="X312:Y312">LINEST(F288:F312,D288:D312)</f>
        <v>-20.281846153846161</v>
      </c>
      <c r="Y312" s="56">
        <v>4.2634569230769239</v>
      </c>
      <c r="Z312" s="56" cm="1">
        <f t="array" ref="Z312:AA312">LINEST(F283:F312,D283:D312)</f>
        <v>-20.696596218020009</v>
      </c>
      <c r="AA312" s="56">
        <v>4.3386563589173122</v>
      </c>
      <c r="AB312" s="37" cm="1">
        <f t="array" ref="AB312:AC312">LINEST(G303:G312,D303:D312)</f>
        <v>-11.738181818181797</v>
      </c>
      <c r="AC312" s="37">
        <v>2.6846242424242379</v>
      </c>
      <c r="AD312" s="37" cm="1">
        <f t="array" ref="AD312:AE312">LINEST(G298:G312,D298:D312)</f>
        <v>-15.60857142857142</v>
      </c>
      <c r="AE312" s="37">
        <v>3.5109607142857127</v>
      </c>
      <c r="AF312" s="37" cm="1">
        <f t="array" ref="AF312:AG312">LINEST(G293:G312,D293:D312)</f>
        <v>-15.942857142857141</v>
      </c>
      <c r="AG312" s="37">
        <v>3.5820714285714277</v>
      </c>
      <c r="AH312" s="37" cm="1">
        <f t="array" ref="AH312:AI312">LINEST(G288:G312,D288:D312)</f>
        <v>-13.48061538461539</v>
      </c>
      <c r="AI312" s="37">
        <v>3.0675523076923081</v>
      </c>
      <c r="AJ312" s="37" cm="1">
        <f t="array" ref="AJ312:AK312">LINEST(G283:G312,D283:D312)</f>
        <v>-12.5291212458287</v>
      </c>
      <c r="AK312" s="37">
        <v>2.8699030033370407</v>
      </c>
    </row>
    <row r="313" spans="1:37" x14ac:dyDescent="0.25">
      <c r="A313" s="61">
        <v>502</v>
      </c>
      <c r="B313" s="14">
        <f t="shared" si="4"/>
        <v>307</v>
      </c>
      <c r="C313" s="15">
        <v>43981</v>
      </c>
      <c r="D313" s="16">
        <v>0.22041666666666668</v>
      </c>
      <c r="E313" s="36">
        <v>19.93</v>
      </c>
      <c r="F313" s="36">
        <v>-0.46</v>
      </c>
      <c r="G313" s="36">
        <v>7.0000000000000007E-2</v>
      </c>
      <c r="H313" s="56" cm="1">
        <f t="array" ref="H313:I313">LINEST(E304:E313,D304:D313)</f>
        <v>-0.74181818181822112</v>
      </c>
      <c r="I313" s="56">
        <v>20.103872727272737</v>
      </c>
      <c r="J313" s="56" cm="1">
        <f t="array" ref="J313:K313">LINEST(E299:E313,D299:D313)</f>
        <v>-1.0285714285714247</v>
      </c>
      <c r="K313" s="56">
        <v>20.16538095238095</v>
      </c>
      <c r="L313" s="56" cm="1">
        <f t="array" ref="L313:M313">LINEST(E294:E313,D294:D313)</f>
        <v>-7.3840601503759435</v>
      </c>
      <c r="M313" s="56">
        <v>21.517141353383458</v>
      </c>
      <c r="N313" s="56" cm="1">
        <f t="array" ref="N313:O313">LINEST(E289:E313,D289:D313)</f>
        <v>-7.8867692307692465</v>
      </c>
      <c r="O313" s="56">
        <v>21.62452923076923</v>
      </c>
      <c r="P313" s="56" cm="1">
        <f t="array" ref="P313:Q313">LINEST(E284:E313,D284:D313)</f>
        <v>-5.6510789766406928</v>
      </c>
      <c r="Q313" s="56">
        <v>21.15845220615498</v>
      </c>
      <c r="R313" s="56" cm="1">
        <f t="array" ref="R313:S313">LINEST(F304:F313,D304:D313)</f>
        <v>-7.5927272727272861</v>
      </c>
      <c r="S313" s="56">
        <v>1.5301090909090937</v>
      </c>
      <c r="T313" s="56" cm="1">
        <f t="array" ref="T313:U313">LINEST(F299:F313,D299:D313)</f>
        <v>-6.6857142857142797</v>
      </c>
      <c r="U313" s="56">
        <v>1.3433095238095225</v>
      </c>
      <c r="V313" s="56" cm="1">
        <f t="array" ref="V313:W313">LINEST(F294:F313,D294:D313)</f>
        <v>-16.516691729323291</v>
      </c>
      <c r="W313" s="56">
        <v>3.4431255639097706</v>
      </c>
      <c r="X313" s="56" cm="1">
        <f t="array" ref="X313:Y313">LINEST(F289:F313,D289:D313)</f>
        <v>-23.81538461538462</v>
      </c>
      <c r="Y313" s="56">
        <v>4.9835846153846148</v>
      </c>
      <c r="Z313" s="56" cm="1">
        <f t="array" ref="Z313:AA313">LINEST(F284:F313,D284:D313)</f>
        <v>-15.634972191323682</v>
      </c>
      <c r="AA313" s="56">
        <v>3.2756708194289925</v>
      </c>
      <c r="AB313" s="37" cm="1">
        <f t="array" ref="AB313:AC313">LINEST(G304:G313,D304:D313)</f>
        <v>-11.389090909090886</v>
      </c>
      <c r="AC313" s="37">
        <v>2.6041636363636314</v>
      </c>
      <c r="AD313" s="37" cm="1">
        <f t="array" ref="AD313:AE313">LINEST(G299:G313,D299:D313)</f>
        <v>-14.914285714285702</v>
      </c>
      <c r="AE313" s="37">
        <v>3.3623571428571402</v>
      </c>
      <c r="AF313" s="37" cm="1">
        <f t="array" ref="AF313:AG313">LINEST(G294:G313,D294:D313)</f>
        <v>-15.932030075187964</v>
      </c>
      <c r="AG313" s="37">
        <v>3.5799706766917279</v>
      </c>
      <c r="AH313" s="37" cm="1">
        <f t="array" ref="AH313:AI313">LINEST(G289:G313,D289:D313)</f>
        <v>-14.261538461538473</v>
      </c>
      <c r="AI313" s="37">
        <v>3.2289884615384632</v>
      </c>
      <c r="AJ313" s="37" cm="1">
        <f t="array" ref="AJ313:AK313">LINEST(G284:G313,D284:D313)</f>
        <v>-12.758175750834257</v>
      </c>
      <c r="AK313" s="37">
        <v>2.9148457545420827</v>
      </c>
    </row>
    <row r="314" spans="1:37" x14ac:dyDescent="0.25">
      <c r="A314" s="61">
        <v>502</v>
      </c>
      <c r="B314" s="14">
        <f t="shared" si="4"/>
        <v>308</v>
      </c>
      <c r="C314" s="15">
        <v>43981</v>
      </c>
      <c r="D314" s="16">
        <v>0.22180555555555556</v>
      </c>
      <c r="E314" s="36">
        <v>19.920000000000002</v>
      </c>
      <c r="F314" s="36">
        <v>-0.21</v>
      </c>
      <c r="G314" s="36">
        <v>0.05</v>
      </c>
      <c r="H314" s="56" cm="1">
        <f t="array" ref="H314:I314">LINEST(E305:E314,D305:D314)</f>
        <v>-1.9636363636362937</v>
      </c>
      <c r="I314" s="56">
        <v>20.366272727272715</v>
      </c>
      <c r="J314" s="56" cm="1">
        <f t="array" ref="J314:K314">LINEST(E300:E314,D300:D314)</f>
        <v>-1.105714285714285</v>
      </c>
      <c r="K314" s="56">
        <v>20.179836904761906</v>
      </c>
      <c r="L314" s="56" cm="1">
        <f t="array" ref="L314:M314">LINEST(E295:E314,D295:D314)</f>
        <v>-5.765413533834562</v>
      </c>
      <c r="M314" s="56">
        <v>21.176229323308263</v>
      </c>
      <c r="N314" s="56" cm="1">
        <f t="array" ref="N314:O314">LINEST(E290:E314,D290:D314)</f>
        <v>-8.0141538461538513</v>
      </c>
      <c r="O314" s="56">
        <v>21.654814615384613</v>
      </c>
      <c r="P314" s="56" cm="1">
        <f t="array" ref="P314:Q314">LINEST(E285:E314,D285:D314)</f>
        <v>-5.8817352614015386</v>
      </c>
      <c r="Q314" s="56">
        <v>21.207483277715976</v>
      </c>
      <c r="R314" s="56" cm="1">
        <f t="array" ref="R314:S314">LINEST(F305:F314,D305:D314)</f>
        <v>-34.82181818181806</v>
      </c>
      <c r="S314" s="56">
        <v>7.4460363636363374</v>
      </c>
      <c r="T314" s="56" cm="1">
        <f t="array" ref="T314:U314">LINEST(F300:F314,D300:D314)</f>
        <v>-1.3628571428571423</v>
      </c>
      <c r="U314" s="56">
        <v>0.1883726190476189</v>
      </c>
      <c r="V314" s="56" cm="1">
        <f t="array" ref="V314:W314">LINEST(F295:F314,D295:D314)</f>
        <v>-15.596390977443601</v>
      </c>
      <c r="W314" s="56">
        <v>3.2480804511278172</v>
      </c>
      <c r="X314" s="56" cm="1">
        <f t="array" ref="X314:Y314">LINEST(F290:F314,D290:D314)</f>
        <v>-25.515692307692305</v>
      </c>
      <c r="Y314" s="56">
        <v>5.3486607692307677</v>
      </c>
      <c r="Z314" s="56" cm="1">
        <f t="array" ref="Z314:AA314">LINEST(F285:F314,D285:D314)</f>
        <v>-13.230700778642921</v>
      </c>
      <c r="AA314" s="56">
        <v>2.7735246570263219</v>
      </c>
      <c r="AB314" s="37" cm="1">
        <f t="array" ref="AB314:AC314">LINEST(G305:G314,D305:D314)</f>
        <v>-13.265454545454512</v>
      </c>
      <c r="AC314" s="37">
        <v>3.0074424242424169</v>
      </c>
      <c r="AD314" s="37" cm="1">
        <f t="array" ref="AD314:AE314">LINEST(G300:G314,D300:D314)</f>
        <v>-13.859999999999987</v>
      </c>
      <c r="AE314" s="37">
        <v>3.1348083333333303</v>
      </c>
      <c r="AF314" s="37" cm="1">
        <f t="array" ref="AF314:AG314">LINEST(G295:G314,D295:D314)</f>
        <v>-15.877894736842102</v>
      </c>
      <c r="AG314" s="37">
        <v>3.5688052631578935</v>
      </c>
      <c r="AH314" s="37" cm="1">
        <f t="array" ref="AH314:AI314">LINEST(G290:G314,D290:D314)</f>
        <v>-15.092307692307696</v>
      </c>
      <c r="AI314" s="37">
        <v>3.4028192307692313</v>
      </c>
      <c r="AJ314" s="37" cm="1">
        <f t="array" ref="AJ314:AK314">LINEST(G285:G314,D285:D314)</f>
        <v>-12.804627363737479</v>
      </c>
      <c r="AK314" s="37">
        <v>2.9222665183537244</v>
      </c>
    </row>
    <row r="315" spans="1:37" x14ac:dyDescent="0.25">
      <c r="A315" s="61">
        <v>502</v>
      </c>
      <c r="B315" s="14">
        <f t="shared" si="4"/>
        <v>309</v>
      </c>
      <c r="C315" s="15">
        <v>43981</v>
      </c>
      <c r="D315" s="16">
        <v>0.22319444444444445</v>
      </c>
      <c r="E315" s="36">
        <v>19.940000000000001</v>
      </c>
      <c r="F315" s="36">
        <v>0.45</v>
      </c>
      <c r="G315" s="36">
        <v>0.08</v>
      </c>
      <c r="H315" s="56" cm="1">
        <f t="array" ref="H315:I315">LINEST(E306:E315,D306:D315)</f>
        <v>-2.2254545454543919</v>
      </c>
      <c r="I315" s="56">
        <v>20.425799999999967</v>
      </c>
      <c r="J315" s="56" cm="1">
        <f t="array" ref="J315:K315">LINEST(E301:E315,D301:D315)</f>
        <v>-0.89999999999997615</v>
      </c>
      <c r="K315" s="56">
        <v>20.136124999999993</v>
      </c>
      <c r="L315" s="56" cm="1">
        <f t="array" ref="L315:M315">LINEST(E296:E315,D296:D315)</f>
        <v>-3.6487218045112337</v>
      </c>
      <c r="M315" s="56">
        <v>20.727231578947361</v>
      </c>
      <c r="N315" s="56" cm="1">
        <f t="array" ref="N315:O315">LINEST(E291:E315,D291:D315)</f>
        <v>-7.6984615384615322</v>
      </c>
      <c r="O315" s="56">
        <v>21.593546153846148</v>
      </c>
      <c r="P315" s="56" cm="1">
        <f t="array" ref="P315:Q315">LINEST(E286:E315,D286:D315)</f>
        <v>-6.0178865406006494</v>
      </c>
      <c r="Q315" s="56">
        <v>21.238965294771962</v>
      </c>
      <c r="R315" s="56" cm="1">
        <f t="array" ref="R315:S315">LINEST(F306:F315,D306:D315)</f>
        <v>-18.632727272727237</v>
      </c>
      <c r="S315" s="56">
        <v>4.0412666666666581</v>
      </c>
      <c r="T315" s="56" cm="1">
        <f t="array" ref="T315:U315">LINEST(F301:F315,D301:D315)</f>
        <v>5.065714285714269</v>
      </c>
      <c r="U315" s="56">
        <v>-1.1340559523809486</v>
      </c>
      <c r="V315" s="56" cm="1">
        <f t="array" ref="V315:W315">LINEST(F296:F315,D296:D315)</f>
        <v>-9.4845112781954786</v>
      </c>
      <c r="W315" s="56">
        <v>2.0027473684210508</v>
      </c>
      <c r="X315" s="56" cm="1">
        <f t="array" ref="X315:Y315">LINEST(F291:F315,D291:D315)</f>
        <v>-16.692923076923073</v>
      </c>
      <c r="Y315" s="56">
        <v>3.5387523076923064</v>
      </c>
      <c r="Z315" s="56" cm="1">
        <f t="array" ref="Z315:AA315">LINEST(F286:F315,D286:D315)</f>
        <v>-13.245116796440483</v>
      </c>
      <c r="AA315" s="56">
        <v>2.8171612161661086</v>
      </c>
      <c r="AB315" s="37" cm="1">
        <f t="array" ref="AB315:AC315">LINEST(G306:G315,D306:D315)</f>
        <v>-13.439999999999969</v>
      </c>
      <c r="AC315" s="37">
        <v>3.0517333333333267</v>
      </c>
      <c r="AD315" s="37" cm="1">
        <f t="array" ref="AD315:AE315">LINEST(G301:G315,D301:D315)</f>
        <v>-12.342857142857133</v>
      </c>
      <c r="AE315" s="37">
        <v>2.8108571428571407</v>
      </c>
      <c r="AF315" s="37" cm="1">
        <f t="array" ref="AF315:AG315">LINEST(G296:G315,D296:D315)</f>
        <v>-15.379849624060146</v>
      </c>
      <c r="AG315" s="37">
        <v>3.4672684210526308</v>
      </c>
      <c r="AH315" s="37" cm="1">
        <f t="array" ref="AH315:AI315">LINEST(G291:G315,D291:D315)</f>
        <v>-15.208615384615385</v>
      </c>
      <c r="AI315" s="37">
        <v>3.4310015384615382</v>
      </c>
      <c r="AJ315" s="37" cm="1">
        <f t="array" ref="AJ315:AK315">LINEST(G286:G315,D286:D315)</f>
        <v>-12.820645161290328</v>
      </c>
      <c r="AK315" s="37">
        <v>2.9266365591397849</v>
      </c>
    </row>
    <row r="316" spans="1:37" x14ac:dyDescent="0.25">
      <c r="A316" s="61">
        <v>502</v>
      </c>
      <c r="B316" s="14">
        <f t="shared" si="4"/>
        <v>310</v>
      </c>
      <c r="C316" s="15">
        <v>43981</v>
      </c>
      <c r="D316" s="16">
        <v>0.22458333333333333</v>
      </c>
      <c r="E316" s="36">
        <v>19.95</v>
      </c>
      <c r="F316" s="36">
        <v>0.41</v>
      </c>
      <c r="G316" s="36">
        <v>0.1</v>
      </c>
      <c r="H316" s="56" cm="1">
        <f t="array" ref="H316:I316">LINEST(E307:E316,D307:D316)</f>
        <v>-1.6145454545453968</v>
      </c>
      <c r="I316" s="56">
        <v>20.295509090909079</v>
      </c>
      <c r="J316" s="56" cm="1">
        <f t="array" ref="J316:K316">LINEST(E302:E316,D302:D316)</f>
        <v>-0.66857142857145213</v>
      </c>
      <c r="K316" s="56">
        <v>20.087650000000004</v>
      </c>
      <c r="L316" s="56" cm="1">
        <f t="array" ref="L316:M316">LINEST(E297:E316,D297:D316)</f>
        <v>-1.0448120300751684</v>
      </c>
      <c r="M316" s="56">
        <v>20.169361654135333</v>
      </c>
      <c r="N316" s="56" cm="1">
        <f t="array" ref="N316:O316">LINEST(E292:E316,D292:D316)</f>
        <v>-7.0726153846153847</v>
      </c>
      <c r="O316" s="56">
        <v>21.466514615384614</v>
      </c>
      <c r="P316" s="56" cm="1">
        <f t="array" ref="P316:Q316">LINEST(E287:E316,D287:D316)</f>
        <v>-6.1155951056729636</v>
      </c>
      <c r="Q316" s="56">
        <v>21.263632777159799</v>
      </c>
      <c r="R316" s="56" cm="1">
        <f t="array" ref="R316:S316">LINEST(F307:F316,D307:D316)</f>
        <v>11.95636363636355</v>
      </c>
      <c r="S316" s="56">
        <v>-2.6004727272727086</v>
      </c>
      <c r="T316" s="56" cm="1">
        <f t="array" ref="T316:U316">LINEST(F302:F316,D302:D316)</f>
        <v>6.8657142857142599</v>
      </c>
      <c r="U316" s="56">
        <v>-1.4758416666666609</v>
      </c>
      <c r="V316" s="56" cm="1">
        <f t="array" ref="V316:W316">LINEST(F297:F316,D297:D316)</f>
        <v>-1.8676691729323309</v>
      </c>
      <c r="W316" s="56">
        <v>0.41030451127819556</v>
      </c>
      <c r="X316" s="56" cm="1">
        <f t="array" ref="X316:Y316">LINEST(F292:F316,D292:D316)</f>
        <v>-12.062769230769229</v>
      </c>
      <c r="Y316" s="56">
        <v>2.5980507692307682</v>
      </c>
      <c r="Z316" s="56" cm="1">
        <f t="array" ref="Z316:AA316">LINEST(F287:F316,D287:D316)</f>
        <v>-13.908253615127924</v>
      </c>
      <c r="AA316" s="56">
        <v>2.9937985168705974</v>
      </c>
      <c r="AB316" s="37" cm="1">
        <f t="array" ref="AB316:AC316">LINEST(G307:G316,D307:D316)</f>
        <v>-11.781818181818172</v>
      </c>
      <c r="AC316" s="37">
        <v>2.6983636363636343</v>
      </c>
      <c r="AD316" s="37" cm="1">
        <f t="array" ref="AD316:AE316">LINEST(G302:G316,D302:D316)</f>
        <v>-10.95428571428571</v>
      </c>
      <c r="AE316" s="37">
        <v>2.5156499999999986</v>
      </c>
      <c r="AF316" s="37" cm="1">
        <f t="array" ref="AF316:AG316">LINEST(G297:G316,D297:D316)</f>
        <v>-14.378345864661654</v>
      </c>
      <c r="AG316" s="37">
        <v>3.259422556390978</v>
      </c>
      <c r="AH316" s="37" cm="1">
        <f t="array" ref="AH316:AI316">LINEST(G292:G316,D292:D316)</f>
        <v>-14.959384615384607</v>
      </c>
      <c r="AI316" s="37">
        <v>3.3843053846153826</v>
      </c>
      <c r="AJ316" s="37" cm="1">
        <f t="array" ref="AJ316:AK316">LINEST(G287:G316,D287:D316)</f>
        <v>-12.931167964404892</v>
      </c>
      <c r="AK316" s="37">
        <v>2.9533721171672225</v>
      </c>
    </row>
    <row r="317" spans="1:37" x14ac:dyDescent="0.25">
      <c r="A317" s="61">
        <v>502</v>
      </c>
      <c r="B317" s="14">
        <f t="shared" si="4"/>
        <v>311</v>
      </c>
      <c r="C317" s="15">
        <v>43981</v>
      </c>
      <c r="D317" s="16">
        <v>0.22597222222222221</v>
      </c>
      <c r="E317" s="36">
        <v>19.989999999999998</v>
      </c>
      <c r="F317" s="36">
        <v>1.23</v>
      </c>
      <c r="G317" s="36">
        <v>0.19</v>
      </c>
      <c r="H317" s="56" cm="1">
        <f t="array" ref="H317:I317">LINEST(E308:E317,D308:D317)</f>
        <v>1.0472727272727289</v>
      </c>
      <c r="I317" s="56">
        <v>19.715890909090906</v>
      </c>
      <c r="J317" s="56" cm="1">
        <f t="array" ref="J317:K317">LINEST(E303:E317,D303:D317)</f>
        <v>7.7142857142812188E-2</v>
      </c>
      <c r="K317" s="56">
        <v>19.930651190476201</v>
      </c>
      <c r="L317" s="56" cm="1">
        <f t="array" ref="L317:M317">LINEST(E298:E317,D298:D317)</f>
        <v>-0.48721804511277611</v>
      </c>
      <c r="M317" s="56">
        <v>20.053669172932327</v>
      </c>
      <c r="N317" s="56" cm="1">
        <f t="array" ref="N317:O317">LINEST(E293:E317,D293:D317)</f>
        <v>-5.8596923076923106</v>
      </c>
      <c r="O317" s="56">
        <v>21.215266153846152</v>
      </c>
      <c r="P317" s="56" cm="1">
        <f t="array" ref="P317:Q317">LINEST(E288:E317,D288:D317)</f>
        <v>-5.9426028921023395</v>
      </c>
      <c r="Q317" s="56">
        <v>21.233852428624395</v>
      </c>
      <c r="R317" s="56" cm="1">
        <f t="array" ref="R317:S317">LINEST(F308:F317,D308:D317)</f>
        <v>82.909090909090764</v>
      </c>
      <c r="S317" s="56">
        <v>-18.132969696969667</v>
      </c>
      <c r="T317" s="56" cm="1">
        <f t="array" ref="T317:U317">LINEST(F303:F317,D303:D317)</f>
        <v>22.037142857142797</v>
      </c>
      <c r="U317" s="56">
        <v>-4.661532142857129</v>
      </c>
      <c r="V317" s="56" cm="1">
        <f t="array" ref="V317:W317">LINEST(F298:F317,D298:D317)</f>
        <v>14.086015037593961</v>
      </c>
      <c r="W317" s="56">
        <v>-2.9361909774436041</v>
      </c>
      <c r="X317" s="56" cm="1">
        <f t="array" ref="X317:Y317">LINEST(F293:F317,D293:D317)</f>
        <v>2.0658461538461474</v>
      </c>
      <c r="Y317" s="56">
        <v>-0.33319307692307548</v>
      </c>
      <c r="Z317" s="56" cm="1">
        <f t="array" ref="Z317:AA317">LINEST(F288:F317,D288:D317)</f>
        <v>-7.9512347052280363</v>
      </c>
      <c r="AA317" s="56">
        <v>1.8166291434927704</v>
      </c>
      <c r="AB317" s="37" cm="1">
        <f t="array" ref="AB317:AC317">LINEST(G308:G317,D308:D317)</f>
        <v>-4.2763636363636532</v>
      </c>
      <c r="AC317" s="37">
        <v>1.061612121212125</v>
      </c>
      <c r="AD317" s="37" cm="1">
        <f t="array" ref="AD317:AE317">LINEST(G303:G317,D303:D317)</f>
        <v>-8.4342857142857124</v>
      </c>
      <c r="AE317" s="37">
        <v>1.9812476190476185</v>
      </c>
      <c r="AF317" s="37" cm="1">
        <f t="array" ref="AF317:AG317">LINEST(G298:G317,D298:D317)</f>
        <v>-12.185864661654133</v>
      </c>
      <c r="AG317" s="37">
        <v>2.8003812030075186</v>
      </c>
      <c r="AH317" s="37" cm="1">
        <f t="array" ref="AH317:AI317">LINEST(G293:G317,D293:D317)</f>
        <v>-13.602461538461537</v>
      </c>
      <c r="AI317" s="37">
        <v>3.1070707692307686</v>
      </c>
      <c r="AJ317" s="37" cm="1">
        <f t="array" ref="AJ317:AK317">LINEST(G288:G317,D288:D317)</f>
        <v>-12.541935483870972</v>
      </c>
      <c r="AK317" s="37">
        <v>2.8808817204301076</v>
      </c>
    </row>
    <row r="318" spans="1:37" x14ac:dyDescent="0.25">
      <c r="A318" s="61">
        <v>502</v>
      </c>
      <c r="B318" s="14">
        <f t="shared" si="4"/>
        <v>312</v>
      </c>
      <c r="C318" s="15">
        <v>43981</v>
      </c>
      <c r="D318" s="16">
        <v>0.22736111111111112</v>
      </c>
      <c r="E318" s="36">
        <v>19.97</v>
      </c>
      <c r="F318" s="36">
        <v>-0.76</v>
      </c>
      <c r="G318" s="36">
        <v>0.12</v>
      </c>
      <c r="H318" s="56" cm="1">
        <f t="array" ref="H318:I318">LINEST(E309:E318,D309:D318)</f>
        <v>2.1818181818181008</v>
      </c>
      <c r="I318" s="56">
        <v>19.465575757575778</v>
      </c>
      <c r="J318" s="56" cm="1">
        <f t="array" ref="J318:K318">LINEST(E304:E318,D304:D318)</f>
        <v>0.74571428571422571</v>
      </c>
      <c r="K318" s="56">
        <v>19.785703571428584</v>
      </c>
      <c r="L318" s="56" cm="1">
        <f t="array" ref="L318:M318">LINEST(E299:E318,D299:D318)</f>
        <v>-5.4135338345887615E-2</v>
      </c>
      <c r="M318" s="56">
        <v>19.961593984962409</v>
      </c>
      <c r="N318" s="56" cm="1">
        <f t="array" ref="N318:O318">LINEST(E294:E318,D294:D318)</f>
        <v>-4.6080000000000156</v>
      </c>
      <c r="O318" s="56">
        <v>20.951280000000004</v>
      </c>
      <c r="P318" s="56" cm="1">
        <f t="array" ref="P318:Q318">LINEST(E289:E318,D289:D318)</f>
        <v>-5.7872302558398374</v>
      </c>
      <c r="Q318" s="56">
        <v>21.206242714126812</v>
      </c>
      <c r="R318" s="56" cm="1">
        <f t="array" ref="R318:S318">LINEST(F309:F318,D309:D318)</f>
        <v>30.850909090908928</v>
      </c>
      <c r="S318" s="56">
        <v>-6.7824787878787527</v>
      </c>
      <c r="T318" s="56" cm="1">
        <f t="array" ref="T318:U318">LINEST(F304:F318,D304:D318)</f>
        <v>17.511428571428478</v>
      </c>
      <c r="U318" s="56">
        <v>-3.8005011904761696</v>
      </c>
      <c r="V318" s="56" cm="1">
        <f t="array" ref="V318:W318">LINEST(F299:F318,D299:D318)</f>
        <v>8.5858646616541083</v>
      </c>
      <c r="W318" s="56">
        <v>-1.8318060150375883</v>
      </c>
      <c r="X318" s="56" cm="1">
        <f t="array" ref="X318:Y318">LINEST(F294:F318,D294:D318)</f>
        <v>-2.9907692307692408</v>
      </c>
      <c r="Y318" s="56">
        <v>0.69133846153846368</v>
      </c>
      <c r="Z318" s="56" cm="1">
        <f t="array" ref="Z318:AA318">LINEST(F289:F318,D289:D318)</f>
        <v>-12.01975528364849</v>
      </c>
      <c r="AA318" s="56">
        <v>2.6374270671116027</v>
      </c>
      <c r="AB318" s="37" cm="1">
        <f t="array" ref="AB318:AC318">LINEST(G309:G318,D309:D318)</f>
        <v>-1.570909090909101</v>
      </c>
      <c r="AC318" s="37">
        <v>0.46334545454545684</v>
      </c>
      <c r="AD318" s="37" cm="1">
        <f t="array" ref="AD318:AE318">LINEST(G304:G318,D304:D318)</f>
        <v>-6.3771428571428563</v>
      </c>
      <c r="AE318" s="37">
        <v>1.5339142857142853</v>
      </c>
      <c r="AF318" s="37" cm="1">
        <f t="array" ref="AF318:AG318">LINEST(G299:G318,D299:D318)</f>
        <v>-10.556390977443606</v>
      </c>
      <c r="AG318" s="37">
        <v>2.4528270676691726</v>
      </c>
      <c r="AH318" s="37" cm="1">
        <f t="array" ref="AH318:AI318">LINEST(G294:G318,D294:D318)</f>
        <v>-12.732923076923077</v>
      </c>
      <c r="AI318" s="37">
        <v>2.9271561538461541</v>
      </c>
      <c r="AJ318" s="37" cm="1">
        <f t="array" ref="AJ318:AK318">LINEST(G289:G318,D289:D318)</f>
        <v>-12.477864293659623</v>
      </c>
      <c r="AK318" s="37">
        <v>2.873024100852799</v>
      </c>
    </row>
    <row r="319" spans="1:37" x14ac:dyDescent="0.25">
      <c r="A319" s="61">
        <v>502</v>
      </c>
      <c r="B319" s="14">
        <f t="shared" si="4"/>
        <v>313</v>
      </c>
      <c r="C319" s="15">
        <v>43981</v>
      </c>
      <c r="D319" s="16">
        <v>0.22875000000000001</v>
      </c>
      <c r="E319" s="36">
        <v>19.98</v>
      </c>
      <c r="F319" s="36">
        <v>0.41</v>
      </c>
      <c r="G319" s="36">
        <v>0.14000000000000001</v>
      </c>
      <c r="H319" s="56" cm="1">
        <f t="array" ref="H319:I319">LINEST(E310:E319,D310:D319)</f>
        <v>3.5345454545453623</v>
      </c>
      <c r="I319" s="56">
        <v>19.164563636363656</v>
      </c>
      <c r="J319" s="56" cm="1">
        <f t="array" ref="J319:K319">LINEST(E305:E319,D305:D319)</f>
        <v>1.1571428571428244</v>
      </c>
      <c r="K319" s="56">
        <v>19.697220238095245</v>
      </c>
      <c r="L319" s="56" cm="1">
        <f t="array" ref="L319:M319">LINEST(E300:E319,D300:D319)</f>
        <v>0.48180451127815976</v>
      </c>
      <c r="M319" s="56">
        <v>19.84664436090226</v>
      </c>
      <c r="N319" s="56" cm="1">
        <f t="array" ref="N319:O319">LINEST(E295:E319,D295:D319)</f>
        <v>-3.1015384615384685</v>
      </c>
      <c r="O319" s="56">
        <v>20.629784615384615</v>
      </c>
      <c r="P319" s="56" cm="1">
        <f t="array" ref="P319:Q319">LINEST(E290:E319,D290:D319)</f>
        <v>-5.5005116796440658</v>
      </c>
      <c r="Q319" s="56">
        <v>21.150801186503525</v>
      </c>
      <c r="R319" s="56" cm="1">
        <f t="array" ref="R319:S319">LINEST(F310:F319,D310:D319)</f>
        <v>37.309090909090806</v>
      </c>
      <c r="S319" s="56">
        <v>-8.2082727272727052</v>
      </c>
      <c r="T319" s="56" cm="1">
        <f t="array" ref="T319:U319">LINEST(F305:F319,D305:D319)</f>
        <v>12.754285714285633</v>
      </c>
      <c r="U319" s="56">
        <v>-2.7175428571428393</v>
      </c>
      <c r="V319" s="56" cm="1">
        <f t="array" ref="V319:W319">LINEST(F300:F319,D300:D319)</f>
        <v>16.289323308270635</v>
      </c>
      <c r="W319" s="56">
        <v>-3.4997541353383363</v>
      </c>
      <c r="X319" s="56" cm="1">
        <f t="array" ref="X319:Y319">LINEST(F295:F319,D295:D319)</f>
        <v>1.1187692307692212</v>
      </c>
      <c r="Y319" s="56">
        <v>-0.17207230769230564</v>
      </c>
      <c r="Z319" s="56" cm="1">
        <f t="array" ref="Z319:AA319">LINEST(F290:F319,D290:D319)</f>
        <v>-10.482046718576198</v>
      </c>
      <c r="AA319" s="56">
        <v>2.34000474601409</v>
      </c>
      <c r="AB319" s="37" cm="1">
        <f t="array" ref="AB319:AC319">LINEST(G310:G319,D310:D319)</f>
        <v>1.4836363636363683</v>
      </c>
      <c r="AC319" s="37">
        <v>-0.21610909090909197</v>
      </c>
      <c r="AD319" s="37" cm="1">
        <f t="array" ref="AD319:AE319">LINEST(G305:G319,D305:D319)</f>
        <v>-4.9628571428571444</v>
      </c>
      <c r="AE319" s="37">
        <v>1.2276702380952385</v>
      </c>
      <c r="AF319" s="37" cm="1">
        <f t="array" ref="AF319:AG319">LINEST(G300:G319,D300:D319)</f>
        <v>-8.4992481203007486</v>
      </c>
      <c r="AG319" s="37">
        <v>2.0100601503759385</v>
      </c>
      <c r="AH319" s="37" cm="1">
        <f t="array" ref="AH319:AI319">LINEST(G295:G319,D295:D319)</f>
        <v>-11.658461538461534</v>
      </c>
      <c r="AI319" s="37">
        <v>2.7029653846153829</v>
      </c>
      <c r="AJ319" s="37" cm="1">
        <f t="array" ref="AJ319:AK319">LINEST(G290:G319,D290:D319)</f>
        <v>-12.304872080088991</v>
      </c>
      <c r="AK319" s="37">
        <v>2.84359970337412</v>
      </c>
    </row>
    <row r="320" spans="1:37" x14ac:dyDescent="0.25">
      <c r="A320" s="61">
        <v>502</v>
      </c>
      <c r="B320" s="14">
        <f t="shared" si="4"/>
        <v>314</v>
      </c>
      <c r="C320" s="15">
        <v>43981</v>
      </c>
      <c r="D320" s="16">
        <v>0.23013888888888889</v>
      </c>
      <c r="E320" s="36">
        <v>19.96</v>
      </c>
      <c r="F320" s="36">
        <v>-0.6</v>
      </c>
      <c r="G320" s="36">
        <v>0.08</v>
      </c>
      <c r="H320" s="56" cm="1">
        <f t="array" ref="H320:I320">LINEST(E311:E320,D311:D320)</f>
        <v>3.8399999999998915</v>
      </c>
      <c r="I320" s="56">
        <v>19.092266666666692</v>
      </c>
      <c r="J320" s="56" cm="1">
        <f t="array" ref="J320:K320">LINEST(E306:E320,D306:D320)</f>
        <v>1.1057142857142905</v>
      </c>
      <c r="K320" s="56">
        <v>19.708282142857144</v>
      </c>
      <c r="L320" s="56" cm="1">
        <f t="array" ref="L320:M320">LINEST(E301:E320,D301:D320)</f>
        <v>0.68751879699245855</v>
      </c>
      <c r="M320" s="56">
        <v>19.801346616541355</v>
      </c>
      <c r="N320" s="56" cm="1">
        <f t="array" ref="N320:O320">LINEST(E296:E320,D296:D320)</f>
        <v>-1.611692307692302</v>
      </c>
      <c r="O320" s="56">
        <v>20.30685153846154</v>
      </c>
      <c r="P320" s="56" cm="1">
        <f t="array" ref="P320:Q320">LINEST(E291:E320,D291:D320)</f>
        <v>-5.1224916573971235</v>
      </c>
      <c r="Q320" s="56">
        <v>21.073723248053398</v>
      </c>
      <c r="R320" s="56" cm="1">
        <f t="array" ref="R320:S320">LINEST(F311:F320,D311:D320)</f>
        <v>13.789090909090712</v>
      </c>
      <c r="S320" s="56">
        <v>-3.0712242424241984</v>
      </c>
      <c r="T320" s="56" cm="1">
        <f t="array" ref="T320:U320">LINEST(F306:F320,D306:D320)</f>
        <v>-3.8571428571429101</v>
      </c>
      <c r="U320" s="56">
        <v>0.89551190476191622</v>
      </c>
      <c r="V320" s="56" cm="1">
        <f t="array" ref="V320:W320">LINEST(F301:F320,D301:D320)</f>
        <v>6.7993984962405776</v>
      </c>
      <c r="W320" s="56">
        <v>-1.4800917293233029</v>
      </c>
      <c r="X320" s="56" cm="1">
        <f t="array" ref="X320:Y320">LINEST(F296:F320,D296:D320)</f>
        <v>-2.9076923076923156</v>
      </c>
      <c r="Y320" s="56">
        <v>0.65711153846154025</v>
      </c>
      <c r="Z320" s="56" cm="1">
        <f t="array" ref="Z320:AA320">LINEST(F291:F320,D291:D320)</f>
        <v>-9.6282981090100268</v>
      </c>
      <c r="AA320" s="56">
        <v>2.1209426028921055</v>
      </c>
      <c r="AB320" s="37" cm="1">
        <f t="array" ref="AB320:AC320">LINEST(G311:G320,D311:D320)</f>
        <v>2.356363636363636</v>
      </c>
      <c r="AC320" s="37">
        <v>-0.42156363636363625</v>
      </c>
      <c r="AD320" s="37" cm="1">
        <f t="array" ref="AD320:AE320">LINEST(G306:G320,D306:D320)</f>
        <v>-4.8342857142857136</v>
      </c>
      <c r="AE320" s="37">
        <v>1.1982238095238091</v>
      </c>
      <c r="AF320" s="37" cm="1">
        <f t="array" ref="AF320:AG320">LINEST(G301:G320,D301:D320)</f>
        <v>-7.3245112781954855</v>
      </c>
      <c r="AG320" s="37">
        <v>1.7525120300751873</v>
      </c>
      <c r="AH320" s="37" cm="1">
        <f t="array" ref="AH320:AI320">LINEST(G296:G320,D296:D320)</f>
        <v>-11.004923076923074</v>
      </c>
      <c r="AI320" s="37">
        <v>2.5644453846153841</v>
      </c>
      <c r="AJ320" s="37" cm="1">
        <f t="array" ref="AJ320:AK320">LINEST(G291:G320,D291:D320)</f>
        <v>-12.109454949944389</v>
      </c>
      <c r="AK320" s="37">
        <v>2.8056522061549884</v>
      </c>
    </row>
    <row r="321" spans="1:37" x14ac:dyDescent="0.25">
      <c r="A321" s="61">
        <v>502</v>
      </c>
      <c r="B321" s="14">
        <f t="shared" si="4"/>
        <v>315</v>
      </c>
      <c r="C321" s="15">
        <v>43981</v>
      </c>
      <c r="D321" s="16">
        <v>0.23152777777777778</v>
      </c>
      <c r="E321" s="36">
        <v>19.96</v>
      </c>
      <c r="F321" s="36">
        <v>-0.12</v>
      </c>
      <c r="G321" s="36">
        <v>7.0000000000000007E-2</v>
      </c>
      <c r="H321" s="56" cm="1">
        <f t="array" ref="H321:I321">LINEST(E312:E321,D312:D321)</f>
        <v>3.5781818181817751</v>
      </c>
      <c r="I321" s="56">
        <v>19.147915151515161</v>
      </c>
      <c r="J321" s="56" cm="1">
        <f t="array" ref="J321:K321">LINEST(E307:E321,D307:D321)</f>
        <v>1.2085714285714322</v>
      </c>
      <c r="K321" s="56">
        <v>19.684598809523809</v>
      </c>
      <c r="L321" s="56" cm="1">
        <f t="array" ref="L321:M321">LINEST(E302:E321,D302:D321)</f>
        <v>0.77954887218042401</v>
      </c>
      <c r="M321" s="56">
        <v>19.780798496240607</v>
      </c>
      <c r="N321" s="56" cm="1">
        <f t="array" ref="N321:O321">LINEST(E297:E321,D297:D321)</f>
        <v>7.7538461538463554E-2</v>
      </c>
      <c r="O321" s="56">
        <v>19.936539999999994</v>
      </c>
      <c r="P321" s="56" cm="1">
        <f t="array" ref="P321:Q321">LINEST(E292:E321,D292:D321)</f>
        <v>-4.5939043381535107</v>
      </c>
      <c r="Q321" s="56">
        <v>20.963100333704123</v>
      </c>
      <c r="R321" s="56" cm="1">
        <f t="array" ref="R321:S321">LINEST(F312:F321,D312:D321)</f>
        <v>-10.08000000000019</v>
      </c>
      <c r="S321" s="56">
        <v>2.3118000000000434</v>
      </c>
      <c r="T321" s="56" cm="1">
        <f t="array" ref="T321:U321">LINEST(F307:F321,D307:D321)</f>
        <v>-1.5942857142857625</v>
      </c>
      <c r="U321" s="56">
        <v>0.37095476190477261</v>
      </c>
      <c r="V321" s="56" cm="1">
        <f t="array" ref="V321:W321">LINEST(F302:F321,D302:D321)</f>
        <v>1.4670676691729125</v>
      </c>
      <c r="W321" s="56">
        <v>-0.31280977443608587</v>
      </c>
      <c r="X321" s="56" cm="1">
        <f t="array" ref="X321:Y321">LINEST(F297:F321,D297:D321)</f>
        <v>-1.9052307692307771</v>
      </c>
      <c r="Y321" s="56">
        <v>0.42816000000000165</v>
      </c>
      <c r="Z321" s="56" cm="1">
        <f t="array" ref="Z321:AA321">LINEST(F292:F321,D292:D321)</f>
        <v>-8.952347052280313</v>
      </c>
      <c r="AA321" s="56">
        <v>1.9727600296625882</v>
      </c>
      <c r="AB321" s="37" cm="1">
        <f t="array" ref="AB321:AC321">LINEST(G312:G321,D312:D321)</f>
        <v>1.6145454545454525</v>
      </c>
      <c r="AC321" s="37">
        <v>-0.26272121212121169</v>
      </c>
      <c r="AD321" s="37" cm="1">
        <f t="array" ref="AD321:AE321">LINEST(G307:G321,D307:D321)</f>
        <v>-4.5771428571428574</v>
      </c>
      <c r="AE321" s="37">
        <v>1.1392357142857146</v>
      </c>
      <c r="AF321" s="37" cm="1">
        <f t="array" ref="AF321:AG321">LINEST(G302:G321,D302:D321)</f>
        <v>-6.6207518796992462</v>
      </c>
      <c r="AG321" s="37">
        <v>1.5970308270676687</v>
      </c>
      <c r="AH321" s="37" cm="1">
        <f t="array" ref="AH321:AI321">LINEST(G297:G321,D297:D321)</f>
        <v>-10.279384615384615</v>
      </c>
      <c r="AI321" s="37">
        <v>2.4086400000000001</v>
      </c>
      <c r="AJ321" s="37" cm="1">
        <f t="array" ref="AJ321:AK321">LINEST(G292:G321,D292:D321)</f>
        <v>-11.825939933259177</v>
      </c>
      <c r="AK321" s="37">
        <v>2.7482056358917317</v>
      </c>
    </row>
    <row r="322" spans="1:37" x14ac:dyDescent="0.25">
      <c r="A322" s="61">
        <v>502</v>
      </c>
      <c r="B322" s="14">
        <f t="shared" si="4"/>
        <v>316</v>
      </c>
      <c r="C322" s="15">
        <v>43981</v>
      </c>
      <c r="D322" s="16">
        <v>0.23291666666666666</v>
      </c>
      <c r="E322" s="36">
        <v>19.940000000000001</v>
      </c>
      <c r="F322" s="36">
        <v>-0.46</v>
      </c>
      <c r="G322" s="36">
        <v>0.03</v>
      </c>
      <c r="H322" s="56" cm="1">
        <f t="array" ref="H322:I322">LINEST(E313:E322,D313:D322)</f>
        <v>2.3563636363636813</v>
      </c>
      <c r="I322" s="56">
        <v>19.419890909090899</v>
      </c>
      <c r="J322" s="56" cm="1">
        <f t="array" ref="J322:K322">LINEST(E308:E322,D308:D322)</f>
        <v>1.1314285714286101</v>
      </c>
      <c r="K322" s="56">
        <v>19.698804761904746</v>
      </c>
      <c r="L322" s="56" cm="1">
        <f t="array" ref="L322:M322">LINEST(E303:E322,D303:D322)</f>
        <v>0.54135338345863993</v>
      </c>
      <c r="M322" s="56">
        <v>19.832052631578946</v>
      </c>
      <c r="N322" s="56" cm="1">
        <f t="array" ref="N322:O322">LINEST(E298:E322,D298:D322)</f>
        <v>3.8769230769244489E-2</v>
      </c>
      <c r="O322" s="56">
        <v>19.944016153846153</v>
      </c>
      <c r="P322" s="56" cm="1">
        <f t="array" ref="P322:Q322">LINEST(E293:E322,D293:D322)</f>
        <v>-3.9515906562847563</v>
      </c>
      <c r="Q322" s="56">
        <v>20.825144011865035</v>
      </c>
      <c r="R322" s="56" cm="1">
        <f t="array" ref="R322:S322">LINEST(F313:F322,D313:D322)</f>
        <v>-28.843636363636538</v>
      </c>
      <c r="S322" s="56">
        <v>6.5268909090909482</v>
      </c>
      <c r="T322" s="56" cm="1">
        <f t="array" ref="T322:U322">LINEST(F308:F322,D308:D322)</f>
        <v>-0.46285714285717472</v>
      </c>
      <c r="U322" s="56">
        <v>5.7307142857149954E-2</v>
      </c>
      <c r="V322" s="56" cm="1">
        <f t="array" ref="V322:W322">LINEST(F303:F322,D303:D322)</f>
        <v>-7.292030075187987</v>
      </c>
      <c r="W322" s="56">
        <v>1.6037210526315826</v>
      </c>
      <c r="X322" s="56" cm="1">
        <f t="array" ref="X322:Y322">LINEST(F298:F322,D298:D322)</f>
        <v>-2.9187692307692399</v>
      </c>
      <c r="Y322" s="56">
        <v>0.61878384615384818</v>
      </c>
      <c r="Z322" s="56" cm="1">
        <f t="array" ref="Z322:AA322">LINEST(F293:F322,D293:D322)</f>
        <v>-6.8956618464961075</v>
      </c>
      <c r="AA322" s="56">
        <v>1.4989102706711162</v>
      </c>
      <c r="AB322" s="37" cm="1">
        <f t="array" ref="AB322:AC322">LINEST(G313:G322,D313:D322)</f>
        <v>-0.74181818181818382</v>
      </c>
      <c r="AC322" s="37">
        <v>0.26114545454545501</v>
      </c>
      <c r="AD322" s="37" cm="1">
        <f t="array" ref="AD322:AE322">LINEST(G308:G322,D308:D322)</f>
        <v>-4.0885714285714307</v>
      </c>
      <c r="AE322" s="37">
        <v>1.0232130952380958</v>
      </c>
      <c r="AF322" s="37" cm="1">
        <f t="array" ref="AF322:AG322">LINEST(G303:G322,D303:D322)</f>
        <v>-6.6369924812030074</v>
      </c>
      <c r="AG322" s="37">
        <v>1.598294736842105</v>
      </c>
      <c r="AH322" s="37" cm="1">
        <f t="array" ref="AH322:AI322">LINEST(G298:G322,D298:D322)</f>
        <v>-9.6812307692307691</v>
      </c>
      <c r="AI322" s="37">
        <v>2.2771661538461538</v>
      </c>
      <c r="AJ322" s="37" cm="1">
        <f t="array" ref="AJ322:AK322">LINEST(G293:G322,D293:D322)</f>
        <v>-11.391857619577305</v>
      </c>
      <c r="AK322" s="37">
        <v>2.6552674823878379</v>
      </c>
    </row>
    <row r="323" spans="1:37" x14ac:dyDescent="0.25">
      <c r="A323" s="61">
        <v>502</v>
      </c>
      <c r="B323" s="14">
        <f t="shared" si="4"/>
        <v>317</v>
      </c>
      <c r="C323" s="15">
        <v>43981</v>
      </c>
      <c r="D323" s="16">
        <v>0.23430555555555554</v>
      </c>
      <c r="E323" s="36">
        <v>19.940000000000001</v>
      </c>
      <c r="F323" s="36">
        <v>0.02</v>
      </c>
      <c r="G323" s="36">
        <v>0.03</v>
      </c>
      <c r="H323" s="56" cm="1">
        <f t="array" ref="H323:I323">LINEST(E314:E323,D314:D323)</f>
        <v>0.65454545454551238</v>
      </c>
      <c r="I323" s="56">
        <v>19.80572727272726</v>
      </c>
      <c r="J323" s="56" cm="1">
        <f t="array" ref="J323:K323">LINEST(E309:E323,D309:D323)</f>
        <v>0.90000000000004066</v>
      </c>
      <c r="K323" s="56">
        <v>19.748541666666657</v>
      </c>
      <c r="L323" s="56" cm="1">
        <f t="array" ref="L323:M323">LINEST(E304:E323,D304:D323)</f>
        <v>0.53052631578948306</v>
      </c>
      <c r="M323" s="56">
        <v>19.832694736842104</v>
      </c>
      <c r="N323" s="56" cm="1">
        <f t="array" ref="N323:O323">LINEST(E299:E323,D299:D323)</f>
        <v>8.3076923076933831E-2</v>
      </c>
      <c r="O323" s="56">
        <v>19.933119230769229</v>
      </c>
      <c r="P323" s="56" cm="1">
        <f t="array" ref="P323:Q323">LINEST(E294:E323,D294:D323)</f>
        <v>-3.1859399332591702</v>
      </c>
      <c r="Q323" s="56">
        <v>20.65865546903968</v>
      </c>
      <c r="R323" s="56" cm="1">
        <f t="array" ref="R323:S323">LINEST(F314:F323,D314:D323)</f>
        <v>-49.178181818182004</v>
      </c>
      <c r="S323" s="56">
        <v>11.252357575757621</v>
      </c>
      <c r="T323" s="56" cm="1">
        <f t="array" ref="T323:U323">LINEST(F309:F323,D309:D323)</f>
        <v>-4.705714285714337</v>
      </c>
      <c r="U323" s="56">
        <v>1.0328250000000117</v>
      </c>
      <c r="V323" s="56" cm="1">
        <f t="array" ref="V323:W323">LINEST(F304:F323,D304:D323)</f>
        <v>0.15699248120298717</v>
      </c>
      <c r="W323" s="56">
        <v>-6.4212781954882725E-2</v>
      </c>
      <c r="X323" s="56" cm="1">
        <f t="array" ref="X323:Y323">LINEST(F299:F323,D299:D323)</f>
        <v>-0.31015384615385422</v>
      </c>
      <c r="Y323" s="56">
        <v>4.3101538461540204E-2</v>
      </c>
      <c r="Z323" s="56" cm="1">
        <f t="array" ref="Z323:AA323">LINEST(F294:F323,D294:D323)</f>
        <v>-6.1636484983314812</v>
      </c>
      <c r="AA323" s="56">
        <v>1.3460480533926589</v>
      </c>
      <c r="AB323" s="37" cm="1">
        <f t="array" ref="AB323:AC323">LINEST(G314:G323,D314:D323)</f>
        <v>-4.3200000000000021</v>
      </c>
      <c r="AC323" s="37">
        <v>1.0742000000000007</v>
      </c>
      <c r="AD323" s="37" cm="1">
        <f t="array" ref="AD323:AE323">LINEST(G309:G323,D309:D323)</f>
        <v>-4.1142857142857183</v>
      </c>
      <c r="AE323" s="37">
        <v>1.0246666666666677</v>
      </c>
      <c r="AF323" s="37" cm="1">
        <f t="array" ref="AF323:AG323">LINEST(G304:G323,D304:D323)</f>
        <v>-6.0631578947368441</v>
      </c>
      <c r="AG323" s="37">
        <v>1.4676315789473688</v>
      </c>
      <c r="AH323" s="37" cm="1">
        <f t="array" ref="AH323:AI323">LINEST(G299:G323,D299:D323)</f>
        <v>-8.927999999999999</v>
      </c>
      <c r="AI323" s="37">
        <v>2.1106799999999999</v>
      </c>
      <c r="AJ323" s="37" cm="1">
        <f t="array" ref="AJ323:AK323">LINEST(G294:G323,D294:D323)</f>
        <v>-10.943359288097884</v>
      </c>
      <c r="AK323" s="37">
        <v>2.5590361142009637</v>
      </c>
    </row>
    <row r="324" spans="1:37" x14ac:dyDescent="0.25">
      <c r="A324" s="61">
        <v>502</v>
      </c>
      <c r="B324" s="14">
        <f t="shared" si="4"/>
        <v>318</v>
      </c>
      <c r="C324" s="15">
        <v>43981</v>
      </c>
      <c r="D324" s="16">
        <v>0.23569444444444443</v>
      </c>
      <c r="E324" s="36">
        <v>19.940000000000001</v>
      </c>
      <c r="F324" s="36">
        <v>0.1</v>
      </c>
      <c r="G324" s="36">
        <v>0.03</v>
      </c>
      <c r="H324" s="56" cm="1">
        <f t="array" ref="H324:I324">LINEST(E315:E324,D315:D324)</f>
        <v>-1.6145454545453024</v>
      </c>
      <c r="I324" s="56">
        <v>20.32744848484845</v>
      </c>
      <c r="J324" s="56" cm="1">
        <f t="array" ref="J324:K324">LINEST(E310:E324,D310:D324)</f>
        <v>0.69428571428575114</v>
      </c>
      <c r="K324" s="56">
        <v>19.793110714285707</v>
      </c>
      <c r="L324" s="56" cm="1">
        <f t="array" ref="L324:M324">LINEST(E305:E324,D305:D324)</f>
        <v>0.31398496240604462</v>
      </c>
      <c r="M324" s="56">
        <v>19.880138345864651</v>
      </c>
      <c r="N324" s="56" cm="1">
        <f t="array" ref="N324:O324">LINEST(E300:E324,D300:D324)</f>
        <v>0.14400000000000662</v>
      </c>
      <c r="O324" s="56">
        <v>19.91846</v>
      </c>
      <c r="P324" s="56" cm="1">
        <f t="array" ref="P324:Q324">LINEST(E295:E324,D295:D324)</f>
        <v>-2.2937486095661699</v>
      </c>
      <c r="Q324" s="56">
        <v>20.462430255839827</v>
      </c>
      <c r="R324" s="56" cm="1">
        <f t="array" ref="R324:S324">LINEST(F315:F324,D315:D324)</f>
        <v>-58.560000000000258</v>
      </c>
      <c r="S324" s="56">
        <v>13.504266666666725</v>
      </c>
      <c r="T324" s="56" cm="1">
        <f t="array" ref="T324:U324">LINEST(F310:F324,D310:D324)</f>
        <v>-4.6542857142857832</v>
      </c>
      <c r="U324" s="56">
        <v>1.0430726190476347</v>
      </c>
      <c r="V324" s="56" cm="1">
        <f t="array" ref="V324:W324">LINEST(F305:F324,D305:D324)</f>
        <v>-4.6556390977443805</v>
      </c>
      <c r="W324" s="56">
        <v>1.0398796992481247</v>
      </c>
      <c r="X324" s="56" cm="1">
        <f t="array" ref="X324:Y324">LINEST(F300:F324,D300:D324)</f>
        <v>2.9963076923076866</v>
      </c>
      <c r="Y324" s="56">
        <v>-0.68947461538461396</v>
      </c>
      <c r="Z324" s="56" cm="1">
        <f t="array" ref="Z324:AA324">LINEST(F295:F324,D295:D324)</f>
        <v>-4.4096996662958885</v>
      </c>
      <c r="AA324" s="56">
        <v>0.9695352614015581</v>
      </c>
      <c r="AB324" s="37" cm="1">
        <f t="array" ref="AB324:AC324">LINEST(G315:G324,D315:D324)</f>
        <v>-8.509090909090915</v>
      </c>
      <c r="AC324" s="37">
        <v>2.0393636363636376</v>
      </c>
      <c r="AD324" s="37" cm="1">
        <f t="array" ref="AD324:AE324">LINEST(G310:G324,D310:D324)</f>
        <v>-4.1657142857142899</v>
      </c>
      <c r="AE324" s="37">
        <v>1.0333357142857151</v>
      </c>
      <c r="AF324" s="37" cm="1">
        <f t="array" ref="AF324:AG324">LINEST(G305:G324,D305:D324)</f>
        <v>-6.0036090225563923</v>
      </c>
      <c r="AG324" s="37">
        <v>1.4533030075187972</v>
      </c>
      <c r="AH324" s="37" cm="1">
        <f t="array" ref="AH324:AI324">LINEST(G300:G324,D300:D324)</f>
        <v>-8.0252307692307667</v>
      </c>
      <c r="AI324" s="37">
        <v>1.9097484615384606</v>
      </c>
      <c r="AJ324" s="37" cm="1">
        <f t="array" ref="AJ324:AK324">LINEST(G295:G324,D295:D324)</f>
        <v>-10.440400444938826</v>
      </c>
      <c r="AK324" s="37">
        <v>2.4504863181312579</v>
      </c>
    </row>
    <row r="325" spans="1:37" x14ac:dyDescent="0.25">
      <c r="A325" s="61">
        <v>502</v>
      </c>
      <c r="B325" s="14">
        <f t="shared" si="4"/>
        <v>319</v>
      </c>
      <c r="C325" s="15">
        <v>43981</v>
      </c>
      <c r="D325" s="16">
        <v>0.23708333333333331</v>
      </c>
      <c r="E325" s="36">
        <v>19.95</v>
      </c>
      <c r="F325" s="36">
        <v>0.2</v>
      </c>
      <c r="G325" s="36">
        <v>0.04</v>
      </c>
      <c r="H325" s="56" cm="1">
        <f t="array" ref="H325:I325">LINEST(E316:E325,D316:D325)</f>
        <v>-2.7054545454543968</v>
      </c>
      <c r="I325" s="56">
        <v>20.582509090909056</v>
      </c>
      <c r="J325" s="56" cm="1">
        <f t="array" ref="J325:K325">LINEST(E311:E325,D311:D325)</f>
        <v>0.69428571428570607</v>
      </c>
      <c r="K325" s="56">
        <v>19.792146428571428</v>
      </c>
      <c r="L325" s="56" cm="1">
        <f t="array" ref="L325:M325">LINEST(E306:E325,D306:D325)</f>
        <v>0.20030075187972834</v>
      </c>
      <c r="M325" s="56">
        <v>19.905654887218038</v>
      </c>
      <c r="N325" s="56" cm="1">
        <f t="array" ref="N325:O325">LINEST(E301:E325,D301:D325)</f>
        <v>0.21600000000000219</v>
      </c>
      <c r="O325" s="56">
        <v>19.901989999999998</v>
      </c>
      <c r="P325" s="56" cm="1">
        <f t="array" ref="P325:Q325">LINEST(E296:E325,D296:D325)</f>
        <v>-1.2750166852057698</v>
      </c>
      <c r="Q325" s="56">
        <v>20.236607786429367</v>
      </c>
      <c r="R325" s="56" cm="1">
        <f t="array" ref="R325:S325">LINEST(F316:F325,D316:D325)</f>
        <v>-35.040000000000276</v>
      </c>
      <c r="S325" s="56">
        <v>8.1314000000000632</v>
      </c>
      <c r="T325" s="56" cm="1">
        <f t="array" ref="T325:U325">LINEST(F311:F325,D311:D325)</f>
        <v>2.7771428571427981</v>
      </c>
      <c r="U325" s="56">
        <v>-0.63808095238093909</v>
      </c>
      <c r="V325" s="56" cm="1">
        <f t="array" ref="V325:W325">LINEST(F306:F325,D306:D325)</f>
        <v>-4.2766917293233346</v>
      </c>
      <c r="W325" s="56">
        <v>0.9785037593985022</v>
      </c>
      <c r="X325" s="56" cm="1">
        <f t="array" ref="X325:Y325">LINEST(F301:F325,D301:D325)</f>
        <v>2.8412307692307581</v>
      </c>
      <c r="Y325" s="56">
        <v>-0.64065461538461288</v>
      </c>
      <c r="Z325" s="56" cm="1">
        <f t="array" ref="Z325:AA325">LINEST(F296:F325,D296:D325)</f>
        <v>-3.0674082313681912</v>
      </c>
      <c r="AA325" s="56">
        <v>0.68712384130515491</v>
      </c>
      <c r="AB325" s="37" cm="1">
        <f t="array" ref="AB325:AC325">LINEST(G316:G325,D316:D325)</f>
        <v>-10.690909090909109</v>
      </c>
      <c r="AC325" s="37">
        <v>2.5508181818181863</v>
      </c>
      <c r="AD325" s="37" cm="1">
        <f t="array" ref="AD325:AE325">LINEST(G311:G325,D311:D325)</f>
        <v>-3.7028571428571482</v>
      </c>
      <c r="AE325" s="37">
        <v>0.92588571428571576</v>
      </c>
      <c r="AF325" s="37" cm="1">
        <f t="array" ref="AF325:AG325">LINEST(G306:G325,D306:D325)</f>
        <v>-5.8628571428571465</v>
      </c>
      <c r="AG325" s="37">
        <v>1.4221285714285721</v>
      </c>
      <c r="AH325" s="37" cm="1">
        <f t="array" ref="AH325:AI325">LINEST(G301:G325,D301:D325)</f>
        <v>-7.200000000000002</v>
      </c>
      <c r="AI325" s="37">
        <v>1.7258000000000004</v>
      </c>
      <c r="AJ325" s="37" cm="1">
        <f t="array" ref="AJ325:AK325">LINEST(G296:G325,D296:D325)</f>
        <v>-9.8925917686318172</v>
      </c>
      <c r="AK325" s="37">
        <v>2.332142825361514</v>
      </c>
    </row>
    <row r="326" spans="1:37" x14ac:dyDescent="0.25">
      <c r="A326" s="61">
        <v>502</v>
      </c>
      <c r="B326" s="14">
        <f t="shared" si="4"/>
        <v>320</v>
      </c>
      <c r="C326" s="15">
        <v>43981</v>
      </c>
      <c r="D326" s="16">
        <v>0.23847222222222222</v>
      </c>
      <c r="E326" s="36">
        <v>19.96</v>
      </c>
      <c r="F326" s="36">
        <v>0.18</v>
      </c>
      <c r="G326" s="36">
        <v>0.06</v>
      </c>
      <c r="H326" s="56" cm="1">
        <f t="array" ref="H326:I326">LINEST(E317:E326,D317:D326)</f>
        <v>-3.0109090909089593</v>
      </c>
      <c r="I326" s="56">
        <v>20.658199999999969</v>
      </c>
      <c r="J326" s="56" cm="1">
        <f t="array" ref="J326:K326">LINEST(E312:E326,D312:D326)</f>
        <v>0.66857142857144303</v>
      </c>
      <c r="K326" s="56">
        <v>19.798397619047613</v>
      </c>
      <c r="L326" s="56" cm="1">
        <f t="array" ref="L326:M326">LINEST(E307:E326,D307:D326)</f>
        <v>0.2923308270676937</v>
      </c>
      <c r="M326" s="56">
        <v>19.885144360902245</v>
      </c>
      <c r="N326" s="56" cm="1">
        <f t="array" ref="N326:O326">LINEST(E302:E326,D302:D326)</f>
        <v>0.28799999999999759</v>
      </c>
      <c r="O326" s="56">
        <v>19.886119999999998</v>
      </c>
      <c r="P326" s="56" cm="1">
        <f t="array" ref="P326:Q326">LINEST(E297:E326,D297:D326)</f>
        <v>-8.3292547274737616E-2</v>
      </c>
      <c r="Q326" s="56">
        <v>19.970185539488323</v>
      </c>
      <c r="R326" s="56" cm="1">
        <f t="array" ref="R326:S326">LINEST(F317:F326,D317:D326)</f>
        <v>-12.043636363636503</v>
      </c>
      <c r="S326" s="56">
        <v>2.8168000000000326</v>
      </c>
      <c r="T326" s="56" cm="1">
        <f t="array" ref="T326:U326">LINEST(F312:F326,D312:D326)</f>
        <v>-1.3371428571429209</v>
      </c>
      <c r="U326" s="56">
        <v>0.3358714285714432</v>
      </c>
      <c r="V326" s="56" cm="1">
        <f t="array" ref="V326:W326">LINEST(F307:F326,D307:D326)</f>
        <v>0.53052631578945209</v>
      </c>
      <c r="W326" s="56">
        <v>-0.10451578947367937</v>
      </c>
      <c r="X326" s="56" cm="1">
        <f t="array" ref="X326:Y326">LINEST(F302:F326,D302:D326)</f>
        <v>1.5729230769230651</v>
      </c>
      <c r="Y326" s="56">
        <v>-0.3412830769230743</v>
      </c>
      <c r="Z326" s="56" cm="1">
        <f t="array" ref="Z326:AA326">LINEST(F297:F326,D297:D326)</f>
        <v>-0.85054505005562486</v>
      </c>
      <c r="AA326" s="56">
        <v>0.20270233592881143</v>
      </c>
      <c r="AB326" s="37" cm="1">
        <f t="array" ref="AB326:AC326">LINEST(G317:G326,D317:D326)</f>
        <v>-10.778181818181828</v>
      </c>
      <c r="AC326" s="37">
        <v>2.5819333333333359</v>
      </c>
      <c r="AD326" s="37" cm="1">
        <f t="array" ref="AD326:AE326">LINEST(G312:G326,D312:D326)</f>
        <v>-3.3942857142857168</v>
      </c>
      <c r="AE326" s="37">
        <v>0.85644285714285795</v>
      </c>
      <c r="AF326" s="37" cm="1">
        <f t="array" ref="AF326:AG326">LINEST(G307:G326,D307:D326)</f>
        <v>-5.3431578947368452</v>
      </c>
      <c r="AG326" s="37">
        <v>1.3061947368421063</v>
      </c>
      <c r="AH326" s="37" cm="1">
        <f t="array" ref="AH326:AI326">LINEST(G302:G326,D302:D326)</f>
        <v>-6.4910769230769247</v>
      </c>
      <c r="AI326" s="37">
        <v>1.5685569230769234</v>
      </c>
      <c r="AJ326" s="37" cm="1">
        <f t="array" ref="AJ326:AK326">LINEST(G297:G326,D297:D326)</f>
        <v>-9.1669855394883246</v>
      </c>
      <c r="AK326" s="37">
        <v>2.1744585094549511</v>
      </c>
    </row>
    <row r="327" spans="1:37" x14ac:dyDescent="0.25">
      <c r="A327" s="61">
        <v>502</v>
      </c>
      <c r="B327" s="14">
        <f t="shared" si="4"/>
        <v>321</v>
      </c>
      <c r="C327" s="15">
        <v>43981</v>
      </c>
      <c r="D327" s="16">
        <v>0.23986111111111111</v>
      </c>
      <c r="E327" s="36">
        <v>19.95</v>
      </c>
      <c r="F327" s="36">
        <v>-0.34</v>
      </c>
      <c r="G327" s="36">
        <v>0.02</v>
      </c>
      <c r="H327" s="56" cm="1">
        <f t="array" ref="H327:I327">LINEST(E318:E327,D318:D327)</f>
        <v>-1.8763636363636353</v>
      </c>
      <c r="I327" s="56">
        <v>20.393339393939392</v>
      </c>
      <c r="J327" s="56" cm="1">
        <f t="array" ref="J327:K327">LINEST(E313:E327,D313:D327)</f>
        <v>0.41142857142858197</v>
      </c>
      <c r="K327" s="56">
        <v>19.857314285714281</v>
      </c>
      <c r="L327" s="56" cm="1">
        <f t="array" ref="L327:M327">LINEST(E308:E327,D308:D327)</f>
        <v>0.384360902255659</v>
      </c>
      <c r="M327" s="56">
        <v>19.863378195488711</v>
      </c>
      <c r="N327" s="56" cm="1">
        <f t="array" ref="N327:O327">LINEST(E303:E327,D303:D327)</f>
        <v>0.21599999999999639</v>
      </c>
      <c r="O327" s="56">
        <v>19.902189999999997</v>
      </c>
      <c r="P327" s="56" cm="1">
        <f t="array" ref="P327:Q327">LINEST(E298:E327,D298:D327)</f>
        <v>-5.2858731924350644E-2</v>
      </c>
      <c r="Q327" s="56">
        <v>19.963280904708938</v>
      </c>
      <c r="R327" s="56" cm="1">
        <f t="array" ref="R327:S327">LINEST(F318:F327,D318:D327)</f>
        <v>31.898181818181833</v>
      </c>
      <c r="S327" s="56">
        <v>-7.5887696969697007</v>
      </c>
      <c r="T327" s="56" cm="1">
        <f t="array" ref="T327:U327">LINEST(F313:F327,D313:D327)</f>
        <v>-7.3800000000000709</v>
      </c>
      <c r="U327" s="56">
        <v>1.7017583333333497</v>
      </c>
      <c r="V327" s="56" cm="1">
        <f t="array" ref="V327:W327">LINEST(F308:F327,D308:D327)</f>
        <v>2.2790977443608869</v>
      </c>
      <c r="W327" s="56">
        <v>-0.54309548872180113</v>
      </c>
      <c r="X327" s="56" cm="1">
        <f t="array" ref="X327:Y327">LINEST(F303:F327,D303:D327)</f>
        <v>-3.2400000000000126</v>
      </c>
      <c r="Y327" s="56">
        <v>0.73075000000000279</v>
      </c>
      <c r="Z327" s="56" cm="1">
        <f t="array" ref="Z327:AA327">LINEST(F298:F327,D298:D327)</f>
        <v>-1.0043159065628544</v>
      </c>
      <c r="AA327" s="56">
        <v>0.21567052280311608</v>
      </c>
      <c r="AB327" s="37" cm="1">
        <f t="array" ref="AB327:AC327">LINEST(G318:G327,D318:D327)</f>
        <v>-7.7672727272727329</v>
      </c>
      <c r="AC327" s="37">
        <v>1.8765212121212136</v>
      </c>
      <c r="AD327" s="37" cm="1">
        <f t="array" ref="AD327:AE327">LINEST(G313:G327,D313:D327)</f>
        <v>-3.8571428571428594</v>
      </c>
      <c r="AE327" s="37">
        <v>0.96167857142857205</v>
      </c>
      <c r="AF327" s="37" cm="1">
        <f t="array" ref="AF327:AG327">LINEST(G308:G327,D308:D327)</f>
        <v>-4.7422556390977482</v>
      </c>
      <c r="AG327" s="37">
        <v>1.1669112781954898</v>
      </c>
      <c r="AH327" s="37" cm="1">
        <f t="array" ref="AH327:AI327">LINEST(G303:G327,D303:D327)</f>
        <v>-6.2695384615384615</v>
      </c>
      <c r="AI327" s="37">
        <v>1.5185261538461536</v>
      </c>
      <c r="AJ327" s="37" cm="1">
        <f t="array" ref="AJ327:AK327">LINEST(G298:G327,D298:D327)</f>
        <v>-8.5519021134594002</v>
      </c>
      <c r="AK327" s="37">
        <v>2.0380429365962183</v>
      </c>
    </row>
    <row r="328" spans="1:37" x14ac:dyDescent="0.25">
      <c r="A328" s="61">
        <v>502</v>
      </c>
      <c r="B328" s="14">
        <f t="shared" si="4"/>
        <v>322</v>
      </c>
      <c r="C328" s="15">
        <v>43981</v>
      </c>
      <c r="D328" s="16">
        <v>0.24124999999999999</v>
      </c>
      <c r="E328" s="36">
        <v>19.96</v>
      </c>
      <c r="F328" s="36">
        <v>0.49</v>
      </c>
      <c r="G328" s="36">
        <v>0.06</v>
      </c>
      <c r="H328" s="56" cm="1">
        <f t="array" ref="H328:I328">LINEST(E319:E328,D319:D328)</f>
        <v>-0.96000000000005425</v>
      </c>
      <c r="I328" s="56">
        <v>20.179600000000015</v>
      </c>
      <c r="J328" s="56" cm="1">
        <f t="array" ref="J328:K328">LINEST(E314:E328,D314:D328)</f>
        <v>0.10285714285715078</v>
      </c>
      <c r="K328" s="56">
        <v>19.93018571428571</v>
      </c>
      <c r="L328" s="56" cm="1">
        <f t="array" ref="L328:M328">LINEST(E309:E328,D309:D328)</f>
        <v>0.47639097744362435</v>
      </c>
      <c r="M328" s="56">
        <v>19.842356390977436</v>
      </c>
      <c r="N328" s="56" cm="1">
        <f t="array" ref="N328:O328">LINEST(E304:E328,D304:D328)</f>
        <v>0.34892307692308017</v>
      </c>
      <c r="O328" s="56">
        <v>19.872037692307689</v>
      </c>
      <c r="P328" s="56" cm="1">
        <f t="array" ref="P328:Q328">LINEST(E299:E328,D299:D328)</f>
        <v>7.6885428253620755E-2</v>
      </c>
      <c r="Q328" s="56">
        <v>19.934333110863928</v>
      </c>
      <c r="R328" s="56" cm="1">
        <f t="array" ref="R328:S328">LINEST(F319:F328,D319:D328)</f>
        <v>26.618181818181842</v>
      </c>
      <c r="S328" s="56">
        <v>-6.2672727272727329</v>
      </c>
      <c r="T328" s="56" cm="1">
        <f t="array" ref="T328:U328">LINEST(F314:F328,D314:D328)</f>
        <v>-8.151428571428621</v>
      </c>
      <c r="U328" s="56">
        <v>1.9539488095238213</v>
      </c>
      <c r="V328" s="56" cm="1">
        <f t="array" ref="V328:W328">LINEST(F309:F328,D309:D328)</f>
        <v>4.3687218045112584</v>
      </c>
      <c r="W328" s="56">
        <v>-0.98281127819548442</v>
      </c>
      <c r="X328" s="56" cm="1">
        <f t="array" ref="X328:Y328">LINEST(F304:F328,D304:D328)</f>
        <v>4.5193846153846016</v>
      </c>
      <c r="Y328" s="56">
        <v>-1.0133784615384585</v>
      </c>
      <c r="Z328" s="56" cm="1">
        <f t="array" ref="Z328:AA328">LINEST(F299:F328,D299:D328)</f>
        <v>2.9088320355950974</v>
      </c>
      <c r="AA328" s="56">
        <v>-0.64250841675936043</v>
      </c>
      <c r="AB328" s="37" cm="1">
        <f t="array" ref="AB328:AC328">LINEST(G319:G328,D319:D328)</f>
        <v>-5.0618181818181798</v>
      </c>
      <c r="AC328" s="37">
        <v>1.2455272727272724</v>
      </c>
      <c r="AD328" s="37" cm="1">
        <f t="array" ref="AD328:AE328">LINEST(G314:G328,D314:D328)</f>
        <v>-4.1914285714285722</v>
      </c>
      <c r="AE328" s="37">
        <v>1.0437654761904767</v>
      </c>
      <c r="AF328" s="37" cm="1">
        <f t="array" ref="AF328:AG328">LINEST(G309:G328,D309:D328)</f>
        <v>-4.0709774436090251</v>
      </c>
      <c r="AG328" s="37">
        <v>1.0144090225563918</v>
      </c>
      <c r="AH328" s="37" cm="1">
        <f t="array" ref="AH328:AI328">LINEST(G304:G328,D304:D328)</f>
        <v>-5.4332307692307733</v>
      </c>
      <c r="AI328" s="37">
        <v>1.330213076923078</v>
      </c>
      <c r="AJ328" s="37" cm="1">
        <f t="array" ref="AJ328:AK328">LINEST(G299:G328,D299:D328)</f>
        <v>-7.6661179087875384</v>
      </c>
      <c r="AK328" s="37">
        <v>1.841730515387467</v>
      </c>
    </row>
    <row r="329" spans="1:37" x14ac:dyDescent="0.25">
      <c r="A329" s="61">
        <v>502</v>
      </c>
      <c r="B329" s="14">
        <f t="shared" ref="B329:B392" si="5">B328+1</f>
        <v>323</v>
      </c>
      <c r="C329" s="15">
        <v>43981</v>
      </c>
      <c r="D329" s="16">
        <v>0.24263888888888888</v>
      </c>
      <c r="E329" s="36">
        <v>20.02</v>
      </c>
      <c r="F329" s="36">
        <v>1.71</v>
      </c>
      <c r="G329" s="36">
        <v>0.19</v>
      </c>
      <c r="H329" s="56" cm="1">
        <f t="array" ref="H329:I329">LINEST(E320:E329,D320:D329)</f>
        <v>2.879999999999896</v>
      </c>
      <c r="I329" s="56">
        <v>19.277200000000025</v>
      </c>
      <c r="J329" s="56" cm="1">
        <f t="array" ref="J329:K329">LINEST(E315:E329,D315:D329)</f>
        <v>0.59142857142859195</v>
      </c>
      <c r="K329" s="56">
        <v>19.822913095238089</v>
      </c>
      <c r="L329" s="56" cm="1">
        <f t="array" ref="L329:M329">LINEST(E310:E329,D310:D329)</f>
        <v>1.1747368421052602</v>
      </c>
      <c r="M329" s="56">
        <v>19.684963157894732</v>
      </c>
      <c r="N329" s="56" cm="1">
        <f t="array" ref="N329:O329">LINEST(E305:E329,D305:D329)</f>
        <v>0.73661538461538922</v>
      </c>
      <c r="O329" s="56">
        <v>19.787145384615378</v>
      </c>
      <c r="P329" s="56" cm="1">
        <f t="array" ref="P329:Q329">LINEST(E300:E329,D300:D329)</f>
        <v>0.4885428253615075</v>
      </c>
      <c r="Q329" s="56">
        <v>19.844299221357065</v>
      </c>
      <c r="R329" s="56" cm="1">
        <f t="array" ref="R329:S329">LINEST(F320:F329,D320:D329)</f>
        <v>114.50181818181818</v>
      </c>
      <c r="S329" s="56">
        <v>-26.948957575757579</v>
      </c>
      <c r="T329" s="56" cm="1">
        <f t="array" ref="T329:U329">LINEST(F315:F329,D315:D329)</f>
        <v>15.737142857142807</v>
      </c>
      <c r="U329" s="56">
        <v>-3.4707761904761791</v>
      </c>
      <c r="V329" s="56" cm="1">
        <f t="array" ref="V329:W329">LINEST(F310:F329,D310:D329)</f>
        <v>20.187067669172929</v>
      </c>
      <c r="W329" s="56">
        <v>-4.5263105263157897</v>
      </c>
      <c r="X329" s="56" cm="1">
        <f t="array" ref="X329:Y329">LINEST(F305:F329,D305:D329)</f>
        <v>11.758153846153826</v>
      </c>
      <c r="Y329" s="56">
        <v>-2.5642161538461496</v>
      </c>
      <c r="Z329" s="56" cm="1">
        <f t="array" ref="Z329:AA329">LINEST(F300:F329,D300:D329)</f>
        <v>12.434616240266955</v>
      </c>
      <c r="AA329" s="56">
        <v>-2.7197021134593973</v>
      </c>
      <c r="AB329" s="37" cm="1">
        <f t="array" ref="AB329:AC329">LINEST(G320:G329,D320:D329)</f>
        <v>4.2327272727272787</v>
      </c>
      <c r="AC329" s="37">
        <v>-0.93956969696969839</v>
      </c>
      <c r="AD329" s="37" cm="1">
        <f t="array" ref="AD329:AE329">LINEST(G315:G329,D315:D329)</f>
        <v>-2.5714285714285716</v>
      </c>
      <c r="AE329" s="37">
        <v>0.68159523809523814</v>
      </c>
      <c r="AF329" s="37" cm="1">
        <f t="array" ref="AF329:AG329">LINEST(G310:G329,D310:D329)</f>
        <v>-2.1600000000000019</v>
      </c>
      <c r="AG329" s="37">
        <v>0.58310000000000051</v>
      </c>
      <c r="AH329" s="37" cm="1">
        <f t="array" ref="AH329:AI329">LINEST(G305:G329,D305:D329)</f>
        <v>-4.109538461538464</v>
      </c>
      <c r="AI329" s="37">
        <v>1.037441538461539</v>
      </c>
      <c r="AJ329" s="37" cm="1">
        <f t="array" ref="AJ329:AK329">LINEST(G300:G329,D300:D329)</f>
        <v>-6.1075862068965527</v>
      </c>
      <c r="AK329" s="37">
        <v>1.4979379310344829</v>
      </c>
    </row>
    <row r="330" spans="1:37" x14ac:dyDescent="0.25">
      <c r="A330" s="61">
        <v>502</v>
      </c>
      <c r="B330" s="14">
        <f t="shared" si="5"/>
        <v>324</v>
      </c>
      <c r="C330" s="15">
        <v>43981</v>
      </c>
      <c r="D330" s="16">
        <v>0.24402777777777776</v>
      </c>
      <c r="E330" s="36">
        <v>20.04</v>
      </c>
      <c r="F330" s="36">
        <v>0.54</v>
      </c>
      <c r="G330" s="36">
        <v>0.22</v>
      </c>
      <c r="H330" s="56" cm="1">
        <f t="array" ref="H330:I330">LINEST(E321:E330,D321:D330)</f>
        <v>6.1963636363634915</v>
      </c>
      <c r="I330" s="56">
        <v>18.492642424242458</v>
      </c>
      <c r="J330" s="56" cm="1">
        <f t="array" ref="J330:K330">LINEST(E316:E330,D316:D330)</f>
        <v>1.5942857142857367</v>
      </c>
      <c r="K330" s="56">
        <v>19.593783333333327</v>
      </c>
      <c r="L330" s="56" cm="1">
        <f t="array" ref="L330:M330">LINEST(E311:E330,D311:D330)</f>
        <v>2.0030075187969651</v>
      </c>
      <c r="M330" s="56">
        <v>19.496639097744364</v>
      </c>
      <c r="N330" s="56" cm="1">
        <f t="array" ref="N330:O330">LINEST(E306:E330,D306:D330)</f>
        <v>1.2129230769230814</v>
      </c>
      <c r="O330" s="56">
        <v>19.681828461538458</v>
      </c>
      <c r="P330" s="56" cm="1">
        <f t="array" ref="P330:Q330">LINEST(E301:E330,D301:D330)</f>
        <v>0.92743047830922398</v>
      </c>
      <c r="Q330" s="56">
        <v>19.748025287356324</v>
      </c>
      <c r="R330" s="56" cm="1">
        <f t="array" ref="R330:S330">LINEST(F321:F330,D321:D330)</f>
        <v>96.610909090909104</v>
      </c>
      <c r="S330" s="56">
        <v>-22.739927272727275</v>
      </c>
      <c r="T330" s="56" cm="1">
        <f t="array" ref="T330:U330">LINEST(F316:F330,D316:D330)</f>
        <v>27.205714285714237</v>
      </c>
      <c r="U330" s="56">
        <v>-6.173783333333323</v>
      </c>
      <c r="V330" s="56" cm="1">
        <f t="array" ref="V330:W330">LINEST(F311:F330,D311:D330)</f>
        <v>25.389473684210532</v>
      </c>
      <c r="W330" s="56">
        <v>-5.736736842105266</v>
      </c>
      <c r="X330" s="56" cm="1">
        <f t="array" ref="X330:Y330">LINEST(F306:F330,D306:D330)</f>
        <v>13.054153846153827</v>
      </c>
      <c r="Y330" s="56">
        <v>-2.8480069230769192</v>
      </c>
      <c r="Z330" s="56" cm="1">
        <f t="array" ref="Z330:AA330">LINEST(F301:F330,D301:D330)</f>
        <v>13.150611790878742</v>
      </c>
      <c r="AA330" s="56">
        <v>-2.8702758620689628</v>
      </c>
      <c r="AB330" s="37" cm="1">
        <f t="array" ref="AB330:AC330">LINEST(G321:G330,D321:D330)</f>
        <v>11.38909090909091</v>
      </c>
      <c r="AC330" s="37">
        <v>-2.6330727272727277</v>
      </c>
      <c r="AD330" s="37" cm="1">
        <f t="array" ref="AD330:AE330">LINEST(G316:G330,D316:D330)</f>
        <v>-0.15428571428571458</v>
      </c>
      <c r="AE330" s="37">
        <v>0.1281500000000001</v>
      </c>
      <c r="AF330" s="37" cm="1">
        <f t="array" ref="AF330:AG330">LINEST(G311:G330,D311:D330)</f>
        <v>2.7067669172932032E-2</v>
      </c>
      <c r="AG330" s="37">
        <v>8.4251879699248203E-2</v>
      </c>
      <c r="AH330" s="37" cm="1">
        <f t="array" ref="AH330:AI330">LINEST(G306:G330,D306:D330)</f>
        <v>-2.713846153846156</v>
      </c>
      <c r="AI330" s="37">
        <v>0.72662307692307759</v>
      </c>
      <c r="AJ330" s="37" cm="1">
        <f t="array" ref="AJ330:AK330">LINEST(G301:G330,D301:D330)</f>
        <v>-4.5842936596218031</v>
      </c>
      <c r="AK330" s="37">
        <v>1.1603724137931035</v>
      </c>
    </row>
    <row r="331" spans="1:37" x14ac:dyDescent="0.25">
      <c r="A331" s="61">
        <v>502</v>
      </c>
      <c r="B331" s="14">
        <f t="shared" si="5"/>
        <v>325</v>
      </c>
      <c r="C331" s="15">
        <v>43981</v>
      </c>
      <c r="D331" s="16">
        <v>0.24541666666666664</v>
      </c>
      <c r="E331" s="36">
        <v>20</v>
      </c>
      <c r="F331" s="36">
        <v>-1.2</v>
      </c>
      <c r="G331" s="36">
        <v>0.11</v>
      </c>
      <c r="H331" s="56" cm="1">
        <f t="array" ref="H331:I331">LINEST(E322:E331,D322:D331)</f>
        <v>7.2436363636362282</v>
      </c>
      <c r="I331" s="56">
        <v>18.237563636363671</v>
      </c>
      <c r="J331" s="56" cm="1">
        <f t="array" ref="J331:K331">LINEST(E317:E331,D317:D331)</f>
        <v>1.8257142857142903</v>
      </c>
      <c r="K331" s="56">
        <v>19.540355952380949</v>
      </c>
      <c r="L331" s="56" cm="1">
        <f t="array" ref="L331:M331">LINEST(E312:E331,D312:D331)</f>
        <v>2.2087218045112582</v>
      </c>
      <c r="M331" s="56">
        <v>19.449085714285715</v>
      </c>
      <c r="N331" s="56" cm="1">
        <f t="array" ref="N331:O331">LINEST(E307:E331,D307:D331)</f>
        <v>1.4399999999999966</v>
      </c>
      <c r="O331" s="56">
        <v>19.630199999999995</v>
      </c>
      <c r="P331" s="56" cm="1">
        <f t="array" ref="P331:Q331">LINEST(E302:E331,D302:D331)</f>
        <v>1.1052280311457034</v>
      </c>
      <c r="Q331" s="56">
        <v>19.708350018539118</v>
      </c>
      <c r="R331" s="56" cm="1">
        <f t="array" ref="R331:S331">LINEST(F322:F331,D322:D331)</f>
        <v>23.476363636363704</v>
      </c>
      <c r="S331" s="56">
        <v>-5.4907636363636527</v>
      </c>
      <c r="T331" s="56" cm="1">
        <f t="array" ref="T331:U331">LINEST(F317:F331,D317:D331)</f>
        <v>6.2999999999999874</v>
      </c>
      <c r="U331" s="56">
        <v>-1.391541666666664</v>
      </c>
      <c r="V331" s="56" cm="1">
        <f t="array" ref="V331:W331">LINEST(F312:F331,D312:D331)</f>
        <v>6.1551879699248069</v>
      </c>
      <c r="W331" s="56">
        <v>-1.3468714285714276</v>
      </c>
      <c r="X331" s="56" cm="1">
        <f t="array" ref="X331:Y331">LINEST(F307:F331,D307:D331)</f>
        <v>5.577230769230761</v>
      </c>
      <c r="Y331" s="56">
        <v>-1.2157915384615368</v>
      </c>
      <c r="Z331" s="56" cm="1">
        <f t="array" ref="Z331:AA331">LINEST(F302:F331,D302:D331)</f>
        <v>5.0279866518353655</v>
      </c>
      <c r="AA331" s="56">
        <v>-1.0863603262884671</v>
      </c>
      <c r="AB331" s="37" cm="1">
        <f t="array" ref="AB331:AC331">LINEST(G322:G331,D322:D331)</f>
        <v>12.523636363636367</v>
      </c>
      <c r="AC331" s="37">
        <v>-2.9162363636363642</v>
      </c>
      <c r="AD331" s="37" cm="1">
        <f t="array" ref="AD331:AE331">LINEST(G317:G331,D317:D331)</f>
        <v>0.33428571428571513</v>
      </c>
      <c r="AE331" s="37">
        <v>1.3877380952380766E-2</v>
      </c>
      <c r="AF331" s="37" cm="1">
        <f t="array" ref="AF331:AG331">LINEST(G312:G331,D312:D331)</f>
        <v>0.56300751879699307</v>
      </c>
      <c r="AG331" s="37">
        <v>-4.0742857142857289E-2</v>
      </c>
      <c r="AH331" s="37" cm="1">
        <f t="array" ref="AH331:AI331">LINEST(G307:G331,D307:D331)</f>
        <v>-2.0603076923076959</v>
      </c>
      <c r="AI331" s="37">
        <v>0.57729538461538554</v>
      </c>
      <c r="AJ331" s="37" cm="1">
        <f t="array" ref="AJ331:AK331">LINEST(G302:G331,D302:D331)</f>
        <v>-3.8218464961067897</v>
      </c>
      <c r="AK331" s="37">
        <v>0.98831041898405736</v>
      </c>
    </row>
    <row r="332" spans="1:37" x14ac:dyDescent="0.25">
      <c r="A332" s="61">
        <v>502</v>
      </c>
      <c r="B332" s="14">
        <f t="shared" si="5"/>
        <v>326</v>
      </c>
      <c r="C332" s="15">
        <v>43981</v>
      </c>
      <c r="D332" s="16">
        <v>0.24680555555555558</v>
      </c>
      <c r="E332" s="36">
        <v>20</v>
      </c>
      <c r="F332" s="36">
        <v>0.2</v>
      </c>
      <c r="G332" s="36">
        <v>0.11</v>
      </c>
      <c r="H332" s="56" cm="1">
        <f t="array" ref="H332:I332">LINEST(E323:E332,D323:D332)</f>
        <v>6.9818181818180651</v>
      </c>
      <c r="I332" s="56">
        <v>18.296484848484877</v>
      </c>
      <c r="J332" s="56" cm="1">
        <f t="array" ref="J332:K332">LINEST(E318:E332,D318:D332)</f>
        <v>2.7514285714285394</v>
      </c>
      <c r="K332" s="56">
        <v>19.319015476190483</v>
      </c>
      <c r="L332" s="56" cm="1">
        <f t="array" ref="L332:M332">LINEST(E313:E332,D313:D332)</f>
        <v>2.3494736842105142</v>
      </c>
      <c r="M332" s="56">
        <v>19.416136842105264</v>
      </c>
      <c r="N332" s="56" cm="1">
        <f t="array" ref="N332:O332">LINEST(E308:E332,D308:D332)</f>
        <v>1.7113846153846157</v>
      </c>
      <c r="O332" s="56">
        <v>19.56734384615384</v>
      </c>
      <c r="P332" s="56" cm="1">
        <f t="array" ref="P332:Q332">LINEST(E303:E332,D303:D332)</f>
        <v>1.2173526140155615</v>
      </c>
      <c r="Q332" s="56">
        <v>19.68340007415647</v>
      </c>
      <c r="R332" s="56" cm="1">
        <f t="array" ref="R332:S332">LINEST(F323:F332,D323:D332)</f>
        <v>-1.5709090909090322</v>
      </c>
      <c r="S332" s="56">
        <v>0.56789090909089501</v>
      </c>
      <c r="T332" s="56" cm="1">
        <f t="array" ref="T332:U332">LINEST(F318:F332,D318:D332)</f>
        <v>31.602857142857161</v>
      </c>
      <c r="U332" s="56">
        <v>-7.4678440476190531</v>
      </c>
      <c r="V332" s="56" cm="1">
        <f t="array" ref="V332:W332">LINEST(F313:F332,D313:D332)</f>
        <v>7.1079699248120196</v>
      </c>
      <c r="W332" s="56">
        <v>-1.5710007518796971</v>
      </c>
      <c r="X332" s="56" cm="1">
        <f t="array" ref="X332:Y332">LINEST(F308:F332,D308:D332)</f>
        <v>9.603692307692306</v>
      </c>
      <c r="Y332" s="56">
        <v>-2.161783076923077</v>
      </c>
      <c r="Z332" s="56" cm="1">
        <f t="array" ref="Z332:AA332">LINEST(F303:F332,D303:D332)</f>
        <v>3.8234482758620643</v>
      </c>
      <c r="AA332" s="56">
        <v>-0.80231494252873448</v>
      </c>
      <c r="AB332" s="37" cm="1">
        <f t="array" ref="AB332:AC332">LINEST(G323:G332,D323:D332)</f>
        <v>11.389090909090879</v>
      </c>
      <c r="AC332" s="37">
        <v>-2.6527090909090831</v>
      </c>
      <c r="AD332" s="37" cm="1">
        <f t="array" ref="AD332:AE332">LINEST(G318:G332,D318:D332)</f>
        <v>2.648571428571433</v>
      </c>
      <c r="AE332" s="37">
        <v>-0.54059880952381067</v>
      </c>
      <c r="AF332" s="37" cm="1">
        <f t="array" ref="AF332:AG332">LINEST(G313:G332,D313:D332)</f>
        <v>0.99609022556391025</v>
      </c>
      <c r="AG332" s="37">
        <v>-0.14269774436090235</v>
      </c>
      <c r="AH332" s="37" cm="1">
        <f t="array" ref="AH332:AI332">LINEST(G308:G332,D308:D332)</f>
        <v>-1.1409230769230791</v>
      </c>
      <c r="AI332" s="37">
        <v>0.36377076923076979</v>
      </c>
      <c r="AJ332" s="37" cm="1">
        <f t="array" ref="AJ332:AK332">LINEST(G303:G332,D303:D332)</f>
        <v>-3.2436040044493901</v>
      </c>
      <c r="AK332" s="37">
        <v>0.85755024100852839</v>
      </c>
    </row>
    <row r="333" spans="1:37" x14ac:dyDescent="0.25">
      <c r="A333" s="61">
        <v>502</v>
      </c>
      <c r="B333" s="14">
        <f t="shared" si="5"/>
        <v>327</v>
      </c>
      <c r="C333" s="15">
        <v>43981</v>
      </c>
      <c r="D333" s="16">
        <v>0.24819444444444447</v>
      </c>
      <c r="E333" s="36">
        <v>20</v>
      </c>
      <c r="F333" s="36">
        <v>-0.2</v>
      </c>
      <c r="G333" s="36">
        <v>0.09</v>
      </c>
      <c r="H333" s="56" cm="1">
        <f t="array" ref="H333:I333">LINEST(E324:E333,D324:D333)</f>
        <v>6.1963636363635555</v>
      </c>
      <c r="I333" s="56">
        <v>18.482824242424261</v>
      </c>
      <c r="J333" s="56" cm="1">
        <f t="array" ref="J333:K333">LINEST(E319:E333,D319:D333)</f>
        <v>3.2399999999999296</v>
      </c>
      <c r="K333" s="56">
        <v>19.200683333333352</v>
      </c>
      <c r="L333" s="56" cm="1">
        <f t="array" ref="L333:M333">LINEST(E314:E333,D314:D333)</f>
        <v>2.3115789473684001</v>
      </c>
      <c r="M333" s="56">
        <v>19.425278947368426</v>
      </c>
      <c r="N333" s="56" cm="1">
        <f t="array" ref="N333:O333">LINEST(E309:E333,D309:D333)</f>
        <v>1.8886153846153777</v>
      </c>
      <c r="O333" s="56">
        <v>19.525933076923074</v>
      </c>
      <c r="P333" s="56" cm="1">
        <f t="array" ref="P333:Q333">LINEST(E304:E333,D304:D333)</f>
        <v>1.4095661846496008</v>
      </c>
      <c r="Q333" s="56">
        <v>19.639207267334076</v>
      </c>
      <c r="R333" s="56" cm="1">
        <f t="array" ref="R333:S333">LINEST(F324:F333,D324:D333)</f>
        <v>-25.047272727272635</v>
      </c>
      <c r="S333" s="56">
        <v>6.2280484848484621</v>
      </c>
      <c r="T333" s="56" cm="1">
        <f t="array" ref="T333:U333">LINEST(F319:F333,D319:D333)</f>
        <v>11.417142857142842</v>
      </c>
      <c r="U333" s="56">
        <v>-2.6606714285714257</v>
      </c>
      <c r="V333" s="56" cm="1">
        <f t="array" ref="V333:W333">LINEST(F314:F333,D314:D333)</f>
        <v>-2.1166917293233238</v>
      </c>
      <c r="W333" s="56">
        <v>0.59992255639098124</v>
      </c>
      <c r="X333" s="56" cm="1">
        <f t="array" ref="X333:Y333">LINEST(F309:F333,D309:D333)</f>
        <v>5.3723076923076825</v>
      </c>
      <c r="Y333" s="56">
        <v>-1.1910384615384595</v>
      </c>
      <c r="Z333" s="56" cm="1">
        <f t="array" ref="Z333:AA333">LINEST(F304:F333,D304:D333)</f>
        <v>5.454060066740813</v>
      </c>
      <c r="AA333" s="56">
        <v>-1.2074953652206133</v>
      </c>
      <c r="AB333" s="37" cm="1">
        <f t="array" ref="AB333:AC333">LINEST(G324:G333,D324:D333)</f>
        <v>8.7709090909090452</v>
      </c>
      <c r="AC333" s="37">
        <v>-2.029072727272716</v>
      </c>
      <c r="AD333" s="37" cm="1">
        <f t="array" ref="AD333:AE333">LINEST(G319:G333,D319:D333)</f>
        <v>3.3685714285714266</v>
      </c>
      <c r="AE333" s="37">
        <v>-0.71797738095238051</v>
      </c>
      <c r="AF333" s="37" cm="1">
        <f t="array" ref="AF333:AG333">LINEST(G314:G333,D314:D333)</f>
        <v>0.76872180451127803</v>
      </c>
      <c r="AG333" s="37">
        <v>-8.964962406015034E-2</v>
      </c>
      <c r="AH333" s="37" cm="1">
        <f t="array" ref="AH333:AI333">LINEST(G309:G333,D309:D333)</f>
        <v>-0.64800000000000113</v>
      </c>
      <c r="AI333" s="37">
        <v>0.24763000000000032</v>
      </c>
      <c r="AJ333" s="37" cm="1">
        <f t="array" ref="AJ333:AK333">LINEST(G304:G333,D304:D333)</f>
        <v>-2.5612458286985551</v>
      </c>
      <c r="AK333" s="37">
        <v>0.699773007044865</v>
      </c>
    </row>
    <row r="334" spans="1:37" x14ac:dyDescent="0.25">
      <c r="A334" s="61">
        <v>502</v>
      </c>
      <c r="B334" s="14">
        <f t="shared" si="5"/>
        <v>328</v>
      </c>
      <c r="C334" s="15">
        <v>43981</v>
      </c>
      <c r="D334" s="16">
        <v>0.24958333333333335</v>
      </c>
      <c r="E334" s="36">
        <v>19.989999999999998</v>
      </c>
      <c r="F334" s="36">
        <v>-0.13</v>
      </c>
      <c r="G334" s="36">
        <v>7.0000000000000007E-2</v>
      </c>
      <c r="H334" s="56" cm="1">
        <f t="array" ref="H334:I334">LINEST(E325:E334,D325:D334)</f>
        <v>4.4945454545453734</v>
      </c>
      <c r="I334" s="56">
        <v>18.893327272727294</v>
      </c>
      <c r="J334" s="56" cm="1">
        <f t="array" ref="J334:K334">LINEST(E320:E334,D320:D334)</f>
        <v>3.67714285714275</v>
      </c>
      <c r="K334" s="56">
        <v>19.091996428571456</v>
      </c>
      <c r="L334" s="56" cm="1">
        <f t="array" ref="L334:M334">LINEST(E315:E334,D315:D334)</f>
        <v>1.9813533834586241</v>
      </c>
      <c r="M334" s="56">
        <v>19.503630075187978</v>
      </c>
      <c r="N334" s="56" cm="1">
        <f t="array" ref="N334:O334">LINEST(E310:E334,D310:D334)</f>
        <v>1.9716923076922825</v>
      </c>
      <c r="O334" s="56">
        <v>19.505560000000003</v>
      </c>
      <c r="P334" s="56" cm="1">
        <f t="array" ref="P334:Q334">LINEST(E305:E334,D305:D334)</f>
        <v>1.4432035595105541</v>
      </c>
      <c r="Q334" s="56">
        <v>19.631198294401187</v>
      </c>
      <c r="R334" s="56" cm="1">
        <f t="array" ref="R334:S334">LINEST(F325:F334,D325:D334)</f>
        <v>-40.014545454545313</v>
      </c>
      <c r="S334" s="56">
        <v>9.8818727272726914</v>
      </c>
      <c r="T334" s="56" cm="1">
        <f t="array" ref="T334:U334">LINEST(F320:F334,D320:D334)</f>
        <v>15.119999999999949</v>
      </c>
      <c r="U334" s="56">
        <v>-3.6006999999999882</v>
      </c>
      <c r="V334" s="56" cm="1">
        <f t="array" ref="V334:W334">LINEST(F315:F334,D315:D334)</f>
        <v>-8.0607518796992625</v>
      </c>
      <c r="W334" s="56">
        <v>2.0119721804511315</v>
      </c>
      <c r="X334" s="56" cm="1">
        <f t="array" ref="X334:Y334">LINEST(F310:F334,D310:D334)</f>
        <v>2.8412307692307546</v>
      </c>
      <c r="Y334" s="56">
        <v>-0.60896999999999679</v>
      </c>
      <c r="Z334" s="56" cm="1">
        <f t="array" ref="Z334:AA334">LINEST(F305:F334,D305:D334)</f>
        <v>1.6706562847608348</v>
      </c>
      <c r="AA334" s="56">
        <v>-0.33232280311456941</v>
      </c>
      <c r="AB334" s="37" cm="1">
        <f t="array" ref="AB334:AC334">LINEST(G325:G334,D325:D334)</f>
        <v>4.843636363636322</v>
      </c>
      <c r="AC334" s="37">
        <v>-1.0816181818181716</v>
      </c>
      <c r="AD334" s="37" cm="1">
        <f t="array" ref="AD334:AE334">LINEST(G320:G334,D320:D334)</f>
        <v>4.2171428571428482</v>
      </c>
      <c r="AE334" s="37">
        <v>-0.93086190476190267</v>
      </c>
      <c r="AF334" s="37" cm="1">
        <f t="array" ref="AF334:AG334">LINEST(G315:G334,D315:D334)</f>
        <v>8.661654135338312E-2</v>
      </c>
      <c r="AG334" s="37">
        <v>7.1524812030075297E-2</v>
      </c>
      <c r="AH334" s="37" cm="1">
        <f t="array" ref="AH334:AI334">LINEST(G310:G334,D310:D334)</f>
        <v>-0.38215384615384562</v>
      </c>
      <c r="AI334" s="37">
        <v>0.18300999999999989</v>
      </c>
      <c r="AJ334" s="37" cm="1">
        <f t="array" ref="AJ334:AK334">LINEST(G305:G334,D305:D334)</f>
        <v>-2.2553058954393772</v>
      </c>
      <c r="AK334" s="37">
        <v>0.62813407489803497</v>
      </c>
    </row>
    <row r="335" spans="1:37" x14ac:dyDescent="0.25">
      <c r="A335" s="61">
        <v>502</v>
      </c>
      <c r="B335" s="14">
        <f t="shared" si="5"/>
        <v>329</v>
      </c>
      <c r="C335" s="15">
        <v>43981</v>
      </c>
      <c r="D335" s="16">
        <v>0.25097222222222221</v>
      </c>
      <c r="E335" s="36">
        <v>20.02</v>
      </c>
      <c r="F335" s="36">
        <v>0.83</v>
      </c>
      <c r="G335" s="36">
        <v>0.13</v>
      </c>
      <c r="H335" s="56" cm="1">
        <f t="array" ref="H335:I335">LINEST(E326:E335,D326:D335)</f>
        <v>4.0145454545453534</v>
      </c>
      <c r="I335" s="56">
        <v>19.011551515151542</v>
      </c>
      <c r="J335" s="56" cm="1">
        <f t="array" ref="J335:K335">LINEST(E321:E335,D321:D335)</f>
        <v>4.2171428571427514</v>
      </c>
      <c r="K335" s="56">
        <v>18.960614285714311</v>
      </c>
      <c r="L335" s="56" cm="1">
        <f t="array" ref="L335:M335">LINEST(E316:E335,D316:D335)</f>
        <v>2.111278195488707</v>
      </c>
      <c r="M335" s="56">
        <v>19.473984962406018</v>
      </c>
      <c r="N335" s="56" cm="1">
        <f t="array" ref="N335:O335">LINEST(E311:E335,D311:D335)</f>
        <v>2.2319999999999638</v>
      </c>
      <c r="O335" s="56">
        <v>19.444630000000007</v>
      </c>
      <c r="P335" s="56" cm="1">
        <f t="array" ref="P335:Q335">LINEST(E306:E335,D306:D335)</f>
        <v>1.6001779755283552</v>
      </c>
      <c r="Q335" s="56">
        <v>19.595625583982201</v>
      </c>
      <c r="R335" s="56" cm="1">
        <f t="array" ref="R335:S335">LINEST(F326:F335,D326:D335)</f>
        <v>-10.472727272727372</v>
      </c>
      <c r="S335" s="56">
        <v>2.7709090909091154</v>
      </c>
      <c r="T335" s="56" cm="1">
        <f t="array" ref="T335:U335">LINEST(F321:F335,D321:D335)</f>
        <v>16.714285714285655</v>
      </c>
      <c r="U335" s="56">
        <v>-3.9109880952380811</v>
      </c>
      <c r="V335" s="56" cm="1">
        <f t="array" ref="V335:W335">LINEST(F316:F335,D316:D335)</f>
        <v>3.2860150375939479</v>
      </c>
      <c r="W335" s="56">
        <v>-0.65584135338344995</v>
      </c>
      <c r="X335" s="56" cm="1">
        <f t="array" ref="X335:Y335">LINEST(F311:F335,D311:D335)</f>
        <v>8.8504615384615253</v>
      </c>
      <c r="Y335" s="56">
        <v>-1.994512307692305</v>
      </c>
      <c r="Z335" s="56" cm="1">
        <f t="array" ref="Z335:AA335">LINEST(F306:F335,D306:D335)</f>
        <v>4.3408231368186785</v>
      </c>
      <c r="AA335" s="56">
        <v>-0.91867334074897833</v>
      </c>
      <c r="AB335" s="37" cm="1">
        <f t="array" ref="AB335:AC335">LINEST(G326:G335,D326:D335)</f>
        <v>3.4036363636363309</v>
      </c>
      <c r="AC335" s="37">
        <v>-0.72694545454544657</v>
      </c>
      <c r="AD335" s="37" cm="1">
        <f t="array" ref="AD335:AE335">LINEST(G321:G335,D321:D335)</f>
        <v>5.091428571428561</v>
      </c>
      <c r="AE335" s="37">
        <v>-1.1443071428571403</v>
      </c>
      <c r="AF335" s="37" cm="1">
        <f t="array" ref="AF335:AG335">LINEST(G316:G335,D316:D335)</f>
        <v>0.34105263157894705</v>
      </c>
      <c r="AG335" s="37">
        <v>1.3405263157894823E-2</v>
      </c>
      <c r="AH335" s="37" cm="1">
        <f t="array" ref="AH335:AI335">LINEST(G311:G335,D311:D335)</f>
        <v>0.33230769230769247</v>
      </c>
      <c r="AI335" s="37">
        <v>1.4938461538461484E-2</v>
      </c>
      <c r="AJ335" s="37" cm="1">
        <f t="array" ref="AJ335:AK335">LINEST(G306:G335,D306:D335)</f>
        <v>-1.7219132369299237</v>
      </c>
      <c r="AK335" s="37">
        <v>0.50580830552465739</v>
      </c>
    </row>
    <row r="336" spans="1:37" x14ac:dyDescent="0.25">
      <c r="A336" s="61">
        <v>502</v>
      </c>
      <c r="B336" s="14">
        <f t="shared" si="5"/>
        <v>330</v>
      </c>
      <c r="C336" s="15">
        <v>43981</v>
      </c>
      <c r="D336" s="16">
        <v>0.25236111111111109</v>
      </c>
      <c r="E336" s="36">
        <v>20.010000000000002</v>
      </c>
      <c r="F336" s="36">
        <v>-0.21</v>
      </c>
      <c r="G336" s="36">
        <v>0.1</v>
      </c>
      <c r="H336" s="56" cm="1">
        <f t="array" ref="H336:I336">LINEST(E327:E336,D327:D336)</f>
        <v>3.0109090909091165</v>
      </c>
      <c r="I336" s="56">
        <v>19.257981818181815</v>
      </c>
      <c r="J336" s="56" cm="1">
        <f t="array" ref="J336:K336">LINEST(E322:E336,D322:D336)</f>
        <v>4.4228571428570786</v>
      </c>
      <c r="K336" s="56">
        <v>18.908176190476205</v>
      </c>
      <c r="L336" s="56" cm="1">
        <f t="array" ref="L336:M336">LINEST(E317:E336,D317:D336)</f>
        <v>2.165413533834581</v>
      </c>
      <c r="M336" s="56">
        <v>19.461105263157894</v>
      </c>
      <c r="N336" s="56" cm="1">
        <f t="array" ref="N336:O336">LINEST(E312:E336,D312:D336)</f>
        <v>2.3150769230769046</v>
      </c>
      <c r="O336" s="56">
        <v>19.424749230769233</v>
      </c>
      <c r="P336" s="56" cm="1">
        <f t="array" ref="P336:Q336">LINEST(E307:E336,D307:D336)</f>
        <v>1.7347274749721839</v>
      </c>
      <c r="Q336" s="56">
        <v>19.56415773081201</v>
      </c>
      <c r="R336" s="56" cm="1">
        <f t="array" ref="R336:S336">LINEST(F327:F336,D327:D336)</f>
        <v>-28.232727272727317</v>
      </c>
      <c r="S336" s="56">
        <v>7.1173878787878886</v>
      </c>
      <c r="T336" s="56" cm="1">
        <f t="array" ref="T336:U336">LINEST(F322:F336,D322:D336)</f>
        <v>5.7857142857142581</v>
      </c>
      <c r="U336" s="56">
        <v>-1.2885059523809459</v>
      </c>
      <c r="V336" s="56" cm="1">
        <f t="array" ref="V336:W336">LINEST(F317:F336,D317:D336)</f>
        <v>3.0694736842104939</v>
      </c>
      <c r="W336" s="56">
        <v>-0.63961578947367648</v>
      </c>
      <c r="X336" s="56" cm="1">
        <f t="array" ref="X336:Y336">LINEST(F312:F336,D312:D336)</f>
        <v>3.6941538461538306</v>
      </c>
      <c r="Y336" s="56">
        <v>-0.78509153846153501</v>
      </c>
      <c r="Z336" s="56" cm="1">
        <f t="array" ref="Z336:AA336">LINEST(F307:F336,D307:D336)</f>
        <v>4.0541045606229131</v>
      </c>
      <c r="AA336" s="56">
        <v>-0.87511983685576544</v>
      </c>
      <c r="AB336" s="37" cm="1">
        <f t="array" ref="AB336:AC336">LINEST(G327:G336,D327:D336)</f>
        <v>0.95999999999997698</v>
      </c>
      <c r="AC336" s="37">
        <v>-0.126266666666661</v>
      </c>
      <c r="AD336" s="37" cm="1">
        <f t="array" ref="AD336:AE336">LINEST(G322:G336,D322:D336)</f>
        <v>5.091428571428561</v>
      </c>
      <c r="AE336" s="37">
        <v>-1.1493785714285689</v>
      </c>
      <c r="AF336" s="37" cm="1">
        <f t="array" ref="AF336:AG336">LINEST(G317:G336,D317:D336)</f>
        <v>0.46015037593984887</v>
      </c>
      <c r="AG336" s="37">
        <v>-1.5552631578947165E-2</v>
      </c>
      <c r="AH336" s="37" cm="1">
        <f t="array" ref="AH336:AI336">LINEST(G312:G336,D312:D336)</f>
        <v>0.57599999999999996</v>
      </c>
      <c r="AI336" s="37">
        <v>-4.3760000000000007E-2</v>
      </c>
      <c r="AJ336" s="37" cm="1">
        <f t="array" ref="AJ336:AK336">LINEST(G307:G336,D307:D336)</f>
        <v>-1.3054505005561743</v>
      </c>
      <c r="AK336" s="37">
        <v>0.40815461624026717</v>
      </c>
    </row>
    <row r="337" spans="1:37" x14ac:dyDescent="0.25">
      <c r="A337" s="61">
        <v>502</v>
      </c>
      <c r="B337" s="14">
        <f t="shared" si="5"/>
        <v>331</v>
      </c>
      <c r="C337" s="15">
        <v>43981</v>
      </c>
      <c r="D337" s="16">
        <v>0.25374999999999998</v>
      </c>
      <c r="E337" s="36">
        <v>20.03</v>
      </c>
      <c r="F337" s="36">
        <v>0.35</v>
      </c>
      <c r="G337" s="36">
        <v>0.12</v>
      </c>
      <c r="H337" s="56" cm="1">
        <f t="array" ref="H337:I337">LINEST(E328:E337,D328:D337)</f>
        <v>1.8763636363636875</v>
      </c>
      <c r="I337" s="56">
        <v>19.54259999999999</v>
      </c>
      <c r="J337" s="56" cm="1">
        <f t="array" ref="J337:K337">LINEST(E323:E337,D323:D337)</f>
        <v>4.448571428571408</v>
      </c>
      <c r="K337" s="56">
        <v>18.901758333333333</v>
      </c>
      <c r="L337" s="56" cm="1">
        <f t="array" ref="L337:M337">LINEST(E318:E337,D318:D337)</f>
        <v>2.8150375939849499</v>
      </c>
      <c r="M337" s="56">
        <v>19.303827067669179</v>
      </c>
      <c r="N337" s="56" cm="1">
        <f t="array" ref="N337:O337">LINEST(E313:E337,D313:D337)</f>
        <v>2.492307692307687</v>
      </c>
      <c r="O337" s="56">
        <v>19.383115384615383</v>
      </c>
      <c r="P337" s="56" cm="1">
        <f t="array" ref="P337:Q337">LINEST(E308:E337,D308:D337)</f>
        <v>1.9926140155728593</v>
      </c>
      <c r="Q337" s="56">
        <v>19.503836559139778</v>
      </c>
      <c r="R337" s="56" cm="1">
        <f t="array" ref="R337:S337">LINEST(F328:F337,D328:D337)</f>
        <v>-45.556363636363777</v>
      </c>
      <c r="S337" s="56">
        <v>11.513200000000035</v>
      </c>
      <c r="T337" s="56" cm="1">
        <f t="array" ref="T337:U337">LINEST(F323:F337,D323:D337)</f>
        <v>-1.8257142857143112</v>
      </c>
      <c r="U337" s="56">
        <v>0.6148583333333395</v>
      </c>
      <c r="V337" s="56" cm="1">
        <f t="array" ref="V337:W337">LINEST(F318:F337,D318:D337)</f>
        <v>18.606315789473676</v>
      </c>
      <c r="W337" s="56">
        <v>-4.4253526315789458</v>
      </c>
      <c r="X337" s="56" cm="1">
        <f t="array" ref="X337:Y337">LINEST(F313:F337,D313:D337)</f>
        <v>5.267076923076905</v>
      </c>
      <c r="Y337" s="56">
        <v>-1.1515361538461497</v>
      </c>
      <c r="Z337" s="56" cm="1">
        <f t="array" ref="Z337:AA337">LINEST(F308:F337,D308:D337)</f>
        <v>7.4755061179087816</v>
      </c>
      <c r="AA337" s="56">
        <v>-1.6846946236559128</v>
      </c>
      <c r="AB337" s="37" cm="1">
        <f t="array" ref="AB337:AC337">LINEST(G328:G337,D328:D337)</f>
        <v>-2.9672727272727539</v>
      </c>
      <c r="AC337" s="37">
        <v>0.8544000000000066</v>
      </c>
      <c r="AD337" s="37" cm="1">
        <f t="array" ref="AD337:AE337">LINEST(G323:G337,D323:D337)</f>
        <v>4.551428571428568</v>
      </c>
      <c r="AE337" s="37">
        <v>-1.0186749999999991</v>
      </c>
      <c r="AF337" s="37" cm="1">
        <f t="array" ref="AF337:AG337">LINEST(G318:G337,D318:D337)</f>
        <v>1.8081203007518805</v>
      </c>
      <c r="AG337" s="37">
        <v>-0.34395338345864679</v>
      </c>
      <c r="AH337" s="37" cm="1">
        <f t="array" ref="AH337:AI337">LINEST(G313:G337,D313:D337)</f>
        <v>0.89169230769230712</v>
      </c>
      <c r="AI337" s="37">
        <v>-0.11900538461538449</v>
      </c>
      <c r="AJ337" s="37" cm="1">
        <f t="array" ref="AJ337:AK337">LINEST(G308:G337,D308:D337)</f>
        <v>-0.61508342602892163</v>
      </c>
      <c r="AK337" s="37">
        <v>0.24502365591397865</v>
      </c>
    </row>
    <row r="338" spans="1:37" x14ac:dyDescent="0.25">
      <c r="A338" s="61">
        <v>502</v>
      </c>
      <c r="B338" s="14">
        <f t="shared" si="5"/>
        <v>332</v>
      </c>
      <c r="C338" s="15">
        <v>43981</v>
      </c>
      <c r="D338" s="16">
        <v>0.25513888888888886</v>
      </c>
      <c r="E338" s="36">
        <v>20.03</v>
      </c>
      <c r="F338" s="36">
        <v>0.24</v>
      </c>
      <c r="G338" s="36">
        <v>0.13</v>
      </c>
      <c r="H338" s="56" cm="1">
        <f t="array" ref="H338:I338">LINEST(E329:E338,D329:D338)</f>
        <v>0.52363636363649457</v>
      </c>
      <c r="I338" s="56">
        <v>19.883672727272693</v>
      </c>
      <c r="J338" s="56" cm="1">
        <f t="array" ref="J338:K338">LINEST(E324:E338,D324:D338)</f>
        <v>4.2428571428571651</v>
      </c>
      <c r="K338" s="56">
        <v>18.952065476190469</v>
      </c>
      <c r="L338" s="56" cm="1">
        <f t="array" ref="L338:M338">LINEST(E319:E338,D319:D338)</f>
        <v>3.1939849624059962</v>
      </c>
      <c r="M338" s="56">
        <v>19.211233082706769</v>
      </c>
      <c r="N338" s="56" cm="1">
        <f t="array" ref="N338:O338">LINEST(E314:E338,D314:D338)</f>
        <v>2.5476923076923055</v>
      </c>
      <c r="O338" s="56">
        <v>19.370446153846153</v>
      </c>
      <c r="P338" s="56" cm="1">
        <f t="array" ref="P338:Q338">LINEST(E309:E338,D309:D338)</f>
        <v>2.1784204671857639</v>
      </c>
      <c r="Q338" s="56">
        <v>19.460071190211341</v>
      </c>
      <c r="R338" s="56" cm="1">
        <f t="array" ref="R338:S338">LINEST(F329:F338,D329:D338)</f>
        <v>-33.381818181818346</v>
      </c>
      <c r="S338" s="56">
        <v>8.5213636363636756</v>
      </c>
      <c r="T338" s="56" cm="1">
        <f t="array" ref="T338:U338">LINEST(F324:F338,D324:D338)</f>
        <v>-3.6257142857143196</v>
      </c>
      <c r="U338" s="56">
        <v>1.0738107142857227</v>
      </c>
      <c r="V338" s="56" cm="1">
        <f t="array" ref="V338:W338">LINEST(F319:F338,D319:D338)</f>
        <v>11.341353383458641</v>
      </c>
      <c r="W338" s="56">
        <v>-2.6434774436090214</v>
      </c>
      <c r="X338" s="56" cm="1">
        <f t="array" ref="X338:Y338">LINEST(F314:F338,D314:D338)</f>
        <v>2.2043076923076761</v>
      </c>
      <c r="Y338" s="56">
        <v>-0.40046615384615014</v>
      </c>
      <c r="Z338" s="56" cm="1">
        <f t="array" ref="Z338:AA338">LINEST(F309:F338,D309:D338)</f>
        <v>6.4583759733036628</v>
      </c>
      <c r="AA338" s="56">
        <v>-1.4377183537263609</v>
      </c>
      <c r="AB338" s="37" cm="1">
        <f t="array" ref="AB338:AC338">LINEST(G329:G338,D329:D338)</f>
        <v>-5.4545454545454923</v>
      </c>
      <c r="AC338" s="37">
        <v>1.4845757575757668</v>
      </c>
      <c r="AD338" s="37" cm="1">
        <f t="array" ref="AD338:AE338">LINEST(G324:G338,D324:D338)</f>
        <v>3.959999999999996</v>
      </c>
      <c r="AE338" s="37">
        <v>-0.87318333333333231</v>
      </c>
      <c r="AF338" s="37" cm="1">
        <f t="array" ref="AF338:AG338">LINEST(G319:G338,D319:D338)</f>
        <v>2.5389473684210517</v>
      </c>
      <c r="AG338" s="37">
        <v>-0.52278421052631563</v>
      </c>
      <c r="AH338" s="37" cm="1">
        <f t="array" ref="AH338:AI338">LINEST(G314:G338,D314:D338)</f>
        <v>0.98030769230769177</v>
      </c>
      <c r="AI338" s="37">
        <v>-0.13897615384615375</v>
      </c>
      <c r="AJ338" s="37" cm="1">
        <f t="array" ref="AJ338:AK338">LINEST(G309:G338,D309:D338)</f>
        <v>-9.130144605116812E-2</v>
      </c>
      <c r="AK338" s="37">
        <v>0.12112250648869118</v>
      </c>
    </row>
    <row r="339" spans="1:37" x14ac:dyDescent="0.25">
      <c r="A339" s="61">
        <v>502</v>
      </c>
      <c r="B339" s="14">
        <f t="shared" si="5"/>
        <v>333</v>
      </c>
      <c r="C339" s="15">
        <v>43981</v>
      </c>
      <c r="D339" s="16">
        <v>0.25652777777777774</v>
      </c>
      <c r="E339" s="36">
        <v>20.04</v>
      </c>
      <c r="F339" s="36">
        <v>0.06</v>
      </c>
      <c r="G339" s="36">
        <v>0.13</v>
      </c>
      <c r="H339" s="56" cm="1">
        <f t="array" ref="H339:I339">LINEST(E330:E339,D330:D339)</f>
        <v>1.8327272727273509</v>
      </c>
      <c r="I339" s="56">
        <v>19.557309090909069</v>
      </c>
      <c r="J339" s="56" cm="1">
        <f t="array" ref="J339:K339">LINEST(E325:E339,D325:D339)</f>
        <v>3.985714285714316</v>
      </c>
      <c r="K339" s="56">
        <v>19.016303571428569</v>
      </c>
      <c r="L339" s="56" cm="1">
        <f t="array" ref="L339:M339">LINEST(E320:E339,D320:D339)</f>
        <v>3.7245112781954584</v>
      </c>
      <c r="M339" s="56">
        <v>19.080702255639103</v>
      </c>
      <c r="N339" s="56" cm="1">
        <f t="array" ref="N339:O339">LINEST(E315:E339,D315:D339)</f>
        <v>2.5421538461538473</v>
      </c>
      <c r="O339" s="56">
        <v>19.373036153846154</v>
      </c>
      <c r="P339" s="56" cm="1">
        <f t="array" ref="P339:Q339">LINEST(E310:E339,D310:D339)</f>
        <v>2.3850500556173464</v>
      </c>
      <c r="Q339" s="56">
        <v>19.411200667408231</v>
      </c>
      <c r="R339" s="56" cm="1">
        <f t="array" ref="R339:S339">LINEST(F330:F339,D330:D339)</f>
        <v>32.465454545454662</v>
      </c>
      <c r="S339" s="56">
        <v>-8.0773818181818466</v>
      </c>
      <c r="T339" s="56" cm="1">
        <f t="array" ref="T339:U339">LINEST(F325:F339,D325:D339)</f>
        <v>-7.5857142857143209</v>
      </c>
      <c r="U339" s="56">
        <v>2.0535297619047705</v>
      </c>
      <c r="V339" s="56" cm="1">
        <f t="array" ref="V339:W339">LINEST(F320:F339,D320:D339)</f>
        <v>14.443308270676681</v>
      </c>
      <c r="W339" s="56">
        <v>-3.4315383458646589</v>
      </c>
      <c r="X339" s="56" cm="1">
        <f t="array" ref="X339:Y339">LINEST(F315:F339,D315:D339)</f>
        <v>-0.64246153846155252</v>
      </c>
      <c r="Y339" s="56">
        <v>0.29010153846154185</v>
      </c>
      <c r="Z339" s="56" cm="1">
        <f t="array" ref="Z339:AA339">LINEST(F310:F339,D310:D339)</f>
        <v>5.3227141268075595</v>
      </c>
      <c r="AA339" s="56">
        <v>-1.1718971449758984</v>
      </c>
      <c r="AB339" s="37" cm="1">
        <f t="array" ref="AB339:AC339">LINEST(G330:G339,D330:D339)</f>
        <v>-2.3127272727273085</v>
      </c>
      <c r="AC339" s="37">
        <v>0.69982424242425134</v>
      </c>
      <c r="AD339" s="37" cm="1">
        <f t="array" ref="AD339:AE339">LINEST(G325:G339,D325:D339)</f>
        <v>3.1114285714285677</v>
      </c>
      <c r="AE339" s="37">
        <v>-0.66258452380952293</v>
      </c>
      <c r="AF339" s="37" cm="1">
        <f t="array" ref="AF339:AG339">LINEST(G320:G339,D320:D339)</f>
        <v>3.486315789473684</v>
      </c>
      <c r="AG339" s="37">
        <v>-0.7573368421052632</v>
      </c>
      <c r="AH339" s="37" cm="1">
        <f t="array" ref="AH339:AI339">LINEST(G315:G339,D315:D339)</f>
        <v>0.89169230769230734</v>
      </c>
      <c r="AI339" s="37">
        <v>-0.11588230769230759</v>
      </c>
      <c r="AJ339" s="37" cm="1">
        <f t="array" ref="AJ339:AK339">LINEST(G310:G339,D310:D339)</f>
        <v>0.34918798665183581</v>
      </c>
      <c r="AK339" s="37">
        <v>1.6122506488691013E-2</v>
      </c>
    </row>
    <row r="340" spans="1:37" x14ac:dyDescent="0.25">
      <c r="A340" s="61">
        <v>502</v>
      </c>
      <c r="B340" s="14">
        <f t="shared" si="5"/>
        <v>334</v>
      </c>
      <c r="C340" s="15">
        <v>43981</v>
      </c>
      <c r="D340" s="16">
        <v>0.25791666666666668</v>
      </c>
      <c r="E340" s="36">
        <v>20.03</v>
      </c>
      <c r="F340" s="36">
        <v>-0.26</v>
      </c>
      <c r="G340" s="36">
        <v>0.1</v>
      </c>
      <c r="H340" s="56" cm="1">
        <f t="array" ref="H340:I340">LINEST(E331:E340,D331:D340)</f>
        <v>3.5345454545455413</v>
      </c>
      <c r="I340" s="56">
        <v>19.125472727272705</v>
      </c>
      <c r="J340" s="56" cm="1">
        <f t="array" ref="J340:K340">LINEST(E326:E340,D326:D340)</f>
        <v>3.4971428571428924</v>
      </c>
      <c r="K340" s="56">
        <v>19.137361904761899</v>
      </c>
      <c r="L340" s="56" cm="1">
        <f t="array" ref="L340:M340">LINEST(E321:E340,D321:D340)</f>
        <v>3.8598496240601348</v>
      </c>
      <c r="M340" s="56">
        <v>19.045909022556391</v>
      </c>
      <c r="N340" s="56" cm="1">
        <f t="array" ref="N340:O340">LINEST(E316:E340,D316:D340)</f>
        <v>2.5476923076923228</v>
      </c>
      <c r="O340" s="56">
        <v>19.371769230769228</v>
      </c>
      <c r="P340" s="56" cm="1">
        <f t="array" ref="P340:Q340">LINEST(E311:E340,D311:D340)</f>
        <v>2.5163959955506039</v>
      </c>
      <c r="Q340" s="56">
        <v>19.379323618835738</v>
      </c>
      <c r="R340" s="56" cm="1">
        <f t="array" ref="R340:S340">LINEST(F331:F340,D331:D340)</f>
        <v>43.985454545454694</v>
      </c>
      <c r="S340" s="56">
        <v>-11.101672727272764</v>
      </c>
      <c r="T340" s="56" cm="1">
        <f t="array" ref="T340:U340">LINEST(F326:F340,D326:D340)</f>
        <v>-15.145714285714352</v>
      </c>
      <c r="U340" s="56">
        <v>3.9097488095238262</v>
      </c>
      <c r="V340" s="56" cm="1">
        <f t="array" ref="V340:W340">LINEST(F321:F340,D321:D340)</f>
        <v>3.150676691729307</v>
      </c>
      <c r="W340" s="56">
        <v>-0.67104060150375544</v>
      </c>
      <c r="X340" s="56" cm="1">
        <f t="array" ref="X340:Y340">LINEST(F316:F340,D316:D340)</f>
        <v>-1.0135384615384846</v>
      </c>
      <c r="Y340" s="56">
        <v>0.35211615384615946</v>
      </c>
      <c r="Z340" s="56" cm="1">
        <f t="array" ref="Z340:AA340">LINEST(F311:F340,D311:D340)</f>
        <v>4.1293882091212328</v>
      </c>
      <c r="AA340" s="56">
        <v>-0.90987675194660445</v>
      </c>
      <c r="AB340" s="37" cm="1">
        <f t="array" ref="AB340:AC340">LINEST(G331:G340,D331:D340)</f>
        <v>1.6145454545454423</v>
      </c>
      <c r="AC340" s="37">
        <v>-0.29732727272726955</v>
      </c>
      <c r="AD340" s="37" cm="1">
        <f t="array" ref="AD340:AE340">LINEST(G326:G340,D326:D340)</f>
        <v>1.6714285714285624</v>
      </c>
      <c r="AE340" s="37">
        <v>-0.30550595238095019</v>
      </c>
      <c r="AF340" s="37" cm="1">
        <f t="array" ref="AF340:AG340">LINEST(G321:G340,D321:D340)</f>
        <v>3.453834586466165</v>
      </c>
      <c r="AG340" s="37">
        <v>-0.75323007518796992</v>
      </c>
      <c r="AH340" s="37" cm="1">
        <f t="array" ref="AH340:AI340">LINEST(G316:G340,D316:D340)</f>
        <v>0.77538461538461478</v>
      </c>
      <c r="AI340" s="37">
        <v>-8.8261538461538336E-2</v>
      </c>
      <c r="AJ340" s="37" cm="1">
        <f t="array" ref="AJ340:AK340">LINEST(G311:G340,D311:D340)</f>
        <v>0.65993325917686341</v>
      </c>
      <c r="AK340" s="37">
        <v>-6.0250797182054214E-2</v>
      </c>
    </row>
    <row r="341" spans="1:37" x14ac:dyDescent="0.25">
      <c r="A341" s="61">
        <v>502</v>
      </c>
      <c r="B341" s="14">
        <f t="shared" si="5"/>
        <v>335</v>
      </c>
      <c r="C341" s="15">
        <v>43981</v>
      </c>
      <c r="D341" s="16">
        <v>0.25930555555555557</v>
      </c>
      <c r="E341" s="36">
        <v>20.059999999999999</v>
      </c>
      <c r="F341" s="36">
        <v>1.1499999999999999</v>
      </c>
      <c r="G341" s="36">
        <v>0.18</v>
      </c>
      <c r="H341" s="56" cm="1">
        <f t="array" ref="H341:I341">LINEST(E332:E341,D332:D341)</f>
        <v>4.5818181818182078</v>
      </c>
      <c r="I341" s="56">
        <v>18.861545454545446</v>
      </c>
      <c r="J341" s="56" cm="1">
        <f t="array" ref="J341:K341">LINEST(E327:E341,D327:D341)</f>
        <v>3.5485714285714502</v>
      </c>
      <c r="K341" s="56">
        <v>19.126335714285709</v>
      </c>
      <c r="L341" s="56" cm="1">
        <f t="array" ref="L341:M341">LINEST(E322:E341,D322:D341)</f>
        <v>4.2279699248120037</v>
      </c>
      <c r="M341" s="56">
        <v>18.954949624060156</v>
      </c>
      <c r="N341" s="56" cm="1">
        <f t="array" ref="N341:O341">LINEST(E317:E341,D317:D341)</f>
        <v>2.7747692307692309</v>
      </c>
      <c r="O341" s="56">
        <v>19.317533076923077</v>
      </c>
      <c r="P341" s="56" cm="1">
        <f t="array" ref="P341:Q341">LINEST(E312:E341,D312:D341)</f>
        <v>2.7118131256952061</v>
      </c>
      <c r="Q341" s="56">
        <v>19.333091360771224</v>
      </c>
      <c r="R341" s="56" cm="1">
        <f t="array" ref="R341:S341">LINEST(F332:F341,D332:D341)</f>
        <v>34.341818181818255</v>
      </c>
      <c r="S341" s="56">
        <v>-8.4873878787878976</v>
      </c>
      <c r="T341" s="56" cm="1">
        <f t="array" ref="T341:U341">LINEST(F327:F341,D327:D341)</f>
        <v>3.4457142857142822</v>
      </c>
      <c r="U341" s="56">
        <v>-0.64465952380952296</v>
      </c>
      <c r="V341" s="56" cm="1">
        <f t="array" ref="V341:W341">LINEST(F322:F341,D322:D341)</f>
        <v>11.449624060150368</v>
      </c>
      <c r="W341" s="56">
        <v>-2.6543796992481186</v>
      </c>
      <c r="X341" s="56" cm="1">
        <f t="array" ref="X341:Y341">LINEST(F317:F341,D317:D341)</f>
        <v>8.0916923076923073</v>
      </c>
      <c r="Y341" s="56">
        <v>-1.8261592307692309</v>
      </c>
      <c r="Z341" s="56" cm="1">
        <f t="array" ref="Z341:AA341">LINEST(F312:F341,D312:D341)</f>
        <v>6.942113459399323</v>
      </c>
      <c r="AA341" s="56">
        <v>-1.5376554690396718</v>
      </c>
      <c r="AB341" s="37" cm="1">
        <f t="array" ref="AB341:AC341">LINEST(G332:G341,D332:D341)</f>
        <v>4.4509090909090983</v>
      </c>
      <c r="AC341" s="37">
        <v>-1.0103272727272743</v>
      </c>
      <c r="AD341" s="37" cm="1">
        <f t="array" ref="AD341:AE341">LINEST(G327:G341,D327:D341)</f>
        <v>1.9285714285714211</v>
      </c>
      <c r="AE341" s="37">
        <v>-0.36400595238095051</v>
      </c>
      <c r="AF341" s="37" cm="1">
        <f t="array" ref="AF341:AG341">LINEST(G322:G341,D322:D341)</f>
        <v>4.108872180451125</v>
      </c>
      <c r="AG341" s="37">
        <v>-0.91373909774436013</v>
      </c>
      <c r="AH341" s="37" cm="1">
        <f t="array" ref="AH341:AI341">LINEST(G317:G341,D317:D341)</f>
        <v>1.3236923076923075</v>
      </c>
      <c r="AI341" s="37">
        <v>-0.21917923076923074</v>
      </c>
      <c r="AJ341" s="37" cm="1">
        <f t="array" ref="AJ341:AK341">LINEST(G312:G341,D312:D341)</f>
        <v>1.1628921023359284</v>
      </c>
      <c r="AK341" s="37">
        <v>-0.17945836114200958</v>
      </c>
    </row>
    <row r="342" spans="1:37" x14ac:dyDescent="0.25">
      <c r="A342" s="61">
        <v>502</v>
      </c>
      <c r="B342" s="14">
        <f t="shared" si="5"/>
        <v>336</v>
      </c>
      <c r="C342" s="15">
        <v>43981</v>
      </c>
      <c r="D342" s="16">
        <v>0.26069444444444445</v>
      </c>
      <c r="E342" s="36">
        <v>20.07</v>
      </c>
      <c r="F342" s="36">
        <v>0.19</v>
      </c>
      <c r="G342" s="36">
        <v>0.18</v>
      </c>
      <c r="H342" s="56" cm="1">
        <f t="array" ref="H342:I342">LINEST(E333:E342,D333:D342)</f>
        <v>5.4981818181818394</v>
      </c>
      <c r="I342" s="56">
        <v>18.629018181818175</v>
      </c>
      <c r="J342" s="56" cm="1">
        <f t="array" ref="J342:K342">LINEST(E328:E342,D328:D342)</f>
        <v>3.3171428571428705</v>
      </c>
      <c r="K342" s="56">
        <v>19.187489285714282</v>
      </c>
      <c r="L342" s="56" cm="1">
        <f t="array" ref="L342:M342">LINEST(E323:E342,D323:D342)</f>
        <v>4.3633082706766784</v>
      </c>
      <c r="M342" s="56">
        <v>18.922081203007522</v>
      </c>
      <c r="N342" s="56" cm="1">
        <f t="array" ref="N342:O342">LINEST(E318:E342,D318:D342)</f>
        <v>3.2953846153846049</v>
      </c>
      <c r="O342" s="56">
        <v>19.189834615384619</v>
      </c>
      <c r="P342" s="56" cm="1">
        <f t="array" ref="P342:Q342">LINEST(E313:E342,D313:D342)</f>
        <v>2.9152391546162337</v>
      </c>
      <c r="Q342" s="56">
        <v>19.284723025583979</v>
      </c>
      <c r="R342" s="56" cm="1">
        <f t="array" ref="R342:S342">LINEST(F333:F342,D333:D342)</f>
        <v>33.687272727272664</v>
      </c>
      <c r="S342" s="56">
        <v>-8.3695393939393767</v>
      </c>
      <c r="T342" s="56" cm="1">
        <f t="array" ref="T342:U342">LINEST(F328:F342,D328:D342)</f>
        <v>-8.4342857142857071</v>
      </c>
      <c r="U342" s="56">
        <v>2.3674380952380933</v>
      </c>
      <c r="V342" s="56" cm="1">
        <f t="array" ref="V342:W342">LINEST(F323:F342,D323:D342)</f>
        <v>4.6339849624060108</v>
      </c>
      <c r="W342" s="56">
        <v>-0.9509112781954876</v>
      </c>
      <c r="X342" s="56" cm="1">
        <f t="array" ref="X342:Y342">LINEST(F318:F342,D318:D342)</f>
        <v>16.310769230769235</v>
      </c>
      <c r="Y342" s="56">
        <v>-3.884680769230771</v>
      </c>
      <c r="Z342" s="56" cm="1">
        <f t="array" ref="Z342:AA342">LINEST(F313:F342,D313:D342)</f>
        <v>6.9437152391546073</v>
      </c>
      <c r="AA342" s="56">
        <v>-1.5433492769744139</v>
      </c>
      <c r="AB342" s="37" cm="1">
        <f t="array" ref="AB342:AC342">LINEST(G333:G342,D333:D342)</f>
        <v>6.6763636363636349</v>
      </c>
      <c r="AC342" s="37">
        <v>-1.5757636363636358</v>
      </c>
      <c r="AD342" s="37" cm="1">
        <f t="array" ref="AD342:AE342">LINEST(G328:G342,D328:D342)</f>
        <v>1.0542857142857085</v>
      </c>
      <c r="AE342" s="37">
        <v>-0.13659642857142715</v>
      </c>
      <c r="AF342" s="37" cm="1">
        <f t="array" ref="AF342:AG342">LINEST(G323:G342,D323:D342)</f>
        <v>4.1900751879699207</v>
      </c>
      <c r="AG342" s="37">
        <v>-0.93204360902255545</v>
      </c>
      <c r="AH342" s="37" cm="1">
        <f t="array" ref="AH342:AI342">LINEST(G318:G342,D318:D342)</f>
        <v>2.4756923076923094</v>
      </c>
      <c r="AI342" s="37">
        <v>-0.50253769230769285</v>
      </c>
      <c r="AJ342" s="37" cm="1">
        <f t="array" ref="AJ342:AK342">LINEST(G313:G342,D313:D342)</f>
        <v>1.5969744160177972</v>
      </c>
      <c r="AK342" s="37">
        <v>-0.28316106785317013</v>
      </c>
    </row>
    <row r="343" spans="1:37" x14ac:dyDescent="0.25">
      <c r="A343" s="61">
        <v>502</v>
      </c>
      <c r="B343" s="14">
        <f t="shared" si="5"/>
        <v>337</v>
      </c>
      <c r="C343" s="15">
        <v>43981</v>
      </c>
      <c r="D343" s="16">
        <v>0.26208333333333333</v>
      </c>
      <c r="E343" s="36">
        <v>20.05</v>
      </c>
      <c r="F343" s="36">
        <v>-0.71</v>
      </c>
      <c r="G343" s="36">
        <v>0.11</v>
      </c>
      <c r="H343" s="56" cm="1">
        <f t="array" ref="H343:I343">LINEST(E334:E343,D334:D343)</f>
        <v>5.0181818181818496</v>
      </c>
      <c r="I343" s="56">
        <v>18.74918181818181</v>
      </c>
      <c r="J343" s="56" cm="1">
        <f t="array" ref="J343:K343">LINEST(E329:E343,D329:D343)</f>
        <v>2.622857142857185</v>
      </c>
      <c r="K343" s="56">
        <v>19.364092857142847</v>
      </c>
      <c r="L343" s="56" cm="1">
        <f t="array" ref="L343:M343">LINEST(E324:E343,D324:D343)</f>
        <v>4.1521804511278235</v>
      </c>
      <c r="M343" s="56">
        <v>18.974068421052632</v>
      </c>
      <c r="N343" s="56" cm="1">
        <f t="array" ref="N343:O343">LINEST(E319:E343,D319:D343)</f>
        <v>3.4947692307692115</v>
      </c>
      <c r="O343" s="56">
        <v>19.139525384615389</v>
      </c>
      <c r="P343" s="56" cm="1">
        <f t="array" ref="P343:Q343">LINEST(E314:E343,D314:D343)</f>
        <v>2.9344605116796387</v>
      </c>
      <c r="Q343" s="56">
        <v>19.280023581757504</v>
      </c>
      <c r="R343" s="56" cm="1">
        <f t="array" ref="R343:S343">LINEST(F334:F343,D334:D343)</f>
        <v>-21.425454545454549</v>
      </c>
      <c r="S343" s="56">
        <v>5.6323454545454545</v>
      </c>
      <c r="T343" s="56" cm="1">
        <f t="array" ref="T343:U343">LINEST(F329:F343,D329:D343)</f>
        <v>-20.80285714285715</v>
      </c>
      <c r="U343" s="56">
        <v>5.4204988095238109</v>
      </c>
      <c r="V343" s="56" cm="1">
        <f t="array" ref="V343:W343">LINEST(F324:F343,D324:D343)</f>
        <v>-6.6857142857142886</v>
      </c>
      <c r="W343" s="56">
        <v>1.8235000000000006</v>
      </c>
      <c r="X343" s="56" cm="1">
        <f t="array" ref="X343:Y343">LINEST(F319:F343,D319:D343)</f>
        <v>4.7963076923076784</v>
      </c>
      <c r="Y343" s="56">
        <v>-1.0794938461538428</v>
      </c>
      <c r="Z343" s="56" cm="1">
        <f t="array" ref="Z343:AA343">LINEST(F314:F343,D314:D343)</f>
        <v>0.14095661846495131</v>
      </c>
      <c r="AA343" s="56">
        <v>8.4562995921396517E-2</v>
      </c>
      <c r="AB343" s="37" cm="1">
        <f t="array" ref="AB343:AC343">LINEST(G334:G343,D334:D343)</f>
        <v>4.5818181818181696</v>
      </c>
      <c r="AC343" s="37">
        <v>-1.0471818181818149</v>
      </c>
      <c r="AD343" s="37" cm="1">
        <f t="array" ref="AD343:AE343">LINEST(G329:G343,D329:D343)</f>
        <v>-0.66857142857143403</v>
      </c>
      <c r="AE343" s="37">
        <v>0.30005476190476327</v>
      </c>
      <c r="AF343" s="37" cm="1">
        <f t="array" ref="AF343:AG343">LINEST(G324:G343,D324:D343)</f>
        <v>3.3888721804511235</v>
      </c>
      <c r="AG343" s="37">
        <v>-0.73445263157894625</v>
      </c>
      <c r="AH343" s="37" cm="1">
        <f t="array" ref="AH343:AI343">LINEST(G319:G343,D319:D343)</f>
        <v>2.6640000000000001</v>
      </c>
      <c r="AI343" s="37">
        <v>-0.55259000000000003</v>
      </c>
      <c r="AJ343" s="37" cm="1">
        <f t="array" ref="AJ343:AK343">LINEST(G314:G343,D314:D343)</f>
        <v>1.4848498331479423</v>
      </c>
      <c r="AK343" s="37">
        <v>-0.25691783463107165</v>
      </c>
    </row>
    <row r="344" spans="1:37" x14ac:dyDescent="0.25">
      <c r="A344" s="61">
        <v>502</v>
      </c>
      <c r="B344" s="14">
        <f t="shared" si="5"/>
        <v>338</v>
      </c>
      <c r="C344" s="15">
        <v>43981</v>
      </c>
      <c r="D344" s="16">
        <v>0.26347222222222222</v>
      </c>
      <c r="E344" s="36">
        <v>20.059999999999999</v>
      </c>
      <c r="F344" s="36">
        <v>0.48</v>
      </c>
      <c r="G344" s="36">
        <v>0.14000000000000001</v>
      </c>
      <c r="H344" s="56" cm="1">
        <f t="array" ref="H344:I344">LINEST(E335:E344,D335:D344)</f>
        <v>4.0145454545453436</v>
      </c>
      <c r="I344" s="56">
        <v>19.007369696969725</v>
      </c>
      <c r="J344" s="56" cm="1">
        <f t="array" ref="J344:K344">LINEST(E330:E344,D330:D344)</f>
        <v>3.111428571428581</v>
      </c>
      <c r="K344" s="56">
        <v>19.239141666666665</v>
      </c>
      <c r="L344" s="56" cm="1">
        <f t="array" ref="L344:M344">LINEST(E325:E344,D325:D344)</f>
        <v>3.9248120300751919</v>
      </c>
      <c r="M344" s="56">
        <v>19.031206766917297</v>
      </c>
      <c r="N344" s="56" cm="1">
        <f t="array" ref="N344:O344">LINEST(E320:E344,D320:D344)</f>
        <v>3.7883076923076637</v>
      </c>
      <c r="O344" s="56">
        <v>19.065424615384622</v>
      </c>
      <c r="P344" s="56" cm="1">
        <f t="array" ref="P344:Q344">LINEST(E315:E344,D315:D344)</f>
        <v>2.9120355951056687</v>
      </c>
      <c r="Q344" s="56">
        <v>19.286071338524284</v>
      </c>
      <c r="R344" s="56" cm="1">
        <f t="array" ref="R344:S344">LINEST(F335:F344,D335:D344)</f>
        <v>-21.992727272727144</v>
      </c>
      <c r="S344" s="56">
        <v>5.8690181818181477</v>
      </c>
      <c r="T344" s="56" cm="1">
        <f t="array" ref="T344:U344">LINEST(F330:F344,D330:D344)</f>
        <v>16.431428571428594</v>
      </c>
      <c r="U344" s="56">
        <v>-4.0808083333333389</v>
      </c>
      <c r="V344" s="56" cm="1">
        <f t="array" ref="V344:W344">LINEST(F325:F344,D325:D344)</f>
        <v>-4.0655639097744416</v>
      </c>
      <c r="W344" s="56">
        <v>1.196020300751881</v>
      </c>
      <c r="X344" s="56" cm="1">
        <f t="array" ref="X344:Y344">LINEST(F320:F344,D320:D344)</f>
        <v>9.5870769230769088</v>
      </c>
      <c r="Y344" s="56">
        <v>-2.2657438461538431</v>
      </c>
      <c r="Z344" s="56" cm="1">
        <f t="array" ref="Z344:AA344">LINEST(F315:F344,D315:D344)</f>
        <v>0.18740823136818235</v>
      </c>
      <c r="AA344" s="56">
        <v>9.6063997033742285E-2</v>
      </c>
      <c r="AB344" s="37" cm="1">
        <f t="array" ref="AB344:AC344">LINEST(G335:G344,D335:D344)</f>
        <v>2.5309090909090868</v>
      </c>
      <c r="AC344" s="37">
        <v>-0.51900606060605947</v>
      </c>
      <c r="AD344" s="37" cm="1">
        <f t="array" ref="AD344:AE344">LINEST(G330:G344,D330:D344)</f>
        <v>0.69428571428570973</v>
      </c>
      <c r="AE344" s="37">
        <v>-4.817499999999883E-2</v>
      </c>
      <c r="AF344" s="37" cm="1">
        <f t="array" ref="AF344:AG344">LINEST(G325:G344,D325:D344)</f>
        <v>2.8096240601503726</v>
      </c>
      <c r="AG344" s="37">
        <v>-0.58868646616541265</v>
      </c>
      <c r="AH344" s="37" cm="1">
        <f t="array" ref="AH344:AI344">LINEST(G320:G344,D320:D344)</f>
        <v>3.2012307692307673</v>
      </c>
      <c r="AI344" s="37">
        <v>-0.68888153846153799</v>
      </c>
      <c r="AJ344" s="37" cm="1">
        <f t="array" ref="AJ344:AK344">LINEST(G315:G344,D315:D344)</f>
        <v>1.3999555061179088</v>
      </c>
      <c r="AK344" s="37">
        <v>-0.2353225064886911</v>
      </c>
    </row>
    <row r="345" spans="1:37" x14ac:dyDescent="0.25">
      <c r="A345" s="61">
        <v>502</v>
      </c>
      <c r="B345" s="14">
        <f t="shared" si="5"/>
        <v>339</v>
      </c>
      <c r="C345" s="15">
        <v>43981</v>
      </c>
      <c r="D345" s="16">
        <v>0.2648611111111111</v>
      </c>
      <c r="E345" s="36">
        <v>21.53</v>
      </c>
      <c r="F345" s="36">
        <v>0.48</v>
      </c>
      <c r="G345" s="36">
        <v>0.16</v>
      </c>
      <c r="H345" s="56" cm="1">
        <f t="array" ref="H345:I345">LINEST(E336:E345,D336:D345)</f>
        <v>61.570909090908721</v>
      </c>
      <c r="I345" s="56">
        <v>4.2680787878788848</v>
      </c>
      <c r="J345" s="56" cm="1">
        <f t="array" ref="J345:K345">LINEST(E331:E345,D331:D345)</f>
        <v>30.36857142857145</v>
      </c>
      <c r="K345" s="56">
        <v>12.379796428571419</v>
      </c>
      <c r="L345" s="56" cm="1">
        <f t="array" ref="L345:M345">LINEST(E326:E345,D326:D345)</f>
        <v>18.801203007518797</v>
      </c>
      <c r="M345" s="56">
        <v>15.360863909774437</v>
      </c>
      <c r="N345" s="56" cm="1">
        <f t="array" ref="N345:O345">LINEST(E321:E345,D321:D345)</f>
        <v>13.66338461538459</v>
      </c>
      <c r="O345" s="56">
        <v>16.672023846153849</v>
      </c>
      <c r="P345" s="56" cm="1">
        <f t="array" ref="P345:Q345">LINEST(E316:E345,D316:D345)</f>
        <v>9.7724582869855467</v>
      </c>
      <c r="Q345" s="56">
        <v>17.656128958101586</v>
      </c>
      <c r="R345" s="56" cm="1">
        <f t="array" ref="R345:S345">LINEST(F336:F345,D336:D345)</f>
        <v>18.196363636363571</v>
      </c>
      <c r="S345" s="56">
        <v>-4.5287818181818018</v>
      </c>
      <c r="T345" s="56" cm="1">
        <f t="array" ref="T345:U345">LINEST(F331:F345,D331:D345)</f>
        <v>32.760000000000034</v>
      </c>
      <c r="U345" s="56">
        <v>-8.2736833333333415</v>
      </c>
      <c r="V345" s="56" cm="1">
        <f t="array" ref="V345:W345">LINEST(F326:F345,D326:D345)</f>
        <v>-0.72000000000000886</v>
      </c>
      <c r="W345" s="56">
        <v>0.3737000000000022</v>
      </c>
      <c r="X345" s="56" cm="1">
        <f t="array" ref="X345:Y345">LINEST(F321:F345,D321:D345)</f>
        <v>7.0670769230769128</v>
      </c>
      <c r="Y345" s="56">
        <v>-1.6104092307692284</v>
      </c>
      <c r="Z345" s="56" cm="1">
        <f t="array" ref="Z345:AA345">LINEST(F316:F345,D316:D345)</f>
        <v>3.2900556173526105</v>
      </c>
      <c r="AA345" s="56">
        <v>-0.66248305524656959</v>
      </c>
      <c r="AB345" s="37" cm="1">
        <f t="array" ref="AB345:AC345">LINEST(G336:G345,D336:D345)</f>
        <v>3.5345454545454467</v>
      </c>
      <c r="AC345" s="37">
        <v>-0.77907272727272525</v>
      </c>
      <c r="AD345" s="37" cm="1">
        <f t="array" ref="AD345:AE345">LINEST(G331:G345,D331:D345)</f>
        <v>3.1628571428571428</v>
      </c>
      <c r="AE345" s="37">
        <v>-0.68296785714285724</v>
      </c>
      <c r="AF345" s="37" cm="1">
        <f t="array" ref="AF345:AG345">LINEST(G326:G345,D326:D345)</f>
        <v>2.4306766917293214</v>
      </c>
      <c r="AG345" s="37">
        <v>-0.49122030075187922</v>
      </c>
      <c r="AH345" s="37" cm="1">
        <f t="array" ref="AH345:AI345">LINEST(G321:G345,D321:D345)</f>
        <v>3.4393846153846144</v>
      </c>
      <c r="AI345" s="37">
        <v>-0.74923615384615361</v>
      </c>
      <c r="AJ345" s="37" cm="1">
        <f t="array" ref="AJ345:AK345">LINEST(G316:G345,D316:D345)</f>
        <v>1.5280978865406019</v>
      </c>
      <c r="AK345" s="37">
        <v>-0.26595951056729727</v>
      </c>
    </row>
    <row r="346" spans="1:37" x14ac:dyDescent="0.25">
      <c r="A346" s="61">
        <v>502</v>
      </c>
      <c r="B346" s="14">
        <f t="shared" si="5"/>
        <v>340</v>
      </c>
      <c r="C346" s="15">
        <v>43981</v>
      </c>
      <c r="D346" s="16">
        <v>0.26624999999999999</v>
      </c>
      <c r="E346" s="36">
        <v>21.38</v>
      </c>
      <c r="F346" s="36">
        <v>0.48</v>
      </c>
      <c r="G346" s="36">
        <v>0.19</v>
      </c>
      <c r="H346" s="56" cm="1">
        <f t="array" ref="H346:I346">LINEST(E337:E346,D337:D346)</f>
        <v>99.578181818181392</v>
      </c>
      <c r="I346" s="56">
        <v>-5.5623272727271633</v>
      </c>
      <c r="J346" s="56" cm="1">
        <f t="array" ref="J346:K346">LINEST(E332:E346,D332:D346)</f>
        <v>50.271428571428608</v>
      </c>
      <c r="K346" s="56">
        <v>7.3239821428571314</v>
      </c>
      <c r="L346" s="56" cm="1">
        <f t="array" ref="L346:M346">LINEST(E327:E346,D327:D346)</f>
        <v>30.537744360902252</v>
      </c>
      <c r="M346" s="56">
        <v>12.435754135338346</v>
      </c>
      <c r="N346" s="56" cm="1">
        <f t="array" ref="N346:O346">LINEST(E322:E346,D322:D346)</f>
        <v>21.671999999999976</v>
      </c>
      <c r="O346" s="56">
        <v>14.711030000000006</v>
      </c>
      <c r="P346" s="56" cm="1">
        <f t="array" ref="P346:Q346">LINEST(E317:E346,D317:D346)</f>
        <v>15.476395995550606</v>
      </c>
      <c r="Q346" s="56">
        <v>16.286420318872818</v>
      </c>
      <c r="R346" s="56" cm="1">
        <f t="array" ref="R346:S346">LINEST(F337:F346,D337:D346)</f>
        <v>11.519999999999957</v>
      </c>
      <c r="S346" s="56">
        <v>-2.749199999999989</v>
      </c>
      <c r="T346" s="56" cm="1">
        <f t="array" ref="T346:U346">LINEST(F332:F346,D332:D346)</f>
        <v>13.448571428571411</v>
      </c>
      <c r="U346" s="56">
        <v>-3.2532654761904709</v>
      </c>
      <c r="V346" s="56" cm="1">
        <f t="array" ref="V346:W346">LINEST(F327:F346,D327:D346)</f>
        <v>2.0950375939849484</v>
      </c>
      <c r="W346" s="56">
        <v>-0.32266090225563548</v>
      </c>
      <c r="X346" s="56" cm="1">
        <f t="array" ref="X346:Y346">LINEST(F322:F346,D322:D346)</f>
        <v>7.4049230769230716</v>
      </c>
      <c r="Y346" s="56">
        <v>-1.6805453846153835</v>
      </c>
      <c r="Z346" s="56" cm="1">
        <f t="array" ref="Z346:AA346">LINEST(F317:F346,D317:D346)</f>
        <v>6.184471635150163</v>
      </c>
      <c r="AA346" s="56">
        <v>-1.377067185761957</v>
      </c>
      <c r="AB346" s="37" cm="1">
        <f t="array" ref="AB346:AC346">LINEST(G337:G346,D337:D346)</f>
        <v>4.0145454545454466</v>
      </c>
      <c r="AC346" s="37">
        <v>-0.89978181818181624</v>
      </c>
      <c r="AD346" s="37" cm="1">
        <f t="array" ref="AD346:AE346">LINEST(G332:G346,D332:D346)</f>
        <v>4.0628571428571441</v>
      </c>
      <c r="AE346" s="37">
        <v>-0.91290238095238108</v>
      </c>
      <c r="AF346" s="37" cm="1">
        <f t="array" ref="AF346:AG346">LINEST(G327:G346,D327:D346)</f>
        <v>2.4577443609022529</v>
      </c>
      <c r="AG346" s="37">
        <v>-0.49494586466165336</v>
      </c>
      <c r="AH346" s="37" cm="1">
        <f t="array" ref="AH346:AI346">LINEST(G322:G346,D322:D346)</f>
        <v>3.7606153846153836</v>
      </c>
      <c r="AI346" s="37">
        <v>-0.82938692307692297</v>
      </c>
      <c r="AJ346" s="37" cm="1">
        <f t="array" ref="AJ346:AK346">LINEST(G317:G346,D317:D346)</f>
        <v>1.8692769744160176</v>
      </c>
      <c r="AK346" s="37">
        <v>-0.34904983314794213</v>
      </c>
    </row>
    <row r="347" spans="1:37" x14ac:dyDescent="0.25">
      <c r="A347" s="61">
        <v>502</v>
      </c>
      <c r="B347" s="14">
        <f t="shared" si="5"/>
        <v>341</v>
      </c>
      <c r="C347" s="15">
        <v>43981</v>
      </c>
      <c r="D347" s="16">
        <v>0.26763888888888887</v>
      </c>
      <c r="E347" s="36">
        <v>21.35</v>
      </c>
      <c r="F347" s="36">
        <v>0.48</v>
      </c>
      <c r="G347" s="36">
        <v>0.21</v>
      </c>
      <c r="H347" s="56" cm="1">
        <f t="array" ref="H347:I347">LINEST(E338:E347,D338:D347)</f>
        <v>125.41090909090887</v>
      </c>
      <c r="I347" s="56">
        <v>-12.321018181818129</v>
      </c>
      <c r="J347" s="56" cm="1">
        <f t="array" ref="J347:K347">LINEST(E333:E347,D333:D347)</f>
        <v>66.085714285714317</v>
      </c>
      <c r="K347" s="56">
        <v>3.2653928571428494</v>
      </c>
      <c r="L347" s="56" cm="1">
        <f t="array" ref="L347:M347">LINEST(E328:E347,D328:D347)</f>
        <v>40.314586466165409</v>
      </c>
      <c r="M347" s="56">
        <v>9.9756774436090279</v>
      </c>
      <c r="N347" s="56" cm="1">
        <f t="array" ref="N347:O347">LINEST(E323:E347,D323:D347)</f>
        <v>28.550769230769205</v>
      </c>
      <c r="O347" s="56">
        <v>13.010950000000005</v>
      </c>
      <c r="P347" s="56" cm="1">
        <f t="array" ref="P347:Q347">LINEST(E318:E347,D318:D347)</f>
        <v>20.781490545050055</v>
      </c>
      <c r="Q347" s="56">
        <v>14.997247756766775</v>
      </c>
      <c r="R347" s="56" cm="1">
        <f t="array" ref="R347:S347">LINEST(F338:F347,D338:D347)</f>
        <v>25.701818181818147</v>
      </c>
      <c r="S347" s="56">
        <v>-6.4591696969696875</v>
      </c>
      <c r="T347" s="56" cm="1">
        <f t="array" ref="T347:U347">LINEST(F333:F347,D333:D347)</f>
        <v>18.617142857142831</v>
      </c>
      <c r="U347" s="56">
        <v>-4.5863380952380881</v>
      </c>
      <c r="V347" s="56" cm="1">
        <f t="array" ref="V347:W347">LINEST(F328:F347,D328:D347)</f>
        <v>-1.3263157894736888</v>
      </c>
      <c r="W347" s="56">
        <v>0.58597368421052742</v>
      </c>
      <c r="X347" s="56" cm="1">
        <f t="array" ref="X347:Y347">LINEST(F323:F347,D323:D347)</f>
        <v>4.9624615384615289</v>
      </c>
      <c r="Y347" s="56">
        <v>-1.0402399999999974</v>
      </c>
      <c r="Z347" s="56" cm="1">
        <f t="array" ref="Z347:AA347">LINEST(F318:F347,D318:D347)</f>
        <v>13.128186874304777</v>
      </c>
      <c r="AA347" s="56">
        <v>-3.1292262513904325</v>
      </c>
      <c r="AB347" s="37" cm="1">
        <f t="array" ref="AB347:AC347">LINEST(G338:G347,D338:D347)</f>
        <v>5.454545454545447</v>
      </c>
      <c r="AC347" s="37">
        <v>-1.2727575757575738</v>
      </c>
      <c r="AD347" s="37" cm="1">
        <f t="array" ref="AD347:AE347">LINEST(G333:G347,D333:D347)</f>
        <v>5.1171428571428583</v>
      </c>
      <c r="AE347" s="37">
        <v>-1.1837964285714291</v>
      </c>
      <c r="AF347" s="37" cm="1">
        <f t="array" ref="AF347:AG347">LINEST(G328:G347,D328:D347)</f>
        <v>2.095037593984959</v>
      </c>
      <c r="AG347" s="37">
        <v>-0.39657067669172841</v>
      </c>
      <c r="AH347" s="37" cm="1">
        <f t="array" ref="AH347:AI347">LINEST(G323:G347,D323:D347)</f>
        <v>3.8603076923076891</v>
      </c>
      <c r="AI347" s="37">
        <v>-0.85242999999999913</v>
      </c>
      <c r="AJ347" s="37" cm="1">
        <f t="array" ref="AJ347:AK347">LINEST(G318:G347,D318:D347)</f>
        <v>2.721423804226919</v>
      </c>
      <c r="AK347" s="37">
        <v>-0.56188572487949584</v>
      </c>
    </row>
    <row r="348" spans="1:37" x14ac:dyDescent="0.25">
      <c r="A348" s="61">
        <v>502</v>
      </c>
      <c r="B348" s="14">
        <f t="shared" si="5"/>
        <v>342</v>
      </c>
      <c r="C348" s="15">
        <v>43981</v>
      </c>
      <c r="D348" s="16">
        <v>0.26902777777777781</v>
      </c>
      <c r="E348" s="36">
        <v>21.34</v>
      </c>
      <c r="F348" s="36">
        <v>-0.11</v>
      </c>
      <c r="G348" s="36">
        <v>0.19</v>
      </c>
      <c r="H348" s="56" cm="1">
        <f t="array" ref="H348:I348">LINEST(E339:E348,D339:D348)</f>
        <v>139.33090909090885</v>
      </c>
      <c r="I348" s="56">
        <v>-16.022066666666607</v>
      </c>
      <c r="J348" s="56" cm="1">
        <f t="array" ref="J348:K348">LINEST(E334:E348,D334:D348)</f>
        <v>78.248571428571324</v>
      </c>
      <c r="K348" s="56">
        <v>0.10904404761907927</v>
      </c>
      <c r="L348" s="56" cm="1">
        <f t="array" ref="L348:M348">LINEST(E329:E348,D329:D348)</f>
        <v>48.58646616541354</v>
      </c>
      <c r="M348" s="56">
        <v>7.872462406015039</v>
      </c>
      <c r="N348" s="56" cm="1">
        <f t="array" ref="N348:O348">LINEST(E324:E348,D324:D348)</f>
        <v>34.582153846153844</v>
      </c>
      <c r="O348" s="56">
        <v>11.50520923076923</v>
      </c>
      <c r="P348" s="56" cm="1">
        <f t="array" ref="P348:Q348">LINEST(E319:E348,D319:D348)</f>
        <v>25.505139043381515</v>
      </c>
      <c r="Q348" s="56">
        <v>13.83838761586949</v>
      </c>
      <c r="R348" s="56" cm="1">
        <f t="array" ref="R348:S348">LINEST(F339:F348,D339:D348)</f>
        <v>10.2981818181817</v>
      </c>
      <c r="S348" s="56">
        <v>-2.4821333333333024</v>
      </c>
      <c r="T348" s="56" cm="1">
        <f t="array" ref="T348:U348">LINEST(F334:F348,D334:D348)</f>
        <v>4.2171428571427976</v>
      </c>
      <c r="U348" s="56">
        <v>-0.87219523809522248</v>
      </c>
      <c r="V348" s="56" cm="1">
        <f t="array" ref="V348:W348">LINEST(F329:F348,D329:D348)</f>
        <v>-2.2682706766917469</v>
      </c>
      <c r="W348" s="56">
        <v>0.79879924812030523</v>
      </c>
      <c r="X348" s="56" cm="1">
        <f t="array" ref="X348:Y348">LINEST(F324:F348,D324:D348)</f>
        <v>1.5341538461538331</v>
      </c>
      <c r="Y348" s="56">
        <v>-0.18716076923076597</v>
      </c>
      <c r="Z348" s="56" cm="1">
        <f t="array" ref="Z348:AA348">LINEST(F319:F348,D319:D348)</f>
        <v>7.690144605116779</v>
      </c>
      <c r="AA348" s="56">
        <v>-1.7723248794957316</v>
      </c>
      <c r="AB348" s="37" cm="1">
        <f t="array" ref="AB348:AC348">LINEST(G339:G348,D339:D348)</f>
        <v>5.8036363636363539</v>
      </c>
      <c r="AC348" s="37">
        <v>-1.3660666666666641</v>
      </c>
      <c r="AD348" s="37" cm="1">
        <f t="array" ref="AD348:AE348">LINEST(G334:G348,D334:D348)</f>
        <v>5.1428571428571352</v>
      </c>
      <c r="AE348" s="37">
        <v>-1.1909047619047597</v>
      </c>
      <c r="AF348" s="37" cm="1">
        <f t="array" ref="AF348:AG348">LINEST(G329:G348,D329:D348)</f>
        <v>1.7756390977443579</v>
      </c>
      <c r="AG348" s="37">
        <v>-0.31126766917293147</v>
      </c>
      <c r="AH348" s="37" cm="1">
        <f t="array" ref="AH348:AI348">LINEST(G324:G348,D324:D348)</f>
        <v>3.7273846153846142</v>
      </c>
      <c r="AI348" s="37">
        <v>-0.81784692307692264</v>
      </c>
      <c r="AJ348" s="37" cm="1">
        <f t="array" ref="AJ348:AK348">LINEST(G319:G348,D319:D348)</f>
        <v>3.1266740823136807</v>
      </c>
      <c r="AK348" s="37">
        <v>-0.66419443826473834</v>
      </c>
    </row>
    <row r="349" spans="1:37" x14ac:dyDescent="0.25">
      <c r="A349" s="61">
        <v>502</v>
      </c>
      <c r="B349" s="14">
        <f t="shared" si="5"/>
        <v>343</v>
      </c>
      <c r="C349" s="15">
        <v>43981</v>
      </c>
      <c r="D349" s="16">
        <v>0.27041666666666669</v>
      </c>
      <c r="E349" s="36">
        <v>21.35</v>
      </c>
      <c r="F349" s="36">
        <v>0.17</v>
      </c>
      <c r="G349" s="36">
        <v>0.18</v>
      </c>
      <c r="H349" s="56" cm="1">
        <f t="array" ref="H349:I349">LINEST(E340:E349,D340:D349)</f>
        <v>142.69090909090897</v>
      </c>
      <c r="I349" s="56">
        <v>-16.972181818181788</v>
      </c>
      <c r="J349" s="56" cm="1">
        <f t="array" ref="J349:K349">LINEST(E335:E349,D335:D349)</f>
        <v>86.939999999999742</v>
      </c>
      <c r="K349" s="56">
        <v>-2.1747749999999328</v>
      </c>
      <c r="L349" s="56" cm="1">
        <f t="array" ref="L349:M349">LINEST(E330:E349,D330:D349)</f>
        <v>56.149172932330828</v>
      </c>
      <c r="M349" s="56">
        <v>5.9261849624060208</v>
      </c>
      <c r="N349" s="56" cm="1">
        <f t="array" ref="N349:O349">LINEST(E325:E349,D325:D349)</f>
        <v>39.904615384615397</v>
      </c>
      <c r="O349" s="56">
        <v>10.163003846153845</v>
      </c>
      <c r="P349" s="56" cm="1">
        <f t="array" ref="P349:Q349">LINEST(E320:E349,D320:D349)</f>
        <v>29.886006674082285</v>
      </c>
      <c r="Q349" s="56">
        <v>12.752196662958854</v>
      </c>
      <c r="R349" s="56" cm="1">
        <f t="array" ref="R349:S349">LINEST(F340:F349,D340:D349)</f>
        <v>0.30545454545438278</v>
      </c>
      <c r="S349" s="56">
        <v>0.15430909090913392</v>
      </c>
      <c r="T349" s="56" cm="1">
        <f t="array" ref="T349:U349">LINEST(F335:F349,D335:D349)</f>
        <v>-3.9342857142857399</v>
      </c>
      <c r="U349" s="56">
        <v>1.2669797619047687</v>
      </c>
      <c r="V349" s="56" cm="1">
        <f t="array" ref="V349:W349">LINEST(F330:F349,D330:D349)</f>
        <v>14.188872180451085</v>
      </c>
      <c r="W349" s="56">
        <v>-3.5081932330826953</v>
      </c>
      <c r="X349" s="56" cm="1">
        <f t="array" ref="X349:Y349">LINEST(F325:F349,D325:D349)</f>
        <v>0.61476923076921852</v>
      </c>
      <c r="Y349" s="56">
        <v>4.6802307692310807E-2</v>
      </c>
      <c r="Z349" s="56" cm="1">
        <f t="array" ref="Z349:AA349">LINEST(F320:F349,D320:D349)</f>
        <v>9.1541713014460377</v>
      </c>
      <c r="AA349" s="56">
        <v>-2.1574189840563553</v>
      </c>
      <c r="AB349" s="37" cm="1">
        <f t="array" ref="AB349:AC349">LINEST(G340:G349,D340:D349)</f>
        <v>5.2363636363636274</v>
      </c>
      <c r="AC349" s="37">
        <v>-1.2192727272727251</v>
      </c>
      <c r="AD349" s="37" cm="1">
        <f t="array" ref="AD349:AE349">LINEST(G335:G349,D335:D349)</f>
        <v>4.3199999999999896</v>
      </c>
      <c r="AE349" s="37">
        <v>-0.9761999999999974</v>
      </c>
      <c r="AF349" s="37" cm="1">
        <f t="array" ref="AF349:AG349">LINEST(G330:G349,D330:D349)</f>
        <v>2.690526315789469</v>
      </c>
      <c r="AG349" s="37">
        <v>-0.54956315789473553</v>
      </c>
      <c r="AH349" s="37" cm="1">
        <f t="array" ref="AH349:AI349">LINEST(G325:G349,D325:D349)</f>
        <v>3.4393846153846126</v>
      </c>
      <c r="AI349" s="37">
        <v>-0.74394384615384535</v>
      </c>
      <c r="AJ349" s="37" cm="1">
        <f t="array" ref="AJ349:AK349">LINEST(G320:G349,D320:D349)</f>
        <v>3.5623581757508318</v>
      </c>
      <c r="AK349" s="37">
        <v>-0.77624575454208311</v>
      </c>
    </row>
    <row r="350" spans="1:37" x14ac:dyDescent="0.25">
      <c r="A350" s="61">
        <v>502</v>
      </c>
      <c r="B350" s="14">
        <f t="shared" si="5"/>
        <v>344</v>
      </c>
      <c r="C350" s="15">
        <v>43981</v>
      </c>
      <c r="D350" s="16">
        <v>0.27180555555555558</v>
      </c>
      <c r="E350" s="36">
        <v>21.32</v>
      </c>
      <c r="F350" s="36">
        <v>-0.82</v>
      </c>
      <c r="G350" s="36">
        <v>0.11</v>
      </c>
      <c r="H350" s="56" cm="1">
        <f t="array" ref="H350:I350">LINEST(E341:E350,D341:D350)</f>
        <v>132.95999999999972</v>
      </c>
      <c r="I350" s="56">
        <v>-14.457266666666591</v>
      </c>
      <c r="J350" s="56" cm="1">
        <f t="array" ref="J350:K350">LINEST(E336:E350,D336:D350)</f>
        <v>92.211428571428286</v>
      </c>
      <c r="K350" s="56">
        <v>-3.5904119047618295</v>
      </c>
      <c r="L350" s="56" cm="1">
        <f t="array" ref="L350:M350">LINEST(E331:E350,D331:D350)</f>
        <v>62.190676691729308</v>
      </c>
      <c r="M350" s="56">
        <v>4.3498000000000019</v>
      </c>
      <c r="N350" s="56" cm="1">
        <f t="array" ref="N350:O350">LINEST(E326:E350,D326:D350)</f>
        <v>44.318769230769234</v>
      </c>
      <c r="O350" s="56">
        <v>9.0361584615384611</v>
      </c>
      <c r="P350" s="56" cm="1">
        <f t="array" ref="P350:Q350">LINEST(E321:E350,D321:D350)</f>
        <v>33.589321468298103</v>
      </c>
      <c r="Q350" s="56">
        <v>11.824020763811644</v>
      </c>
      <c r="R350" s="56" cm="1">
        <f t="array" ref="R350:S350">LINEST(F341:F350,D341:D350)</f>
        <v>-64.887272727272745</v>
      </c>
      <c r="S350" s="56">
        <v>17.410175757575761</v>
      </c>
      <c r="T350" s="56" cm="1">
        <f t="array" ref="T350:U350">LINEST(F336:F350,D336:D350)</f>
        <v>-10.928571428571454</v>
      </c>
      <c r="U350" s="56">
        <v>2.9955297619047685</v>
      </c>
      <c r="V350" s="56" cm="1">
        <f t="array" ref="V350:W350">LINEST(F331:F350,D331:D350)</f>
        <v>8.8294736842104928</v>
      </c>
      <c r="W350" s="56">
        <v>-2.2098999999999913</v>
      </c>
      <c r="X350" s="56" cm="1">
        <f t="array" ref="X350:Y350">LINEST(F326:F350,D326:D350)</f>
        <v>-6.2030769230769405</v>
      </c>
      <c r="Y350" s="56">
        <v>1.7446461538461584</v>
      </c>
      <c r="Z350" s="56" cm="1">
        <f t="array" ref="Z350:AA350">LINEST(F321:F350,D321:D350)</f>
        <v>1.0812013348164478</v>
      </c>
      <c r="AA350" s="56">
        <v>-0.14576900259547271</v>
      </c>
      <c r="AB350" s="37" cm="1">
        <f t="array" ref="AB350:AC350">LINEST(G341:G350,D341:D350)</f>
        <v>4.3636363636358103E-2</v>
      </c>
      <c r="AC350" s="37">
        <v>0.15341212121212267</v>
      </c>
      <c r="AD350" s="37" cm="1">
        <f t="array" ref="AD350:AE350">LINEST(G336:G350,D336:D350)</f>
        <v>3.1885714285714184</v>
      </c>
      <c r="AE350" s="37">
        <v>-0.68700476190475934</v>
      </c>
      <c r="AF350" s="37" cm="1">
        <f t="array" ref="AF350:AG350">LINEST(G331:G350,D331:D350)</f>
        <v>3.2372932330827022</v>
      </c>
      <c r="AG350" s="37">
        <v>-0.70019999999999882</v>
      </c>
      <c r="AH350" s="37" cm="1">
        <f t="array" ref="AH350:AI350">LINEST(G326:G350,D326:D350)</f>
        <v>2.6750769230769205</v>
      </c>
      <c r="AI350" s="37">
        <v>-0.55091615384615333</v>
      </c>
      <c r="AJ350" s="37" cm="1">
        <f t="array" ref="AJ350:AK350">LINEST(G321:G350,D321:D350)</f>
        <v>3.3621357063403767</v>
      </c>
      <c r="AK350" s="37">
        <v>-0.72980415276232824</v>
      </c>
    </row>
    <row r="351" spans="1:37" x14ac:dyDescent="0.25">
      <c r="A351" s="61">
        <v>502</v>
      </c>
      <c r="B351" s="14">
        <f t="shared" si="5"/>
        <v>345</v>
      </c>
      <c r="C351" s="15">
        <v>43981</v>
      </c>
      <c r="D351" s="16">
        <v>0.27319444444444446</v>
      </c>
      <c r="E351" s="36">
        <v>21.33</v>
      </c>
      <c r="F351" s="36">
        <v>0.17</v>
      </c>
      <c r="G351" s="36">
        <v>0.11</v>
      </c>
      <c r="H351" s="56" cm="1">
        <f t="array" ref="H351:I351">LINEST(E342:E351,D342:D351)</f>
        <v>113.80363636363592</v>
      </c>
      <c r="I351" s="56">
        <v>-9.4012484848483666</v>
      </c>
      <c r="J351" s="56" cm="1">
        <f t="array" ref="J351:K351">LINEST(E337:E351,D337:D351)</f>
        <v>94.114285714285401</v>
      </c>
      <c r="K351" s="56">
        <v>-4.1318333333332511</v>
      </c>
      <c r="L351" s="56" cm="1">
        <f t="array" ref="L351:M351">LINEST(E332:E351,D332:D351)</f>
        <v>66.494436090225548</v>
      </c>
      <c r="M351" s="56">
        <v>3.2109466165413565</v>
      </c>
      <c r="N351" s="56" cm="1">
        <f t="array" ref="N351:O351">LINEST(E327:E351,D327:D351)</f>
        <v>48.112615384615374</v>
      </c>
      <c r="O351" s="56">
        <v>8.0561776923076955</v>
      </c>
      <c r="P351" s="56" cm="1">
        <f t="array" ref="P351:Q351">LINEST(E322:E351,D322:D351)</f>
        <v>36.903403781979939</v>
      </c>
      <c r="Q351" s="56">
        <v>10.984388654060082</v>
      </c>
      <c r="R351" s="56" cm="1">
        <f t="array" ref="R351:S351">LINEST(F342:F351,D342:D351)</f>
        <v>-18.632727272727468</v>
      </c>
      <c r="S351" s="56">
        <v>5.0549030303030822</v>
      </c>
      <c r="T351" s="56" cm="1">
        <f t="array" ref="T351:U351">LINEST(F337:F351,D337:D351)</f>
        <v>-17.254285714285714</v>
      </c>
      <c r="U351" s="56">
        <v>4.7026916666666665</v>
      </c>
      <c r="V351" s="56" cm="1">
        <f t="array" ref="V351:W351">LINEST(F332:F351,D332:D351)</f>
        <v>-4.6556390977444035</v>
      </c>
      <c r="W351" s="56">
        <v>1.3524661654135448</v>
      </c>
      <c r="X351" s="56" cm="1">
        <f t="array" ref="X351:Y351">LINEST(F327:F351,D327:D351)</f>
        <v>-6.0203076923077106</v>
      </c>
      <c r="Y351" s="56">
        <v>1.7059761538461582</v>
      </c>
      <c r="Z351" s="56" cm="1">
        <f t="array" ref="Z351:AA351">LINEST(F322:F351,D322:D351)</f>
        <v>6.0867630700769462E-2</v>
      </c>
      <c r="AA351" s="56">
        <v>0.12059710789766641</v>
      </c>
      <c r="AB351" s="37" cm="1">
        <f t="array" ref="AB351:AC351">LINEST(G342:G351,D342:D351)</f>
        <v>-1.3963636363636394</v>
      </c>
      <c r="AC351" s="37">
        <v>0.53075151515151597</v>
      </c>
      <c r="AD351" s="37" cm="1">
        <f t="array" ref="AD351:AE351">LINEST(G337:G351,D337:D351)</f>
        <v>1.4914285714285658</v>
      </c>
      <c r="AE351" s="37">
        <v>-0.24361666666666523</v>
      </c>
      <c r="AF351" s="37" cm="1">
        <f t="array" ref="AF351:AG351">LINEST(G332:G351,D332:D351)</f>
        <v>2.6526315789473642</v>
      </c>
      <c r="AG351" s="37">
        <v>-0.55268421052631456</v>
      </c>
      <c r="AH351" s="37" cm="1">
        <f t="array" ref="AH351:AI351">LINEST(G327:G351,D327:D351)</f>
        <v>2.0159999999999973</v>
      </c>
      <c r="AI351" s="37">
        <v>-0.38355999999999935</v>
      </c>
      <c r="AJ351" s="37" cm="1">
        <f t="array" ref="AJ351:AK351">LINEST(G322:G351,D322:D351)</f>
        <v>3.102647385984425</v>
      </c>
      <c r="AK351" s="37">
        <v>-0.6674754912866141</v>
      </c>
    </row>
    <row r="352" spans="1:37" x14ac:dyDescent="0.25">
      <c r="A352" s="61">
        <v>502</v>
      </c>
      <c r="B352" s="14">
        <f t="shared" si="5"/>
        <v>346</v>
      </c>
      <c r="C352" s="15">
        <v>43981</v>
      </c>
      <c r="D352" s="16">
        <v>0.27458333333333335</v>
      </c>
      <c r="E352" s="36">
        <v>21.33</v>
      </c>
      <c r="F352" s="36">
        <v>0.05</v>
      </c>
      <c r="G352" s="36">
        <v>0.11</v>
      </c>
      <c r="H352" s="56" cm="1">
        <f t="array" ref="H352:I352">LINEST(E343:E352,D343:D352)</f>
        <v>84.04363636363594</v>
      </c>
      <c r="I352" s="56">
        <v>-1.4477090909089831</v>
      </c>
      <c r="J352" s="56" cm="1">
        <f t="array" ref="J352:K352">LINEST(E338:E352,D338:D352)</f>
        <v>93.034285714285417</v>
      </c>
      <c r="K352" s="56">
        <v>-3.8898309523808798</v>
      </c>
      <c r="L352" s="56" cm="1">
        <f t="array" ref="L352:M352">LINEST(E333:E352,D333:D352)</f>
        <v>69.358195488721705</v>
      </c>
      <c r="M352" s="56">
        <v>2.4365383458646868</v>
      </c>
      <c r="N352" s="56" cm="1">
        <f t="array" ref="N352:O352">LINEST(E328:E352,D328:D352)</f>
        <v>51.07569230769225</v>
      </c>
      <c r="O352" s="56">
        <v>7.2803276923077114</v>
      </c>
      <c r="P352" s="56" cm="1">
        <f t="array" ref="P352:Q352">LINEST(E323:E352,D323:D352)</f>
        <v>39.679288097886513</v>
      </c>
      <c r="Q352" s="56">
        <v>10.273158917315548</v>
      </c>
      <c r="R352" s="56" cm="1">
        <f t="array" ref="R352:S352">LINEST(F343:F352,D343:D352)</f>
        <v>-14.618181818181993</v>
      </c>
      <c r="S352" s="56">
        <v>3.9895454545455022</v>
      </c>
      <c r="T352" s="56" cm="1">
        <f t="array" ref="T352:U352">LINEST(F338:F352,D338:D352)</f>
        <v>-15.19714285714287</v>
      </c>
      <c r="U352" s="56">
        <v>4.1617988095238125</v>
      </c>
      <c r="V352" s="56" cm="1">
        <f t="array" ref="V352:W352">LINEST(F333:F352,D333:D352)</f>
        <v>-4.9425563909774795</v>
      </c>
      <c r="W352" s="56">
        <v>1.4264293233082801</v>
      </c>
      <c r="X352" s="56" cm="1">
        <f t="array" ref="X352:Y352">LINEST(F328:F352,D328:D352)</f>
        <v>-10.373538461538471</v>
      </c>
      <c r="Y352" s="56">
        <v>2.8527084615384637</v>
      </c>
      <c r="Z352" s="56" cm="1">
        <f t="array" ref="Z352:AA352">LINEST(F323:F352,D323:D352)</f>
        <v>-3.2980645161290418</v>
      </c>
      <c r="AA352" s="56">
        <v>0.99217419354838943</v>
      </c>
      <c r="AB352" s="37" cm="1">
        <f t="array" ref="AB352:AC352">LINEST(G343:G352,D343:D352)</f>
        <v>-2.2254545454545465</v>
      </c>
      <c r="AC352" s="37">
        <v>0.7481636363636367</v>
      </c>
      <c r="AD352" s="37" cm="1">
        <f t="array" ref="AD352:AE352">LINEST(G338:G352,D338:D352)</f>
        <v>0.1799999999999978</v>
      </c>
      <c r="AE352" s="37">
        <v>0.10099166666666723</v>
      </c>
      <c r="AF352" s="37" cm="1">
        <f t="array" ref="AF352:AG352">LINEST(G333:G352,D333:D352)</f>
        <v>2.0679699248120249</v>
      </c>
      <c r="AG352" s="37">
        <v>-0.40354436090225432</v>
      </c>
      <c r="AH352" s="37" cm="1">
        <f t="array" ref="AH352:AI352">LINEST(G328:G352,D328:D352)</f>
        <v>1.0412307692307665</v>
      </c>
      <c r="AI352" s="37">
        <v>-0.13135076923076852</v>
      </c>
      <c r="AJ352" s="37" cm="1">
        <f t="array" ref="AJ352:AK352">LINEST(G323:G352,D323:D352)</f>
        <v>2.6317241379310321</v>
      </c>
      <c r="AK352" s="37">
        <v>-0.54929425287356259</v>
      </c>
    </row>
    <row r="353" spans="1:37" x14ac:dyDescent="0.25">
      <c r="A353" s="61">
        <v>502</v>
      </c>
      <c r="B353" s="14">
        <f t="shared" si="5"/>
        <v>347</v>
      </c>
      <c r="C353" s="15">
        <v>43981</v>
      </c>
      <c r="D353" s="16">
        <v>0.27597222222222223</v>
      </c>
      <c r="E353" s="36">
        <v>21.33</v>
      </c>
      <c r="F353" s="36">
        <v>0.21</v>
      </c>
      <c r="G353" s="36">
        <v>0.11</v>
      </c>
      <c r="H353" s="56" cm="1">
        <f t="array" ref="H353:I353">LINEST(E344:E353,D344:D353)</f>
        <v>42.327272727272451</v>
      </c>
      <c r="I353" s="56">
        <v>9.8153939393940046</v>
      </c>
      <c r="J353" s="56" cm="1">
        <f t="array" ref="J353:K353">LINEST(E339:E353,D339:D353)</f>
        <v>88.611428571428377</v>
      </c>
      <c r="K353" s="56">
        <v>-2.7547928571428066</v>
      </c>
      <c r="L353" s="56" cm="1">
        <f t="array" ref="L353:M353">LINEST(E334:E353,D334:D353)</f>
        <v>70.781954887217921</v>
      </c>
      <c r="M353" s="56">
        <v>2.032575187969961</v>
      </c>
      <c r="N353" s="56" cm="1">
        <f t="array" ref="N353:O353">LINEST(E329:E353,D329:D353)</f>
        <v>53.34646153846149</v>
      </c>
      <c r="O353" s="56">
        <v>6.6753661538461699</v>
      </c>
      <c r="P353" s="56" cm="1">
        <f t="array" ref="P353:Q353">LINEST(E324:E353,D324:D353)</f>
        <v>42.009877641824204</v>
      </c>
      <c r="Q353" s="56">
        <v>9.6681396366333132</v>
      </c>
      <c r="R353" s="56" cm="1">
        <f t="array" ref="R353:S353">LINEST(F344:F353,D344:D353)</f>
        <v>-46.298181818181881</v>
      </c>
      <c r="S353" s="56">
        <v>12.646648484848503</v>
      </c>
      <c r="T353" s="56" cm="1">
        <f t="array" ref="T353:U353">LINEST(F339:F353,D339:D353)</f>
        <v>-11.751428571428606</v>
      </c>
      <c r="U353" s="56">
        <v>3.2634845238095327</v>
      </c>
      <c r="V353" s="56" cm="1">
        <f t="array" ref="V353:W353">LINEST(F334:F353,D334:D353)</f>
        <v>-7.9687218045113015</v>
      </c>
      <c r="W353" s="56">
        <v>2.2490030075188026</v>
      </c>
      <c r="X353" s="56" cm="1">
        <f t="array" ref="X353:Y353">LINEST(F329:F353,D329:D353)</f>
        <v>-7.9033846153846259</v>
      </c>
      <c r="Y353" s="56">
        <v>2.2153915384615406</v>
      </c>
      <c r="Z353" s="56" cm="1">
        <f t="array" ref="Z353:AA353">LINEST(F324:F353,D324:D353)</f>
        <v>-3.6937041156841017</v>
      </c>
      <c r="AA353" s="56">
        <v>1.1043059695958493</v>
      </c>
      <c r="AB353" s="37" cm="1">
        <f t="array" ref="AB353:AC353">LINEST(G344:G353,D344:D353)</f>
        <v>-5.8036363636363504</v>
      </c>
      <c r="AC353" s="37">
        <v>1.7163696969696935</v>
      </c>
      <c r="AD353" s="37" cm="1">
        <f t="array" ref="AD353:AE353">LINEST(G339:G353,D339:D353)</f>
        <v>-0.90000000000000124</v>
      </c>
      <c r="AE353" s="37">
        <v>0.38695833333333363</v>
      </c>
      <c r="AF353" s="37" cm="1">
        <f t="array" ref="AF353:AG353">LINEST(G334:G353,D334:D353)</f>
        <v>1.2559398496240564</v>
      </c>
      <c r="AG353" s="37">
        <v>-0.19203308270676586</v>
      </c>
      <c r="AH353" s="37" cm="1">
        <f t="array" ref="AH353:AI353">LINEST(G329:G353,D329:D353)</f>
        <v>0.30461538461538284</v>
      </c>
      <c r="AI353" s="37">
        <v>6.0211538461538927E-2</v>
      </c>
      <c r="AJ353" s="37" cm="1">
        <f t="array" ref="AJ353:AK353">LINEST(G324:G353,D324:D353)</f>
        <v>2.135172413793101</v>
      </c>
      <c r="AK353" s="37">
        <v>-0.42324827586206826</v>
      </c>
    </row>
    <row r="354" spans="1:37" x14ac:dyDescent="0.25">
      <c r="A354" s="61">
        <v>502</v>
      </c>
      <c r="B354" s="14">
        <f t="shared" si="5"/>
        <v>348</v>
      </c>
      <c r="C354" s="15">
        <v>43981</v>
      </c>
      <c r="D354" s="16">
        <v>0.27736111111111111</v>
      </c>
      <c r="E354" s="36">
        <v>21.34</v>
      </c>
      <c r="F354" s="36">
        <v>0.04</v>
      </c>
      <c r="G354" s="36">
        <v>0.11</v>
      </c>
      <c r="H354" s="56" cm="1">
        <f t="array" ref="H354:I354">LINEST(E345:E354,D345:D354)</f>
        <v>-9.6872727272728909</v>
      </c>
      <c r="I354" s="56">
        <v>23.986327272727308</v>
      </c>
      <c r="J354" s="56" cm="1">
        <f t="array" ref="J354:K354">LINEST(E340:E354,D340:D354)</f>
        <v>81.231428571428424</v>
      </c>
      <c r="K354" s="56">
        <v>-0.81602261904757967</v>
      </c>
      <c r="L354" s="56" cm="1">
        <f t="array" ref="L354:M354">LINEST(E335:E354,D335:D354)</f>
        <v>70.754887218044942</v>
      </c>
      <c r="M354" s="56">
        <v>2.0089172932331252</v>
      </c>
      <c r="N354" s="56" cm="1">
        <f t="array" ref="N354:O354">LINEST(E330:E354,D330:D354)</f>
        <v>55.356923076923039</v>
      </c>
      <c r="O354" s="56">
        <v>6.1299576923077019</v>
      </c>
      <c r="P354" s="56" cm="1">
        <f t="array" ref="P354:Q354">LINEST(E325:E354,D325:D354)</f>
        <v>43.941624026696289</v>
      </c>
      <c r="Q354" s="56">
        <v>9.1595711531331272</v>
      </c>
      <c r="R354" s="56" cm="1">
        <f t="array" ref="R354:S354">LINEST(F345:F354,D345:D354)</f>
        <v>-35.563636363636519</v>
      </c>
      <c r="S354" s="56">
        <v>9.7566969696970123</v>
      </c>
      <c r="T354" s="56" cm="1">
        <f t="array" ref="T354:U354">LINEST(F340:F354,D340:D354)</f>
        <v>-14.991428571428646</v>
      </c>
      <c r="U354" s="56">
        <v>4.1456226190476393</v>
      </c>
      <c r="V354" s="56" cm="1">
        <f t="array" ref="V354:W354">LINEST(F335:F354,D335:D354)</f>
        <v>-12.391578947368416</v>
      </c>
      <c r="W354" s="56">
        <v>3.4369421052631566</v>
      </c>
      <c r="X354" s="56" cm="1">
        <f t="array" ref="X354:Y354">LINEST(F330:F354,D330:D354)</f>
        <v>2.3759999999999821</v>
      </c>
      <c r="Y354" s="56">
        <v>-0.5202099999999954</v>
      </c>
      <c r="Z354" s="56" cm="1">
        <f t="array" ref="Z354:AA354">LINEST(F325:F354,D325:D354)</f>
        <v>-4.542647385984437</v>
      </c>
      <c r="AA354" s="56">
        <v>1.3258031887282191</v>
      </c>
      <c r="AB354" s="37" cm="1">
        <f t="array" ref="AB354:AC354">LINEST(G345:G354,D345:D354)</f>
        <v>-7.9418181818181699</v>
      </c>
      <c r="AC354" s="37">
        <v>2.3011151515151487</v>
      </c>
      <c r="AD354" s="37" cm="1">
        <f t="array" ref="AD354:AE354">LINEST(G340:G354,D340:D354)</f>
        <v>-1.9285714285714313</v>
      </c>
      <c r="AE354" s="37">
        <v>0.66216071428571499</v>
      </c>
      <c r="AF354" s="37" cm="1">
        <f t="array" ref="AF354:AG354">LINEST(G335:G354,D335:D354)</f>
        <v>0.19488721804511328</v>
      </c>
      <c r="AG354" s="37">
        <v>8.8517293233082536E-2</v>
      </c>
      <c r="AH354" s="37" cm="1">
        <f t="array" ref="AH354:AI354">LINEST(G330:G354,D330:D354)</f>
        <v>0.47630769230769143</v>
      </c>
      <c r="AI354" s="37">
        <v>1.1829230769230981E-2</v>
      </c>
      <c r="AJ354" s="37" cm="1">
        <f t="array" ref="AJ354:AK354">LINEST(G325:G354,D325:D354)</f>
        <v>1.6129922135706318</v>
      </c>
      <c r="AK354" s="37">
        <v>-0.28923077493511257</v>
      </c>
    </row>
    <row r="355" spans="1:37" x14ac:dyDescent="0.25">
      <c r="A355" s="61">
        <v>502</v>
      </c>
      <c r="B355" s="14">
        <f t="shared" si="5"/>
        <v>349</v>
      </c>
      <c r="C355" s="15">
        <v>43981</v>
      </c>
      <c r="D355" s="16">
        <v>0.27875</v>
      </c>
      <c r="E355" s="36">
        <v>21.35</v>
      </c>
      <c r="F355" s="36">
        <v>0.53</v>
      </c>
      <c r="G355" s="36">
        <v>0.14000000000000001</v>
      </c>
      <c r="H355" s="56" cm="1">
        <f t="array" ref="H355:I355">LINEST(E346:E355,D346:D355)</f>
        <v>-1.9200000000000448</v>
      </c>
      <c r="I355" s="56">
        <v>21.865200000000009</v>
      </c>
      <c r="J355" s="56" cm="1">
        <f t="array" ref="J355:K355">LINEST(E341:E355,D341:D355)</f>
        <v>70.482857142857057</v>
      </c>
      <c r="K355" s="56">
        <v>2.0508202380952589</v>
      </c>
      <c r="L355" s="56" cm="1">
        <f t="array" ref="L355:M355">LINEST(E336:E355,D336:D355)</f>
        <v>69.710075187969778</v>
      </c>
      <c r="M355" s="56">
        <v>2.2546022556391385</v>
      </c>
      <c r="N355" s="56" cm="1">
        <f t="array" ref="N355:O355">LINEST(E331:E355,D331:D355)</f>
        <v>56.846769230769205</v>
      </c>
      <c r="O355" s="56">
        <v>5.7150092307692351</v>
      </c>
      <c r="P355" s="56" cm="1">
        <f t="array" ref="P355:Q355">LINEST(E326:E355,D326:D355)</f>
        <v>45.520978865405979</v>
      </c>
      <c r="Q355" s="56">
        <v>8.7367690767519637</v>
      </c>
      <c r="R355" s="56" cm="1">
        <f t="array" ref="R355:S355">LINEST(F346:F355,D346:D355)</f>
        <v>-1.7454545454547885</v>
      </c>
      <c r="S355" s="56">
        <v>0.59563636363642991</v>
      </c>
      <c r="T355" s="56" cm="1">
        <f t="array" ref="T355:U355">LINEST(F341:F355,D341:D355)</f>
        <v>-15.94285714285718</v>
      </c>
      <c r="U355" s="56">
        <v>4.4750714285714386</v>
      </c>
      <c r="V355" s="56" cm="1">
        <f t="array" ref="V355:W355">LINEST(F336:F355,D336:D355)</f>
        <v>-1.0448120300752122</v>
      </c>
      <c r="W355" s="56">
        <v>0.4259556390977508</v>
      </c>
      <c r="X355" s="56" cm="1">
        <f t="array" ref="X355:Y355">LINEST(F331:F355,D331:D355)</f>
        <v>8.4129230769230627</v>
      </c>
      <c r="Y355" s="56">
        <v>-2.1060869230769197</v>
      </c>
      <c r="Z355" s="56" cm="1">
        <f t="array" ref="Z355:AA355">LINEST(F326:F355,D326:D355)</f>
        <v>-2.5996885428253704</v>
      </c>
      <c r="AA355" s="56">
        <v>0.84064167593622763</v>
      </c>
      <c r="AB355" s="37" cm="1">
        <f t="array" ref="AB355:AC355">LINEST(G346:G355,D346:D355)</f>
        <v>-7.6800000000000042</v>
      </c>
      <c r="AC355" s="37">
        <v>2.2388000000000012</v>
      </c>
      <c r="AD355" s="37" cm="1">
        <f t="array" ref="AD355:AE355">LINEST(G341:G355,D341:D355)</f>
        <v>-2.9828571428571418</v>
      </c>
      <c r="AE355" s="37">
        <v>0.95113809523809489</v>
      </c>
      <c r="AF355" s="37" cm="1">
        <f t="array" ref="AF355:AG355">LINEST(G336:G355,D336:D355)</f>
        <v>8.1203007518797263E-2</v>
      </c>
      <c r="AG355" s="37">
        <v>0.1189360902255638</v>
      </c>
      <c r="AH355" s="37" cm="1">
        <f t="array" ref="AH355:AI355">LINEST(G331:G355,D331:D355)</f>
        <v>1.1076923076923062</v>
      </c>
      <c r="AI355" s="37">
        <v>-0.15750769230769193</v>
      </c>
      <c r="AJ355" s="37" cm="1">
        <f t="array" ref="AJ355:AK355">LINEST(G326:G355,D326:D355)</f>
        <v>1.2541935483870941</v>
      </c>
      <c r="AK355" s="37">
        <v>-0.19534838709677346</v>
      </c>
    </row>
    <row r="356" spans="1:37" x14ac:dyDescent="0.25">
      <c r="A356" s="61">
        <v>502</v>
      </c>
      <c r="B356" s="14">
        <f t="shared" si="5"/>
        <v>350</v>
      </c>
      <c r="C356" s="15">
        <v>43981</v>
      </c>
      <c r="D356" s="16">
        <v>0.28013888888888888</v>
      </c>
      <c r="E356" s="36">
        <v>21.36</v>
      </c>
      <c r="F356" s="36">
        <v>0.3</v>
      </c>
      <c r="G356" s="36">
        <v>0.15</v>
      </c>
      <c r="H356" s="56" cm="1">
        <f t="array" ref="H356:I356">LINEST(E347:E356,D347:D356)</f>
        <v>0.61090909090899637</v>
      </c>
      <c r="I356" s="56">
        <v>21.172678787878809</v>
      </c>
      <c r="J356" s="56" cm="1">
        <f t="array" ref="J356:K356">LINEST(E342:E356,D342:D356)</f>
        <v>57.137142857142798</v>
      </c>
      <c r="K356" s="56">
        <v>5.6484976190476335</v>
      </c>
      <c r="L356" s="56" cm="1">
        <f t="array" ref="L356:M356">LINEST(E337:E356,D337:D356)</f>
        <v>67.214436090225476</v>
      </c>
      <c r="M356" s="56">
        <v>2.8914796992481406</v>
      </c>
      <c r="N356" s="56" cm="1">
        <f t="array" ref="N356:O356">LINEST(E332:E356,D332:D356)</f>
        <v>57.389538461538443</v>
      </c>
      <c r="O356" s="56">
        <v>5.5474507692307728</v>
      </c>
      <c r="P356" s="56" cm="1">
        <f t="array" ref="P356:Q356">LINEST(E327:E356,D327:D356)</f>
        <v>46.747942157953261</v>
      </c>
      <c r="Q356" s="56">
        <v>8.4012017055988242</v>
      </c>
      <c r="R356" s="56" cm="1">
        <f t="array" ref="R356:S356">LINEST(F347:F356,D347:D356)</f>
        <v>22.603636363636216</v>
      </c>
      <c r="S356" s="56">
        <v>-6.0888848484848079</v>
      </c>
      <c r="T356" s="56" cm="1">
        <f t="array" ref="T356:U356">LINEST(F342:F356,D342:D356)</f>
        <v>5.9399999999998983</v>
      </c>
      <c r="U356" s="56">
        <v>-1.4769416666666391</v>
      </c>
      <c r="V356" s="56" cm="1">
        <f t="array" ref="V356:W356">LINEST(F337:F356,D337:D356)</f>
        <v>-3.5621052631579264</v>
      </c>
      <c r="W356" s="56">
        <v>1.1248842105263241</v>
      </c>
      <c r="X356" s="56" cm="1">
        <f t="array" ref="X356:Y356">LINEST(F332:F356,D332:D356)</f>
        <v>0.39876923076920995</v>
      </c>
      <c r="Y356" s="56">
        <v>5.3735384615390125E-2</v>
      </c>
      <c r="Z356" s="56" cm="1">
        <f t="array" ref="Z356:AA356">LINEST(F327:F356,D327:D356)</f>
        <v>-1.9301446051168025</v>
      </c>
      <c r="AA356" s="56">
        <v>0.67417093066370193</v>
      </c>
      <c r="AB356" s="37" cm="1">
        <f t="array" ref="AB356:AC356">LINEST(G347:G356,D347:D356)</f>
        <v>-5.4109090909091115</v>
      </c>
      <c r="AC356" s="37">
        <v>1.6239878787878845</v>
      </c>
      <c r="AD356" s="37" cm="1">
        <f t="array" ref="AD356:AE356">LINEST(G342:G356,D342:D356)</f>
        <v>-2.3142857142857158</v>
      </c>
      <c r="AE356" s="37">
        <v>0.7724880952380957</v>
      </c>
      <c r="AF356" s="37" cm="1">
        <f t="array" ref="AF356:AG356">LINEST(G337:G356,D337:D356)</f>
        <v>-0.28150375939849592</v>
      </c>
      <c r="AG356" s="37">
        <v>0.218145864661654</v>
      </c>
      <c r="AH356" s="37" cm="1">
        <f t="array" ref="AH356:AI356">LINEST(G332:G356,D332:D356)</f>
        <v>1.0578461538461523</v>
      </c>
      <c r="AI356" s="37">
        <v>-0.14431307692307649</v>
      </c>
      <c r="AJ356" s="37" cm="1">
        <f t="array" ref="AJ356:AK356">LINEST(G327:G356,D327:D356)</f>
        <v>1.0091212458286978</v>
      </c>
      <c r="AK356" s="37">
        <v>-0.13037152391546139</v>
      </c>
    </row>
    <row r="357" spans="1:37" x14ac:dyDescent="0.25">
      <c r="A357" s="61">
        <v>502</v>
      </c>
      <c r="B357" s="14">
        <f t="shared" si="5"/>
        <v>351</v>
      </c>
      <c r="C357" s="15">
        <v>43981</v>
      </c>
      <c r="D357" s="16">
        <v>0.28152777777777777</v>
      </c>
      <c r="E357" s="36">
        <v>21.39</v>
      </c>
      <c r="F357" s="36">
        <v>0.8</v>
      </c>
      <c r="G357" s="36">
        <v>0.2</v>
      </c>
      <c r="H357" s="56" cm="1">
        <f t="array" ref="H357:I357">LINEST(E348:E357,D348:D357)</f>
        <v>3.0545454545454782</v>
      </c>
      <c r="I357" s="56">
        <v>20.503151515151501</v>
      </c>
      <c r="J357" s="56" cm="1">
        <f t="array" ref="J357:K357">LINEST(E343:E357,D343:D357)</f>
        <v>41.194285714285691</v>
      </c>
      <c r="K357" s="56">
        <v>9.9904976190476233</v>
      </c>
      <c r="L357" s="56" cm="1">
        <f t="array" ref="L357:M357">LINEST(E338:E357,D338:D357)</f>
        <v>63.793082706766882</v>
      </c>
      <c r="M357" s="56">
        <v>3.784189473684215</v>
      </c>
      <c r="N357" s="56" cm="1">
        <f t="array" ref="N357:O357">LINEST(E333:E357,D333:D357)</f>
        <v>57.378461538461515</v>
      </c>
      <c r="O357" s="56">
        <v>5.5262769230769315</v>
      </c>
      <c r="P357" s="56" cm="1">
        <f t="array" ref="P357:Q357">LINEST(E328:E357,D328:D357)</f>
        <v>47.616106785317001</v>
      </c>
      <c r="Q357" s="56">
        <v>8.1573454208379808</v>
      </c>
      <c r="R357" s="56" cm="1">
        <f t="array" ref="R357:S357">LINEST(F348:F357,D348:D357)</f>
        <v>68.160000000000252</v>
      </c>
      <c r="S357" s="56">
        <v>-18.628933333333404</v>
      </c>
      <c r="T357" s="56" cm="1">
        <f t="array" ref="T357:U357">LINEST(F343:F357,D343:D357)</f>
        <v>19.259999999999888</v>
      </c>
      <c r="U357" s="56">
        <v>-5.0649749999999703</v>
      </c>
      <c r="V357" s="56" cm="1">
        <f t="array" ref="V357:W357">LINEST(F338:F357,D338:D357)</f>
        <v>4.8775939849623615</v>
      </c>
      <c r="W357" s="56">
        <v>-1.112321052631567</v>
      </c>
      <c r="X357" s="56" cm="1">
        <f t="array" ref="X357:Y357">LINEST(F333:F357,D333:D357)</f>
        <v>4.9569230769230481</v>
      </c>
      <c r="Y357" s="56">
        <v>-1.130096153846146</v>
      </c>
      <c r="Z357" s="56" cm="1">
        <f t="array" ref="Z357:AA357">LINEST(F328:F357,D328:D357)</f>
        <v>-1.5585317018910003</v>
      </c>
      <c r="AA357" s="56">
        <v>0.61771620318873088</v>
      </c>
      <c r="AB357" s="37" cm="1">
        <f t="array" ref="AB357:AC357">LINEST(G348:G357,D348:D357)</f>
        <v>0.13090909090909147</v>
      </c>
      <c r="AC357" s="37">
        <v>0.1049636363636362</v>
      </c>
      <c r="AD357" s="37" cm="1">
        <f t="array" ref="AD357:AE357">LINEST(G343:G357,D343:D357)</f>
        <v>-0.66857142857143337</v>
      </c>
      <c r="AE357" s="37">
        <v>0.32972142857142994</v>
      </c>
      <c r="AF357" s="37" cm="1">
        <f t="array" ref="AF357:AG357">LINEST(G338:G357,D338:D357)</f>
        <v>4.3308270676690672E-2</v>
      </c>
      <c r="AG357" s="37">
        <v>0.13537894736842129</v>
      </c>
      <c r="AH357" s="37" cm="1">
        <f t="array" ref="AH357:AI357">LINEST(G333:G357,D333:D357)</f>
        <v>1.3181538461538438</v>
      </c>
      <c r="AI357" s="37">
        <v>-0.21112769230769171</v>
      </c>
      <c r="AJ357" s="37" cm="1">
        <f t="array" ref="AJ357:AK357">LINEST(G328:G357,D328:D357)</f>
        <v>0.76885428253614985</v>
      </c>
      <c r="AK357" s="37">
        <v>-6.2969966629588064E-2</v>
      </c>
    </row>
    <row r="358" spans="1:37" x14ac:dyDescent="0.25">
      <c r="A358" s="61">
        <v>502</v>
      </c>
      <c r="B358" s="14">
        <f t="shared" si="5"/>
        <v>352</v>
      </c>
      <c r="C358" s="15">
        <v>43981</v>
      </c>
      <c r="D358" s="16">
        <v>0.28291666666666665</v>
      </c>
      <c r="E358" s="36">
        <v>21.39</v>
      </c>
      <c r="F358" s="36">
        <v>0.04</v>
      </c>
      <c r="G358" s="36">
        <v>0.19</v>
      </c>
      <c r="H358" s="56" cm="1">
        <f t="array" ref="H358:I358">LINEST(E349:E358,D349:D358)</f>
        <v>4.6690909090909729</v>
      </c>
      <c r="I358" s="56">
        <v>20.057218181818161</v>
      </c>
      <c r="J358" s="56" cm="1">
        <f t="array" ref="J358:K358">LINEST(E344:E358,D344:D358)</f>
        <v>21.44571428571431</v>
      </c>
      <c r="K358" s="56">
        <v>15.417816666666655</v>
      </c>
      <c r="L358" s="56" cm="1">
        <f t="array" ref="L358:M358">LINEST(E339:E358,D339:D358)</f>
        <v>58.89924812030074</v>
      </c>
      <c r="M358" s="56">
        <v>5.083563909774437</v>
      </c>
      <c r="N358" s="56" cm="1">
        <f t="array" ref="N358:O358">LINEST(E334:E358,D334:D358)</f>
        <v>56.597538461538441</v>
      </c>
      <c r="O358" s="56">
        <v>5.7101053846153906</v>
      </c>
      <c r="P358" s="56" cm="1">
        <f t="array" ref="P358:Q358">LINEST(E329:E358,D329:D358)</f>
        <v>48.072614015572846</v>
      </c>
      <c r="Q358" s="56">
        <v>8.0189186503522496</v>
      </c>
      <c r="R358" s="56" cm="1">
        <f t="array" ref="R358:S358">LINEST(F349:F358,D349:D358)</f>
        <v>52.756363636363815</v>
      </c>
      <c r="S358" s="56">
        <v>-14.446927272727322</v>
      </c>
      <c r="T358" s="56" cm="1">
        <f t="array" ref="T358:U358">LINEST(F344:F358,D344:D358)</f>
        <v>-1.1828571428572374</v>
      </c>
      <c r="U358" s="56">
        <v>0.54315000000002578</v>
      </c>
      <c r="V358" s="56" cm="1">
        <f t="array" ref="V358:W358">LINEST(F339:F358,D339:D358)</f>
        <v>3.7624060150375569</v>
      </c>
      <c r="W358" s="56">
        <v>-0.82830451127818538</v>
      </c>
      <c r="X358" s="56" cm="1">
        <f t="array" ref="X358:Y358">LINEST(F334:F358,D334:D358)</f>
        <v>1.2516923076922875</v>
      </c>
      <c r="Y358" s="56">
        <v>-0.14086307692307151</v>
      </c>
      <c r="Z358" s="56" cm="1">
        <f t="array" ref="Z358:AA358">LINEST(F329:F358,D329:D358)</f>
        <v>-0.96106785317020049</v>
      </c>
      <c r="AA358" s="56">
        <v>0.44788060808305818</v>
      </c>
      <c r="AB358" s="37" cm="1">
        <f t="array" ref="AB358:AC358">LINEST(G349:G358,D349:D358)</f>
        <v>4.4072727272727441</v>
      </c>
      <c r="AC358" s="37">
        <v>-1.0783454545454592</v>
      </c>
      <c r="AD358" s="37" cm="1">
        <f t="array" ref="AD358:AE358">LINEST(G344:G358,D344:D358)</f>
        <v>-0.69428571428572139</v>
      </c>
      <c r="AE358" s="37">
        <v>0.3430083333333353</v>
      </c>
      <c r="AF358" s="37" cm="1">
        <f t="array" ref="AF358:AG358">LINEST(G339:G358,D339:D358)</f>
        <v>0.29233082706766639</v>
      </c>
      <c r="AG358" s="37">
        <v>7.1151879699248868E-2</v>
      </c>
      <c r="AH358" s="37" cm="1">
        <f t="array" ref="AH358:AI358">LINEST(G334:G358,D334:D358)</f>
        <v>1.3181538461538445</v>
      </c>
      <c r="AI358" s="37">
        <v>-0.20895846153846107</v>
      </c>
      <c r="AJ358" s="37" cm="1">
        <f t="array" ref="AJ358:AK358">LINEST(G329:G358,D329:D358)</f>
        <v>0.62309232480533783</v>
      </c>
      <c r="AK358" s="37">
        <v>-2.1401483129402682E-2</v>
      </c>
    </row>
    <row r="359" spans="1:37" x14ac:dyDescent="0.25">
      <c r="A359" s="61">
        <v>502</v>
      </c>
      <c r="B359" s="14">
        <f t="shared" si="5"/>
        <v>353</v>
      </c>
      <c r="C359" s="15">
        <v>43981</v>
      </c>
      <c r="D359" s="16">
        <v>0.28430555555555553</v>
      </c>
      <c r="E359" s="36">
        <v>21.4</v>
      </c>
      <c r="F359" s="36">
        <v>0.14000000000000001</v>
      </c>
      <c r="G359" s="36">
        <v>0.19</v>
      </c>
      <c r="H359" s="56" cm="1">
        <f t="array" ref="H359:I359">LINEST(E350:E359,D350:D359)</f>
        <v>6.7200000000000975</v>
      </c>
      <c r="I359" s="56">
        <v>19.485466666666639</v>
      </c>
      <c r="J359" s="56" cm="1">
        <f t="array" ref="J359:K359">LINEST(E345:E359,D345:D359)</f>
        <v>-1.3628571428571961</v>
      </c>
      <c r="K359" s="56">
        <v>21.740217857142863</v>
      </c>
      <c r="L359" s="56" cm="1">
        <f t="array" ref="L359:M359">LINEST(E340:E359,D340:D359)</f>
        <v>52.749473684210571</v>
      </c>
      <c r="M359" s="56">
        <v>6.737031578947354</v>
      </c>
      <c r="N359" s="56" cm="1">
        <f t="array" ref="N359:O359">LINEST(E335:E359,D335:D359)</f>
        <v>55.041230769230751</v>
      </c>
      <c r="O359" s="56">
        <v>6.1044261538461591</v>
      </c>
      <c r="P359" s="56" cm="1">
        <f t="array" ref="P359:Q359">LINEST(E330:E359,D330:D359)</f>
        <v>48.415394883203561</v>
      </c>
      <c r="Q359" s="56">
        <v>7.9075998516870616</v>
      </c>
      <c r="R359" s="56" cm="1">
        <f t="array" ref="R359:S359">LINEST(F350:F359,D350:D359)</f>
        <v>53.410909090909286</v>
      </c>
      <c r="S359" s="56">
        <v>-14.705200000000053</v>
      </c>
      <c r="T359" s="56" cm="1">
        <f t="array" ref="T359:U359">LINEST(F345:F359,D345:D359)</f>
        <v>2.7257142857141967</v>
      </c>
      <c r="U359" s="56">
        <v>-0.55110238095235642</v>
      </c>
      <c r="V359" s="56" cm="1">
        <f t="array" ref="V359:W359">LINEST(F340:F359,D340:D359)</f>
        <v>1.8460150375939544</v>
      </c>
      <c r="W359" s="56">
        <v>-0.30997518796991641</v>
      </c>
      <c r="X359" s="56" cm="1">
        <f t="array" ref="X359:Y359">LINEST(F335:F359,D335:D359)</f>
        <v>-1.4178461538461735</v>
      </c>
      <c r="Y359" s="56">
        <v>0.58267076923077443</v>
      </c>
      <c r="Z359" s="56" cm="1">
        <f t="array" ref="Z359:AA359">LINEST(F330:F359,D330:D359)</f>
        <v>6.3030033370411358</v>
      </c>
      <c r="AA359" s="56">
        <v>-1.5220433815350329</v>
      </c>
      <c r="AB359" s="37" cm="1">
        <f t="array" ref="AB359:AC359">LINEST(G350:G359,D350:D359)</f>
        <v>8.2036363636363916</v>
      </c>
      <c r="AC359" s="37">
        <v>-2.1390666666666744</v>
      </c>
      <c r="AD359" s="37" cm="1">
        <f t="array" ref="AD359:AE359">LINEST(G345:G359,D345:D359)</f>
        <v>-0.30857142857143732</v>
      </c>
      <c r="AE359" s="37">
        <v>0.24139523809524052</v>
      </c>
      <c r="AF359" s="37" cm="1">
        <f t="array" ref="AF359:AG359">LINEST(G340:G359,D340:D359)</f>
        <v>0.4763909774436067</v>
      </c>
      <c r="AG359" s="37">
        <v>2.384511278195553E-2</v>
      </c>
      <c r="AH359" s="37" cm="1">
        <f t="array" ref="AH359:AI359">LINEST(G335:G359,D335:D359)</f>
        <v>1.1187692307692296</v>
      </c>
      <c r="AI359" s="37">
        <v>-0.15262615384615352</v>
      </c>
      <c r="AJ359" s="37" cm="1">
        <f t="array" ref="AJ359:AK359">LINEST(G330:G359,D330:D359)</f>
        <v>1.0812013348164609</v>
      </c>
      <c r="AK359" s="37">
        <v>-0.14328401928068166</v>
      </c>
    </row>
    <row r="360" spans="1:37" x14ac:dyDescent="0.25">
      <c r="A360" s="61">
        <v>502</v>
      </c>
      <c r="B360" s="14">
        <f t="shared" si="5"/>
        <v>354</v>
      </c>
      <c r="C360" s="15">
        <v>43981</v>
      </c>
      <c r="D360" s="16">
        <v>0.28569444444444442</v>
      </c>
      <c r="E360" s="36">
        <v>20.18</v>
      </c>
      <c r="F360" s="36">
        <v>0.14000000000000001</v>
      </c>
      <c r="G360" s="36">
        <v>0.18</v>
      </c>
      <c r="H360" s="56" cm="1">
        <f t="array" ref="H360:I360">LINEST(E351:E360,D351:D360)</f>
        <v>-41.018181818181844</v>
      </c>
      <c r="I360" s="56">
        <v>32.702303030303042</v>
      </c>
      <c r="J360" s="56" cm="1">
        <f t="array" ref="J360:K360">LINEST(E346:E360,D346:D360)</f>
        <v>-19.33714285714289</v>
      </c>
      <c r="K360" s="56">
        <v>26.61251428571429</v>
      </c>
      <c r="L360" s="56" cm="1">
        <f t="array" ref="L360:M360">LINEST(E341:E360,D341:D360)</f>
        <v>32.46496240601509</v>
      </c>
      <c r="M360" s="56">
        <v>12.198797744360887</v>
      </c>
      <c r="N360" s="56" cm="1">
        <f t="array" ref="N360:O360">LINEST(E336:E360,D336:D360)</f>
        <v>44.811692307692304</v>
      </c>
      <c r="O360" s="56">
        <v>8.7864100000000001</v>
      </c>
      <c r="P360" s="56" cm="1">
        <f t="array" ref="P360:Q360">LINEST(E331:E360,D331:D360)</f>
        <v>42.748298109010015</v>
      </c>
      <c r="Q360" s="56">
        <v>9.3499519466073355</v>
      </c>
      <c r="R360" s="56" cm="1">
        <f t="array" ref="R360:S360">LINEST(F351:F360,D351:D360)</f>
        <v>6.8072727272727525</v>
      </c>
      <c r="S360" s="56">
        <v>-1.6602545454545525</v>
      </c>
      <c r="T360" s="56" cm="1">
        <f t="array" ref="T360:U360">LINEST(F346:F360,D346:D360)</f>
        <v>7.5085714285713676</v>
      </c>
      <c r="U360" s="56">
        <v>-1.8974904761904592</v>
      </c>
      <c r="V360" s="56" cm="1">
        <f t="array" ref="V360:W360">LINEST(F341:F360,D341:D360)</f>
        <v>-3.7948872180451509</v>
      </c>
      <c r="W360" s="56">
        <v>1.2446067669173033</v>
      </c>
      <c r="X360" s="56" cm="1">
        <f t="array" ref="X360:Y360">LINEST(F336:F360,D336:D360)</f>
        <v>2.6750769230769045</v>
      </c>
      <c r="Y360" s="56">
        <v>-0.54406999999999495</v>
      </c>
      <c r="Z360" s="56" cm="1">
        <f t="array" ref="Z360:AA360">LINEST(F331:F360,D331:D360)</f>
        <v>8.2603781979977668</v>
      </c>
      <c r="AA360" s="56">
        <v>-2.0639226548016292</v>
      </c>
      <c r="AB360" s="37" cm="1">
        <f t="array" ref="AB360:AC360">LINEST(G351:G360,D351:D360)</f>
        <v>8.1600000000000286</v>
      </c>
      <c r="AC360" s="37">
        <v>-2.1312666666666744</v>
      </c>
      <c r="AD360" s="37" cm="1">
        <f t="array" ref="AD360:AE360">LINEST(G346:G360,D346:D360)</f>
        <v>0.17999999999999217</v>
      </c>
      <c r="AE360" s="37">
        <v>0.1083250000000022</v>
      </c>
      <c r="AF360" s="37" cm="1">
        <f t="array" ref="AF360:AG360">LINEST(G341:G360,D341:D360)</f>
        <v>0.15157894736841759</v>
      </c>
      <c r="AG360" s="37">
        <v>0.11569473684210624</v>
      </c>
      <c r="AH360" s="37" cm="1">
        <f t="array" ref="AH360:AI360">LINEST(G336:G360,D336:D360)</f>
        <v>1.2184615384615363</v>
      </c>
      <c r="AI360" s="37">
        <v>-0.17899999999999941</v>
      </c>
      <c r="AJ360" s="37" cm="1">
        <f t="array" ref="AJ360:AK360">LINEST(G331:G360,D331:D360)</f>
        <v>1.6418242491657393</v>
      </c>
      <c r="AK360" s="37">
        <v>-0.29499555061179072</v>
      </c>
    </row>
    <row r="361" spans="1:37" x14ac:dyDescent="0.25">
      <c r="A361" s="61">
        <v>502</v>
      </c>
      <c r="B361" s="14">
        <f t="shared" si="5"/>
        <v>355</v>
      </c>
      <c r="C361" s="15">
        <v>43981</v>
      </c>
      <c r="D361" s="16">
        <v>0.2870833333333333</v>
      </c>
      <c r="E361" s="36">
        <v>20.329999999999998</v>
      </c>
      <c r="F361" s="36">
        <v>0.14000000000000001</v>
      </c>
      <c r="G361" s="36">
        <v>0.18</v>
      </c>
      <c r="H361" s="56" cm="1">
        <f t="array" ref="H361:I361">LINEST(E352:E361,D352:D361)</f>
        <v>-72.436363636363893</v>
      </c>
      <c r="I361" s="56">
        <v>41.48254545454553</v>
      </c>
      <c r="J361" s="56" cm="1">
        <f t="array" ref="J361:K361">LINEST(E347:E361,D347:D361)</f>
        <v>-34.22571428571441</v>
      </c>
      <c r="K361" s="56">
        <v>30.698882142857173</v>
      </c>
      <c r="L361" s="56" cm="1">
        <f t="array" ref="L361:M361">LINEST(E342:E361,D342:D361)</f>
        <v>13.901954887218077</v>
      </c>
      <c r="M361" s="56">
        <v>17.251409022556377</v>
      </c>
      <c r="N361" s="56" cm="1">
        <f t="array" ref="N361:O361">LINEST(E337:E361,D337:D361)</f>
        <v>35.41846153846155</v>
      </c>
      <c r="O361" s="56">
        <v>11.277057692307688</v>
      </c>
      <c r="P361" s="56" cm="1">
        <f t="array" ref="P361:Q361">LINEST(E332:E361,D332:D361)</f>
        <v>37.534505005561748</v>
      </c>
      <c r="Q361" s="56">
        <v>10.693372413793099</v>
      </c>
      <c r="R361" s="56" cm="1">
        <f t="array" ref="R361:S361">LINEST(F352:F361,D352:D361)</f>
        <v>-0.65454545454545354</v>
      </c>
      <c r="S361" s="56">
        <v>0.42281818181818154</v>
      </c>
      <c r="T361" s="56" cm="1">
        <f t="array" ref="T361:U361">LINEST(F347:F361,D347:D361)</f>
        <v>13.165714285714282</v>
      </c>
      <c r="U361" s="56">
        <v>-3.4996571428571417</v>
      </c>
      <c r="V361" s="56" cm="1">
        <f t="array" ref="V361:W361">LINEST(F342:F361,D342:D361)</f>
        <v>6.1606015037593664</v>
      </c>
      <c r="W361" s="56">
        <v>-1.5273203007518705</v>
      </c>
      <c r="X361" s="56" cm="1">
        <f t="array" ref="X361:Y361">LINEST(F337:F361,D337:D361)</f>
        <v>-0.33784615384617173</v>
      </c>
      <c r="Y361" s="56">
        <v>0.28095923076923551</v>
      </c>
      <c r="Z361" s="56" cm="1">
        <f t="array" ref="Z361:AA361">LINEST(F332:F361,D332:D361)</f>
        <v>1.7058954393770747</v>
      </c>
      <c r="AA361" s="56">
        <v>-0.28104597701149125</v>
      </c>
      <c r="AB361" s="37" cm="1">
        <f t="array" ref="AB361:AC361">LINEST(G352:G361,D352:D361)</f>
        <v>7.5054545454545734</v>
      </c>
      <c r="AC361" s="37">
        <v>-1.9517818181818261</v>
      </c>
      <c r="AD361" s="37" cm="1">
        <f t="array" ref="AD361:AE361">LINEST(G347:G361,D347:D361)</f>
        <v>1.2342857142857111</v>
      </c>
      <c r="AE361" s="37">
        <v>-0.18500952380952296</v>
      </c>
      <c r="AF361" s="37" cm="1">
        <f t="array" ref="AF361:AG361">LINEST(G342:G361,D342:D361)</f>
        <v>0.64962406015037266</v>
      </c>
      <c r="AG361" s="37">
        <v>-2.0924812030074236E-2</v>
      </c>
      <c r="AH361" s="37" cm="1">
        <f t="array" ref="AH361:AI361">LINEST(G337:G361,D337:D361)</f>
        <v>1.0744615384615368</v>
      </c>
      <c r="AI361" s="37">
        <v>-0.13855230769230725</v>
      </c>
      <c r="AJ361" s="37" cm="1">
        <f t="array" ref="AJ361:AK361">LINEST(G332:G361,D332:D361)</f>
        <v>1.6690545050055612</v>
      </c>
      <c r="AK361" s="37">
        <v>-0.3022114942528733</v>
      </c>
    </row>
    <row r="362" spans="1:37" x14ac:dyDescent="0.25">
      <c r="A362" s="61">
        <v>502</v>
      </c>
      <c r="B362" s="14">
        <f t="shared" si="5"/>
        <v>356</v>
      </c>
      <c r="C362" s="15">
        <v>43981</v>
      </c>
      <c r="D362" s="16">
        <v>0.28847222222222224</v>
      </c>
      <c r="E362" s="36">
        <v>20.34</v>
      </c>
      <c r="F362" s="36">
        <v>0.14000000000000001</v>
      </c>
      <c r="G362" s="36">
        <v>0.18</v>
      </c>
      <c r="H362" s="56" cm="1">
        <f t="array" ref="H362:I362">LINEST(E353:E362,D353:D362)</f>
        <v>-94.734545454545668</v>
      </c>
      <c r="I362" s="56">
        <v>47.777193939394003</v>
      </c>
      <c r="J362" s="56" cm="1">
        <f t="array" ref="J362:K362">LINEST(E348:E362,D348:D362)</f>
        <v>-46.851428571428748</v>
      </c>
      <c r="K362" s="56">
        <v>34.198502380952419</v>
      </c>
      <c r="L362" s="56" cm="1">
        <f t="array" ref="L362:M362">LINEST(E343:E362,D343:D362)</f>
        <v>-4.7368421052631593</v>
      </c>
      <c r="M362" s="56">
        <v>22.376447368421047</v>
      </c>
      <c r="N362" s="56" cm="1">
        <f t="array" ref="N362:O362">LINEST(E338:E362,D338:D362)</f>
        <v>26.05846153846155</v>
      </c>
      <c r="O362" s="56">
        <v>13.784365384615375</v>
      </c>
      <c r="P362" s="56" cm="1">
        <f t="array" ref="P362:Q362">LINEST(E333:E362,D333:D362)</f>
        <v>32.261446051167979</v>
      </c>
      <c r="Q362" s="56">
        <v>12.067511976269927</v>
      </c>
      <c r="R362" s="56" cm="1">
        <f t="array" ref="R362:S362">LINEST(F353:F362,D353:D362)</f>
        <v>-13.614545454545475</v>
      </c>
      <c r="S362" s="56">
        <v>4.0903272727272784</v>
      </c>
      <c r="T362" s="56" cm="1">
        <f t="array" ref="T362:U362">LINEST(F348:F362,D348:D362)</f>
        <v>19.697142857142893</v>
      </c>
      <c r="U362" s="56">
        <v>-5.3612452380952469</v>
      </c>
      <c r="V362" s="56" cm="1">
        <f t="array" ref="V362:W362">LINEST(F343:F362,D343:D362)</f>
        <v>6.2959398496240349</v>
      </c>
      <c r="W362" s="56">
        <v>-1.5756323308270608</v>
      </c>
      <c r="X362" s="56" cm="1">
        <f t="array" ref="X362:Y362">LINEST(F338:F362,D338:D362)</f>
        <v>0.48738461538459688</v>
      </c>
      <c r="Y362" s="56">
        <v>4.8726153846158832E-2</v>
      </c>
      <c r="Z362" s="56" cm="1">
        <f t="array" ref="Z362:AA362">LINEST(F333:F362,D333:D362)</f>
        <v>1.6738598442713979</v>
      </c>
      <c r="AA362" s="56">
        <v>-0.2768190582128251</v>
      </c>
      <c r="AB362" s="37" cm="1">
        <f t="array" ref="AB362:AC362">LINEST(G353:G362,D353:D362)</f>
        <v>6.24</v>
      </c>
      <c r="AC362" s="37">
        <v>-1.5980666666666665</v>
      </c>
      <c r="AD362" s="37" cm="1">
        <f t="array" ref="AD362:AE362">LINEST(G348:G362,D348:D362)</f>
        <v>2.7257142857142931</v>
      </c>
      <c r="AE362" s="37">
        <v>-0.60445952380952572</v>
      </c>
      <c r="AF362" s="37" cm="1">
        <f t="array" ref="AF362:AG362">LINEST(G343:G362,D343:D362)</f>
        <v>1.1476691729323285</v>
      </c>
      <c r="AG362" s="37">
        <v>-0.1589278195488715</v>
      </c>
      <c r="AH362" s="37" cm="1">
        <f t="array" ref="AH362:AI362">LINEST(G338:G362,D338:D362)</f>
        <v>1.0301538461538444</v>
      </c>
      <c r="AI362" s="37">
        <v>-0.12560153846153799</v>
      </c>
      <c r="AJ362" s="37" cm="1">
        <f t="array" ref="AJ362:AK362">LINEST(G333:G362,D333:D362)</f>
        <v>1.6738598442714121</v>
      </c>
      <c r="AK362" s="37">
        <v>-0.30348572487949554</v>
      </c>
    </row>
    <row r="363" spans="1:37" x14ac:dyDescent="0.25">
      <c r="A363" s="61">
        <v>502</v>
      </c>
      <c r="B363" s="14">
        <f t="shared" si="5"/>
        <v>357</v>
      </c>
      <c r="C363" s="15">
        <v>43981</v>
      </c>
      <c r="D363" s="16">
        <v>0.28986111111111112</v>
      </c>
      <c r="E363" s="36">
        <v>20.350000000000001</v>
      </c>
      <c r="F363" s="36">
        <v>0.37</v>
      </c>
      <c r="G363" s="36">
        <v>0.19</v>
      </c>
      <c r="H363" s="56" cm="1">
        <f t="array" ref="H363:I363">LINEST(E354:E363,D354:D363)</f>
        <v>-107.99999999999999</v>
      </c>
      <c r="I363" s="56">
        <v>51.572999999999993</v>
      </c>
      <c r="J363" s="56" cm="1">
        <f t="array" ref="J363:K363">LINEST(E349:E363,D349:D363)</f>
        <v>-56.905714285714431</v>
      </c>
      <c r="K363" s="56">
        <v>37.014170238095275</v>
      </c>
      <c r="L363" s="56" cm="1">
        <f t="array" ref="L363:M363">LINEST(E344:E363,D344:D363)</f>
        <v>-23.792481203007519</v>
      </c>
      <c r="M363" s="56">
        <v>27.670086466165408</v>
      </c>
      <c r="N363" s="56" cm="1">
        <f t="array" ref="N363:O363">LINEST(E339:E363,D339:D363)</f>
        <v>16.593230769230793</v>
      </c>
      <c r="O363" s="56">
        <v>16.346821538461526</v>
      </c>
      <c r="P363" s="56" cm="1">
        <f t="array" ref="P363:Q363">LINEST(E334:E363,D334:D363)</f>
        <v>26.925917686318133</v>
      </c>
      <c r="Q363" s="56">
        <v>13.47348164627364</v>
      </c>
      <c r="R363" s="56" cm="1">
        <f t="array" ref="R363:S363">LINEST(F354:F363,D354:D363)</f>
        <v>-10.647272727272684</v>
      </c>
      <c r="S363" s="56">
        <v>3.2836848484848362</v>
      </c>
      <c r="T363" s="56" cm="1">
        <f t="array" ref="T363:U363">LINEST(F349:F363,D349:D363)</f>
        <v>19.105714285714306</v>
      </c>
      <c r="U363" s="56">
        <v>-5.1909202380952424</v>
      </c>
      <c r="V363" s="56" cm="1">
        <f t="array" ref="V363:W363">LINEST(F344:F363,D344:D363)</f>
        <v>-1.3804511278195883</v>
      </c>
      <c r="W363" s="56">
        <v>0.59342481203008612</v>
      </c>
      <c r="X363" s="56" cm="1">
        <f t="array" ref="X363:Y363">LINEST(F339:F363,D339:D363)</f>
        <v>2.1655384615384499</v>
      </c>
      <c r="Y363" s="56">
        <v>-0.40521307692307362</v>
      </c>
      <c r="Z363" s="56" cm="1">
        <f t="array" ref="Z363:AA363">LINEST(F334:F363,D334:D363)</f>
        <v>0.74322580645160508</v>
      </c>
      <c r="AA363" s="56">
        <v>-9.1311827956968017E-3</v>
      </c>
      <c r="AB363" s="37" cm="1">
        <f t="array" ref="AB363:AC363">LINEST(G354:G363,D354:D363)</f>
        <v>4.7563636363636261</v>
      </c>
      <c r="AC363" s="37">
        <v>-1.1779575757575727</v>
      </c>
      <c r="AD363" s="37" cm="1">
        <f t="array" ref="AD363:AE363">LINEST(G349:G363,D349:D363)</f>
        <v>4.0628571428571485</v>
      </c>
      <c r="AE363" s="37">
        <v>-0.98283095238095375</v>
      </c>
      <c r="AF363" s="37" cm="1">
        <f t="array" ref="AF363:AG363">LINEST(G344:G363,D344:D363)</f>
        <v>0.95278195488721518</v>
      </c>
      <c r="AG363" s="37">
        <v>-0.10260300751879617</v>
      </c>
      <c r="AH363" s="37" cm="1">
        <f t="array" ref="AH363:AI363">LINEST(G339:G363,D339:D363)</f>
        <v>1.0910769230769219</v>
      </c>
      <c r="AI363" s="37">
        <v>-0.14127615384615347</v>
      </c>
      <c r="AJ363" s="37" cm="1">
        <f t="array" ref="AJ363:AK363">LINEST(G334:G363,D334:D363)</f>
        <v>1.6033815350389315</v>
      </c>
      <c r="AK363" s="37">
        <v>-0.28346763070077841</v>
      </c>
    </row>
    <row r="364" spans="1:37" x14ac:dyDescent="0.25">
      <c r="A364" s="61">
        <v>502</v>
      </c>
      <c r="B364" s="14">
        <f t="shared" si="5"/>
        <v>358</v>
      </c>
      <c r="C364" s="15">
        <v>43981</v>
      </c>
      <c r="D364" s="16">
        <v>0.29125000000000001</v>
      </c>
      <c r="E364" s="36">
        <v>20.36</v>
      </c>
      <c r="F364" s="36">
        <v>0.37</v>
      </c>
      <c r="G364" s="36">
        <v>0.21</v>
      </c>
      <c r="H364" s="56" cm="1">
        <f t="array" ref="H364:I364">LINEST(E355:E364,D355:D364)</f>
        <v>-111.83999999999982</v>
      </c>
      <c r="I364" s="56">
        <v>52.719399999999951</v>
      </c>
      <c r="J364" s="56" cm="1">
        <f t="array" ref="J364:K364">LINEST(E350:E364,D350:D364)</f>
        <v>-64.028571428571496</v>
      </c>
      <c r="K364" s="56">
        <v>39.032488095238115</v>
      </c>
      <c r="L364" s="56" cm="1">
        <f t="array" ref="L364:M364">LINEST(E345:E364,D345:D364)</f>
        <v>-42.956390977443654</v>
      </c>
      <c r="M364" s="56">
        <v>33.046763157894745</v>
      </c>
      <c r="N364" s="56" cm="1">
        <f t="array" ref="N364:O364">LINEST(E340:E364,D340:D364)</f>
        <v>7.0892307692307632</v>
      </c>
      <c r="O364" s="56">
        <v>18.946215384615385</v>
      </c>
      <c r="P364" s="56" cm="1">
        <f t="array" ref="P364:Q364">LINEST(E335:E364,D335:D364)</f>
        <v>21.475061179087866</v>
      </c>
      <c r="Q364" s="56">
        <v>14.926205635891737</v>
      </c>
      <c r="R364" s="56" cm="1">
        <f t="array" ref="R364:S364">LINEST(F355:F364,D355:D364)</f>
        <v>-17.236363636363524</v>
      </c>
      <c r="S364" s="56">
        <v>5.2093636363636051</v>
      </c>
      <c r="T364" s="56" cm="1">
        <f t="array" ref="T364:U364">LINEST(F350:F364,D350:D364)</f>
        <v>23.039999999999992</v>
      </c>
      <c r="U364" s="56">
        <v>-6.3117333333333301</v>
      </c>
      <c r="V364" s="56" cm="1">
        <f t="array" ref="V364:W364">LINEST(F345:F364,D345:D364)</f>
        <v>3.3022556390977122</v>
      </c>
      <c r="W364" s="56">
        <v>-0.7122105263157803</v>
      </c>
      <c r="X364" s="56" cm="1">
        <f t="array" ref="X364:Y364">LINEST(F340:F364,D340:D364)</f>
        <v>2.475692307692297</v>
      </c>
      <c r="Y364" s="56">
        <v>-0.48098384615384315</v>
      </c>
      <c r="Z364" s="56" cm="1">
        <f t="array" ref="Z364:AA364">LINEST(F335:F364,D335:D364)</f>
        <v>-2.2424916573977917E-2</v>
      </c>
      <c r="AA364" s="56">
        <v>0.21407964404894506</v>
      </c>
      <c r="AB364" s="37" cm="1">
        <f t="array" ref="AB364:AC364">LINEST(G355:G364,D355:D364)</f>
        <v>3.3599999999999879</v>
      </c>
      <c r="AC364" s="37">
        <v>-0.77659999999999663</v>
      </c>
      <c r="AD364" s="37" cm="1">
        <f t="array" ref="AD364:AE364">LINEST(G350:G364,D350:D364)</f>
        <v>5.5542857142857169</v>
      </c>
      <c r="AE364" s="37">
        <v>-1.4063523809523817</v>
      </c>
      <c r="AF364" s="37" cm="1">
        <f t="array" ref="AF364:AG364">LINEST(G345:G364,D345:D364)</f>
        <v>1.2180451127819523</v>
      </c>
      <c r="AG364" s="37">
        <v>-0.17418421052631494</v>
      </c>
      <c r="AH364" s="37" cm="1">
        <f t="array" ref="AH364:AI364">LINEST(G340:G364,D340:D364)</f>
        <v>1.2516923076923068</v>
      </c>
      <c r="AI364" s="37">
        <v>-0.18369384615384582</v>
      </c>
      <c r="AJ364" s="37" cm="1">
        <f t="array" ref="AJ364:AK364">LINEST(G335:G364,D335:D364)</f>
        <v>1.494460511679643</v>
      </c>
      <c r="AK364" s="37">
        <v>-0.25149818316648098</v>
      </c>
    </row>
    <row r="365" spans="1:37" x14ac:dyDescent="0.25">
      <c r="A365" s="61">
        <v>502</v>
      </c>
      <c r="B365" s="14">
        <f t="shared" si="5"/>
        <v>359</v>
      </c>
      <c r="C365" s="15">
        <v>43981</v>
      </c>
      <c r="D365" s="16">
        <v>0.29263888888888889</v>
      </c>
      <c r="E365" s="36">
        <v>20.36</v>
      </c>
      <c r="F365" s="36">
        <v>-0.09</v>
      </c>
      <c r="G365" s="36">
        <v>0.18</v>
      </c>
      <c r="H365" s="56" cm="1">
        <f t="array" ref="H365:I365">LINEST(E356:E365,D356:D365)</f>
        <v>-106.64727272727244</v>
      </c>
      <c r="I365" s="56">
        <v>51.288593939393863</v>
      </c>
      <c r="J365" s="56" cm="1">
        <f t="array" ref="J365:K365">LINEST(E351:E365,D351:D365)</f>
        <v>-69.222857142857151</v>
      </c>
      <c r="K365" s="56">
        <v>40.526966666666681</v>
      </c>
      <c r="L365" s="56" cm="1">
        <f t="array" ref="L365:M365">LINEST(E346:E365,D346:D365)</f>
        <v>-45.733533834586503</v>
      </c>
      <c r="M365" s="56">
        <v>33.82398195488723</v>
      </c>
      <c r="N365" s="56" cm="1">
        <f t="array" ref="N365:O365">LINEST(E341:E365,D341:D365)</f>
        <v>-2.6640000000000073</v>
      </c>
      <c r="O365" s="56">
        <v>21.641189999999998</v>
      </c>
      <c r="P365" s="56" cm="1">
        <f t="array" ref="P365:Q365">LINEST(E336:E365,D336:D365)</f>
        <v>16.054638487207988</v>
      </c>
      <c r="Q365" s="56">
        <v>16.384777678902491</v>
      </c>
      <c r="R365" s="56" cm="1">
        <f t="array" ref="R365:S365">LINEST(F356:F365,D356:D365)</f>
        <v>-21.250909090908959</v>
      </c>
      <c r="S365" s="56">
        <v>6.3210242424242056</v>
      </c>
      <c r="T365" s="56" cm="1">
        <f t="array" ref="T365:U365">LINEST(F351:F365,D351:D365)</f>
        <v>-2.1857142857142908</v>
      </c>
      <c r="U365" s="56">
        <v>0.84170833333333495</v>
      </c>
      <c r="V365" s="56" cm="1">
        <f t="array" ref="V365:W365">LINEST(F346:F365,D346:D365)</f>
        <v>3.3726315789473382</v>
      </c>
      <c r="W365" s="56">
        <v>-0.76496315789472846</v>
      </c>
      <c r="X365" s="56" cm="1">
        <f t="array" ref="X365:Y365">LINEST(F341:F365,D341:D365)</f>
        <v>-2.7470769230769383</v>
      </c>
      <c r="Y365" s="56">
        <v>0.96371692307692713</v>
      </c>
      <c r="Z365" s="56" cm="1">
        <f t="array" ref="Z365:AA365">LINEST(F336:F365,D336:D365)</f>
        <v>1.6818687430478223</v>
      </c>
      <c r="AA365" s="56">
        <v>-0.28097589914719834</v>
      </c>
      <c r="AB365" s="37" cm="1">
        <f t="array" ref="AB365:AC365">LINEST(G356:G365,D356:D365)</f>
        <v>1.3527272727272679</v>
      </c>
      <c r="AC365" s="37">
        <v>-0.20240606060605928</v>
      </c>
      <c r="AD365" s="37" cm="1">
        <f t="array" ref="AD365:AE365">LINEST(G351:G365,D351:D365)</f>
        <v>4.9885714285714249</v>
      </c>
      <c r="AE365" s="37">
        <v>-1.2493499999999993</v>
      </c>
      <c r="AF365" s="37" cm="1">
        <f t="array" ref="AF365:AG365">LINEST(G346:G365,D346:D365)</f>
        <v>1.3263157894736815</v>
      </c>
      <c r="AG365" s="37">
        <v>-0.20513157894736767</v>
      </c>
      <c r="AH365" s="37" cm="1">
        <f t="array" ref="AH365:AI365">LINEST(G341:G365,D341:D365)</f>
        <v>0.95261538461538353</v>
      </c>
      <c r="AI365" s="37">
        <v>-9.9695384615384214E-2</v>
      </c>
      <c r="AJ365" s="37" cm="1">
        <f t="array" ref="AJ365:AK365">LINEST(G336:G365,D336:D365)</f>
        <v>1.4992658509454944</v>
      </c>
      <c r="AK365" s="37">
        <v>-0.25321661104931392</v>
      </c>
    </row>
    <row r="366" spans="1:37" x14ac:dyDescent="0.25">
      <c r="A366" s="61">
        <v>502</v>
      </c>
      <c r="B366" s="14">
        <f t="shared" si="5"/>
        <v>360</v>
      </c>
      <c r="C366" s="15">
        <v>43981</v>
      </c>
      <c r="D366" s="16">
        <v>0.29402777777777778</v>
      </c>
      <c r="E366" s="36">
        <v>20.350000000000001</v>
      </c>
      <c r="F366" s="36">
        <v>-0.42</v>
      </c>
      <c r="G366" s="36">
        <v>0.14000000000000001</v>
      </c>
      <c r="H366" s="56" cm="1">
        <f t="array" ref="H366:I366">LINEST(E357:E366,D357:D366)</f>
        <v>-92.727272727272378</v>
      </c>
      <c r="I366" s="56">
        <v>47.329848484848391</v>
      </c>
      <c r="J366" s="56" cm="1">
        <f t="array" ref="J366:K366">LINEST(E352:E366,D352:D366)</f>
        <v>-71.922857142857083</v>
      </c>
      <c r="K366" s="56">
        <v>41.325401190476178</v>
      </c>
      <c r="L366" s="56" cm="1">
        <f t="array" ref="L366:M366">LINEST(E347:E366,D347:D366)</f>
        <v>-49.052030075188021</v>
      </c>
      <c r="M366" s="56">
        <v>34.767945112781966</v>
      </c>
      <c r="N366" s="56" cm="1">
        <f t="array" ref="N366:O366">LINEST(E342:E366,D342:D366)</f>
        <v>-12.45046153846155</v>
      </c>
      <c r="O366" s="56">
        <v>24.370873846153845</v>
      </c>
      <c r="P366" s="56" cm="1">
        <f t="array" ref="P366:Q366">LINEST(E337:E366,D337:D366)</f>
        <v>10.429187986651826</v>
      </c>
      <c r="Q366" s="56">
        <v>17.914561290322585</v>
      </c>
      <c r="R366" s="56" cm="1">
        <f t="array" ref="R366:S366">LINEST(F357:F366,D357:D366)</f>
        <v>-43.854545454545239</v>
      </c>
      <c r="S366" s="56">
        <v>12.783363636363575</v>
      </c>
      <c r="T366" s="56" cm="1">
        <f t="array" ref="T366:U366">LINEST(F352:F366,D352:D366)</f>
        <v>-14.86285714285715</v>
      </c>
      <c r="U366" s="56">
        <v>4.4095928571428589</v>
      </c>
      <c r="V366" s="56" cm="1">
        <f t="array" ref="V366:W366">LINEST(F347:F366,D347:D366)</f>
        <v>0.66586466165410152</v>
      </c>
      <c r="W366" s="56">
        <v>-5.4496992481193468E-2</v>
      </c>
      <c r="X366" s="56" cm="1">
        <f t="array" ref="X366:Y366">LINEST(F342:F366,D342:D366)</f>
        <v>-0.10523076923079283</v>
      </c>
      <c r="Y366" s="56">
        <v>0.17198692307692967</v>
      </c>
      <c r="Z366" s="56" cm="1">
        <f t="array" ref="Z366:AA366">LINEST(F337:F366,D337:D366)</f>
        <v>-3.0161512791991201</v>
      </c>
      <c r="AA366" s="56">
        <v>0.99642365591398097</v>
      </c>
      <c r="AB366" s="37" cm="1">
        <f t="array" ref="AB366:AC366">LINEST(G357:G366,D357:D366)</f>
        <v>-2.0945454545454441</v>
      </c>
      <c r="AC366" s="37">
        <v>0.78676363636363345</v>
      </c>
      <c r="AD366" s="37" cm="1">
        <f t="array" ref="AD366:AE366">LINEST(G352:G366,D352:D366)</f>
        <v>3.5228571428571369</v>
      </c>
      <c r="AE366" s="37">
        <v>-0.83756785714285542</v>
      </c>
      <c r="AF366" s="37" cm="1">
        <f t="array" ref="AF366:AG366">LINEST(G347:G366,D347:D366)</f>
        <v>1.3425563909774429</v>
      </c>
      <c r="AG366" s="37">
        <v>-0.21403458646616522</v>
      </c>
      <c r="AH366" s="37" cm="1">
        <f t="array" ref="AH366:AI366">LINEST(G342:G366,D342:D366)</f>
        <v>0.91938461538461458</v>
      </c>
      <c r="AI366" s="37">
        <v>-9.3401538461538175E-2</v>
      </c>
      <c r="AJ366" s="37" cm="1">
        <f t="array" ref="AJ366:AK366">LINEST(G337:G366,D337:D366)</f>
        <v>1.1532814238042257</v>
      </c>
      <c r="AK366" s="37">
        <v>-0.15920430107526848</v>
      </c>
    </row>
    <row r="367" spans="1:37" x14ac:dyDescent="0.25">
      <c r="A367" s="61">
        <v>502</v>
      </c>
      <c r="B367" s="14">
        <f t="shared" si="5"/>
        <v>361</v>
      </c>
      <c r="C367" s="15">
        <v>43981</v>
      </c>
      <c r="D367" s="16">
        <v>0.29541666666666666</v>
      </c>
      <c r="E367" s="36">
        <v>20.37</v>
      </c>
      <c r="F367" s="36">
        <v>0.78</v>
      </c>
      <c r="G367" s="36">
        <v>0.19</v>
      </c>
      <c r="H367" s="56" cm="1">
        <f t="array" ref="H367:I367">LINEST(E358:E367,D358:D367)</f>
        <v>-67.767272727272442</v>
      </c>
      <c r="I367" s="56">
        <v>40.139036363636286</v>
      </c>
      <c r="J367" s="56" cm="1">
        <f t="array" ref="J367:K367">LINEST(E353:E367,D353:D367)</f>
        <v>-71.742857142857076</v>
      </c>
      <c r="K367" s="56">
        <v>41.309869047619031</v>
      </c>
      <c r="L367" s="56" cm="1">
        <f t="array" ref="L367:M367">LINEST(E348:E367,D348:D367)</f>
        <v>-51.390676691729375</v>
      </c>
      <c r="M367" s="56">
        <v>35.447090977443622</v>
      </c>
      <c r="N367" s="56" cm="1">
        <f t="array" ref="N367:O367">LINEST(E343:E367,D343:D367)</f>
        <v>-22.192615384615383</v>
      </c>
      <c r="O367" s="56">
        <v>27.115791538461536</v>
      </c>
      <c r="P367" s="56" cm="1">
        <f t="array" ref="P367:Q367">LINEST(E338:E367,D338:D367)</f>
        <v>4.8870300333704151</v>
      </c>
      <c r="Q367" s="56">
        <v>19.437042565813861</v>
      </c>
      <c r="R367" s="56" cm="1">
        <f t="array" ref="R367:S367">LINEST(F358:F367,D358:D367)</f>
        <v>10.952727272727243</v>
      </c>
      <c r="S367" s="56">
        <v>-3.0061636363636279</v>
      </c>
      <c r="T367" s="56" cm="1">
        <f t="array" ref="T367:U367">LINEST(F353:F367,D353:D367)</f>
        <v>-6.8914285714285688</v>
      </c>
      <c r="U367" s="56">
        <v>2.201509523809523</v>
      </c>
      <c r="V367" s="56" cm="1">
        <f t="array" ref="V367:W367">LINEST(F348:F367,D348:D367)</f>
        <v>11.276390977443606</v>
      </c>
      <c r="W367" s="56">
        <v>-3.0349481203007511</v>
      </c>
      <c r="X367" s="56" cm="1">
        <f t="array" ref="X367:Y367">LINEST(F343:F367,D343:D367)</f>
        <v>4.4695384615384377</v>
      </c>
      <c r="Y367" s="56">
        <v>-1.0794838461538394</v>
      </c>
      <c r="Z367" s="56" cm="1">
        <f t="array" ref="Z367:AA367">LINEST(F338:F367,D338:D367)</f>
        <v>0.70798665183536269</v>
      </c>
      <c r="AA367" s="56">
        <v>-1.0226325546901255E-2</v>
      </c>
      <c r="AB367" s="37" cm="1">
        <f t="array" ref="AB367:AC367">LINEST(G358:G367,D358:D367)</f>
        <v>-1.0909090909090842</v>
      </c>
      <c r="AC367" s="37">
        <v>0.49845454545454349</v>
      </c>
      <c r="AD367" s="37" cm="1">
        <f t="array" ref="AD367:AE367">LINEST(G353:G367,D353:D367)</f>
        <v>2.8799999999999946</v>
      </c>
      <c r="AE367" s="37">
        <v>-0.65346666666666509</v>
      </c>
      <c r="AF367" s="37" cm="1">
        <f t="array" ref="AF367:AG367">LINEST(G348:G367,D348:D367)</f>
        <v>2.1545864661654153</v>
      </c>
      <c r="AG367" s="37">
        <v>-0.44607218045112829</v>
      </c>
      <c r="AH367" s="37" cm="1">
        <f t="array" ref="AH367:AI367">LINEST(G343:G367,D343:D367)</f>
        <v>1.2406153846153836</v>
      </c>
      <c r="AI367" s="37">
        <v>-0.18382153846153812</v>
      </c>
      <c r="AJ367" s="37" cm="1">
        <f t="array" ref="AJ367:AK367">LINEST(G338:G367,D338:D367)</f>
        <v>1.1260511679644043</v>
      </c>
      <c r="AK367" s="37">
        <v>-0.15097686318131243</v>
      </c>
    </row>
    <row r="368" spans="1:37" x14ac:dyDescent="0.25">
      <c r="A368" s="61">
        <v>502</v>
      </c>
      <c r="B368" s="14">
        <f t="shared" si="5"/>
        <v>362</v>
      </c>
      <c r="C368" s="15">
        <v>43981</v>
      </c>
      <c r="D368" s="16">
        <v>0.29680555555555554</v>
      </c>
      <c r="E368" s="36">
        <v>20.41</v>
      </c>
      <c r="F368" s="36">
        <v>1.08</v>
      </c>
      <c r="G368" s="36">
        <v>0.26</v>
      </c>
      <c r="H368" s="56" cm="1">
        <f t="array" ref="H368:I368">LINEST(E359:E368,D359:D368)</f>
        <v>-32.334545454545292</v>
      </c>
      <c r="I368" s="56">
        <v>29.839981818181769</v>
      </c>
      <c r="J368" s="56" cm="1">
        <f t="array" ref="J368:K368">LINEST(E354:E368,D354:D368)</f>
        <v>-68.374285714285662</v>
      </c>
      <c r="K368" s="56">
        <v>40.381117857142847</v>
      </c>
      <c r="L368" s="56" cm="1">
        <f t="array" ref="L368:M368">LINEST(E349:E368,D349:D368)</f>
        <v>-52.370526315789505</v>
      </c>
      <c r="M368" s="56">
        <v>35.749863157894751</v>
      </c>
      <c r="N368" s="56" cm="1">
        <f t="array" ref="N368:O368">LINEST(E344:E368,D344:D368)</f>
        <v>-31.979076923076938</v>
      </c>
      <c r="O368" s="56">
        <v>29.902583076923076</v>
      </c>
      <c r="P368" s="56" cm="1">
        <f t="array" ref="P368:Q368">LINEST(E339:E368,D339:D368)</f>
        <v>-0.57824249165738517</v>
      </c>
      <c r="Q368" s="56">
        <v>20.954980422691875</v>
      </c>
      <c r="R368" s="56" cm="1">
        <f t="array" ref="R368:S368">LINEST(F359:F368,D359:D368)</f>
        <v>41.236363636363492</v>
      </c>
      <c r="S368" s="56">
        <v>-11.716454545454503</v>
      </c>
      <c r="T368" s="56" cm="1">
        <f t="array" ref="T368:U368">LINEST(F354:F368,D354:D368)</f>
        <v>7.8942857142856955</v>
      </c>
      <c r="U368" s="56">
        <v>-1.9756511904761846</v>
      </c>
      <c r="V368" s="56" cm="1">
        <f t="array" ref="V368:W368">LINEST(F349:F368,D349:D368)</f>
        <v>17.940451127819546</v>
      </c>
      <c r="W368" s="56">
        <v>-4.8811112781954877</v>
      </c>
      <c r="X368" s="56" cm="1">
        <f t="array" ref="X368:Y368">LINEST(F344:F368,D344:D368)</f>
        <v>4.231384615384596</v>
      </c>
      <c r="Y368" s="56">
        <v>-0.94737538461537918</v>
      </c>
      <c r="Z368" s="56" cm="1">
        <f t="array" ref="Z368:AA368">LINEST(F339:F368,D339:D368)</f>
        <v>5.1417130144605014</v>
      </c>
      <c r="AA368" s="56">
        <v>-1.2098739340007389</v>
      </c>
      <c r="AB368" s="37" cm="1">
        <f t="array" ref="AB368:AC368">LINEST(G359:G368,D359:D368)</f>
        <v>2.2690909090909015</v>
      </c>
      <c r="AC368" s="37">
        <v>-0.46929696969696755</v>
      </c>
      <c r="AD368" s="37" cm="1">
        <f t="array" ref="AD368:AE368">LINEST(G354:G368,D354:D368)</f>
        <v>3.2914285714285665</v>
      </c>
      <c r="AE368" s="37">
        <v>-0.76558095238095092</v>
      </c>
      <c r="AF368" s="37" cm="1">
        <f t="array" ref="AF368:AG368">LINEST(G349:G368,D349:D368)</f>
        <v>3.4809022556391009</v>
      </c>
      <c r="AG368" s="37">
        <v>-0.82172255639097835</v>
      </c>
      <c r="AH368" s="37" cm="1">
        <f t="array" ref="AH368:AI368">LINEST(G344:G368,D344:D368)</f>
        <v>1.5175384615384604</v>
      </c>
      <c r="AI368" s="37">
        <v>-0.25712153846153807</v>
      </c>
      <c r="AJ368" s="37" cm="1">
        <f t="array" ref="AJ368:AK368">LINEST(G339:G368,D339:D368)</f>
        <v>1.4512124582869852</v>
      </c>
      <c r="AK368" s="37">
        <v>-0.23816878012606588</v>
      </c>
    </row>
    <row r="369" spans="1:37" x14ac:dyDescent="0.25">
      <c r="A369" s="61">
        <v>502</v>
      </c>
      <c r="B369" s="14">
        <f t="shared" si="5"/>
        <v>363</v>
      </c>
      <c r="C369" s="15">
        <v>43981</v>
      </c>
      <c r="D369" s="16">
        <v>0.29819444444444443</v>
      </c>
      <c r="E369" s="36">
        <v>20.43</v>
      </c>
      <c r="F369" s="36">
        <v>0.54</v>
      </c>
      <c r="G369" s="36">
        <v>0.28000000000000003</v>
      </c>
      <c r="H369" s="56" cm="1">
        <f t="array" ref="H369:I369">LINEST(E360:E369,D360:D369)</f>
        <v>12.916363636363728</v>
      </c>
      <c r="I369" s="56">
        <v>16.577139393939365</v>
      </c>
      <c r="J369" s="56" cm="1">
        <f t="array" ref="J369:K369">LINEST(E355:E369,D355:D369)</f>
        <v>-62.074285714285701</v>
      </c>
      <c r="K369" s="56">
        <v>38.598040476190477</v>
      </c>
      <c r="L369" s="56" cm="1">
        <f t="array" ref="L369:M369">LINEST(E350:E369,D350:D369)</f>
        <v>-52.024060150375952</v>
      </c>
      <c r="M369" s="56">
        <v>35.677857142857157</v>
      </c>
      <c r="N369" s="56" cm="1">
        <f t="array" ref="N369:O369">LINEST(E345:E369,D345:D369)</f>
        <v>-41.760000000000026</v>
      </c>
      <c r="O369" s="56">
        <v>32.715400000000002</v>
      </c>
      <c r="P369" s="56" cm="1">
        <f t="array" ref="P369:Q369">LINEST(E340:E369,D340:D369)</f>
        <v>-6.0226918798665201</v>
      </c>
      <c r="Q369" s="56">
        <v>22.482642936596214</v>
      </c>
      <c r="R369" s="56" cm="1">
        <f t="array" ref="R369:S369">LINEST(F360:F369,D360:D369)</f>
        <v>46.036363636363575</v>
      </c>
      <c r="S369" s="56">
        <v>-13.135060606060589</v>
      </c>
      <c r="T369" s="56" cm="1">
        <f t="array" ref="T369:U369">LINEST(F355:F369,D355:D369)</f>
        <v>7.2257142857142709</v>
      </c>
      <c r="U369" s="56">
        <v>-1.7604178571428533</v>
      </c>
      <c r="V369" s="56" cm="1">
        <f t="array" ref="V369:W369">LINEST(F350:F369,D350:D369)</f>
        <v>20.944962406015037</v>
      </c>
      <c r="W369" s="56">
        <v>-5.7438142857142855</v>
      </c>
      <c r="X369" s="56" cm="1">
        <f t="array" ref="X369:Y369">LINEST(F345:F369,D345:D369)</f>
        <v>7.9809230769230597</v>
      </c>
      <c r="Y369" s="56">
        <v>-2.0064515384615333</v>
      </c>
      <c r="Z369" s="56" cm="1">
        <f t="array" ref="Z369:AA369">LINEST(F340:F369,D340:D369)</f>
        <v>5.9041601779755162</v>
      </c>
      <c r="AA369" s="56">
        <v>-1.4130178717093034</v>
      </c>
      <c r="AB369" s="37" cm="1">
        <f t="array" ref="AB369:AC369">LINEST(G360:G369,D360:D369)</f>
        <v>5.803636363636353</v>
      </c>
      <c r="AC369" s="37">
        <v>-1.4953393939393909</v>
      </c>
      <c r="AD369" s="37" cm="1">
        <f t="array" ref="AD369:AE369">LINEST(G355:G369,D355:D369)</f>
        <v>3.6771428571428522</v>
      </c>
      <c r="AE369" s="37">
        <v>-0.87008690476190365</v>
      </c>
      <c r="AF369" s="37" cm="1">
        <f t="array" ref="AF369:AG369">LINEST(G350:G369,D350:D369)</f>
        <v>4.823458646616543</v>
      </c>
      <c r="AG369" s="37">
        <v>-1.2041857142857149</v>
      </c>
      <c r="AH369" s="37" cm="1">
        <f t="array" ref="AH369:AI369">LINEST(G345:G369,D345:D369)</f>
        <v>2.0603076923076911</v>
      </c>
      <c r="AI369" s="37">
        <v>-0.4064338461538457</v>
      </c>
      <c r="AJ369" s="37" cm="1">
        <f t="array" ref="AJ369:AK369">LINEST(G340:G369,D340:D369)</f>
        <v>1.8276307007786419</v>
      </c>
      <c r="AK369" s="37">
        <v>-0.33984953652206129</v>
      </c>
    </row>
    <row r="370" spans="1:37" x14ac:dyDescent="0.25">
      <c r="A370" s="61">
        <v>502</v>
      </c>
      <c r="B370" s="14">
        <f t="shared" si="5"/>
        <v>364</v>
      </c>
      <c r="C370" s="15">
        <v>43981</v>
      </c>
      <c r="D370" s="16">
        <v>0.29958333333333337</v>
      </c>
      <c r="E370" s="36">
        <v>20.41</v>
      </c>
      <c r="F370" s="36">
        <v>-0.59</v>
      </c>
      <c r="G370" s="36">
        <v>0.21</v>
      </c>
      <c r="H370" s="56" cm="1">
        <f t="array" ref="H370:I370">LINEST(E361:E370,D361:D370)</f>
        <v>7.2872727272727849</v>
      </c>
      <c r="I370" s="56">
        <v>18.233399999999985</v>
      </c>
      <c r="J370" s="56" cm="1">
        <f t="array" ref="J370:K370">LINEST(E356:E370,D356:D370)</f>
        <v>-53.588571428571328</v>
      </c>
      <c r="K370" s="56">
        <v>36.161909523809499</v>
      </c>
      <c r="L370" s="56" cm="1">
        <f t="array" ref="L370:M370">LINEST(E351:E370,D351:D370)</f>
        <v>-51.228270676691672</v>
      </c>
      <c r="M370" s="56">
        <v>35.476707518796985</v>
      </c>
      <c r="N370" s="56" cm="1">
        <f t="array" ref="N370:O370">LINEST(E346:E370,D346:D370)</f>
        <v>-41.294769230769226</v>
      </c>
      <c r="O370" s="56">
        <v>32.596978461538463</v>
      </c>
      <c r="P370" s="56" cm="1">
        <f t="array" ref="P370:Q370">LINEST(E341:E370,D341:D370)</f>
        <v>-11.734638487208004</v>
      </c>
      <c r="Q370" s="56">
        <v>24.099846199480897</v>
      </c>
      <c r="R370" s="56" cm="1">
        <f t="array" ref="R370:S370">LINEST(F361:F370,D361:D370)</f>
        <v>2.9672727272724644</v>
      </c>
      <c r="S370" s="56">
        <v>-0.63839999999992281</v>
      </c>
      <c r="T370" s="56" cm="1">
        <f t="array" ref="T370:U370">LINEST(F356:F370,D356:D370)</f>
        <v>-4.9885714285714959</v>
      </c>
      <c r="U370" s="56">
        <v>1.6953261904762105</v>
      </c>
      <c r="V370" s="56" cm="1">
        <f t="array" ref="V370:W370">LINEST(F351:F370,D351:D370)</f>
        <v>0.67127819548868795</v>
      </c>
      <c r="W370" s="56">
        <v>4.4753383458656343E-2</v>
      </c>
      <c r="X370" s="56" cm="1">
        <f t="array" ref="X370:Y370">LINEST(F346:F370,D346:D370)</f>
        <v>4.1870769230768925</v>
      </c>
      <c r="Y370" s="56">
        <v>-0.98699384615383767</v>
      </c>
      <c r="Z370" s="56" cm="1">
        <f t="array" ref="Z370:AA370">LINEST(F341:F370,D341:D370)</f>
        <v>-0.32516129032260022</v>
      </c>
      <c r="AA370" s="56">
        <v>0.30853118279570435</v>
      </c>
      <c r="AB370" s="37" cm="1">
        <f t="array" ref="AB370:AC370">LINEST(G361:G370,D361:D370)</f>
        <v>5.3236363636363464</v>
      </c>
      <c r="AC370" s="37">
        <v>-1.359599999999995</v>
      </c>
      <c r="AD370" s="37" cm="1">
        <f t="array" ref="AD370:AE370">LINEST(G356:G370,D356:D370)</f>
        <v>2.9828571428571347</v>
      </c>
      <c r="AE370" s="37">
        <v>-0.6692809523809502</v>
      </c>
      <c r="AF370" s="37" cm="1">
        <f t="array" ref="AF370:AG370">LINEST(G351:G370,D351:D370)</f>
        <v>4.5419548872180417</v>
      </c>
      <c r="AG370" s="37">
        <v>-1.1252654135338338</v>
      </c>
      <c r="AH370" s="37" cm="1">
        <f t="array" ref="AH370:AI370">LINEST(G346:G370,D346:D370)</f>
        <v>2.2043076923076912</v>
      </c>
      <c r="AI370" s="37">
        <v>-0.44803538461538428</v>
      </c>
      <c r="AJ370" s="37" cm="1">
        <f t="array" ref="AJ370:AK370">LINEST(G341:G370,D341:D370)</f>
        <v>1.6818687430478303</v>
      </c>
      <c r="AK370" s="37">
        <v>-0.29798887652947686</v>
      </c>
    </row>
    <row r="371" spans="1:37" x14ac:dyDescent="0.25">
      <c r="A371" s="61">
        <v>502</v>
      </c>
      <c r="B371" s="14">
        <f t="shared" si="5"/>
        <v>365</v>
      </c>
      <c r="C371" s="15">
        <v>43981</v>
      </c>
      <c r="D371" s="16">
        <v>0.30097222222222225</v>
      </c>
      <c r="E371" s="36">
        <v>20.420000000000002</v>
      </c>
      <c r="F371" s="36">
        <v>0.39</v>
      </c>
      <c r="G371" s="36">
        <v>0.22</v>
      </c>
      <c r="H371" s="56" cm="1">
        <f t="array" ref="H371:I371">LINEST(E362:E371,D362:D371)</f>
        <v>7.2436363636364041</v>
      </c>
      <c r="I371" s="56">
        <v>18.245139393939386</v>
      </c>
      <c r="J371" s="56" cm="1">
        <f t="array" ref="J371:K371">LINEST(E357:E371,D357:D371)</f>
        <v>-42.299999999999834</v>
      </c>
      <c r="K371" s="56">
        <v>32.885874999999956</v>
      </c>
      <c r="L371" s="56" cm="1">
        <f t="array" ref="L371:M371">LINEST(E352:E371,D352:D371)</f>
        <v>-49.230676691729236</v>
      </c>
      <c r="M371" s="56">
        <v>34.927494736842092</v>
      </c>
      <c r="N371" s="56" cm="1">
        <f t="array" ref="N371:O371">LINEST(E347:E371,D347:D371)</f>
        <v>-41.222769230769224</v>
      </c>
      <c r="O371" s="56">
        <v>32.595462307692301</v>
      </c>
      <c r="P371" s="56" cm="1">
        <f t="array" ref="P371:Q371">LINEST(E342:E371,D342:D371)</f>
        <v>-17.372903225806439</v>
      </c>
      <c r="Q371" s="56">
        <v>25.711556989247303</v>
      </c>
      <c r="R371" s="56" cm="1">
        <f t="array" ref="R371:S371">LINEST(F362:F371,D362:D371)</f>
        <v>4.756363636363373</v>
      </c>
      <c r="S371" s="56">
        <v>-1.1448060606059829</v>
      </c>
      <c r="T371" s="56" cm="1">
        <f t="array" ref="T371:U371">LINEST(F357:F371,D357:D371)</f>
        <v>-1.4142857142857701</v>
      </c>
      <c r="U371" s="56">
        <v>0.66724404761906397</v>
      </c>
      <c r="V371" s="56" cm="1">
        <f t="array" ref="V371:W371">LINEST(F352:F371,D352:D371)</f>
        <v>1.48330827067666</v>
      </c>
      <c r="W371" s="56">
        <v>-0.17886315789472768</v>
      </c>
      <c r="X371" s="56" cm="1">
        <f t="array" ref="X371:Y371">LINEST(F347:F371,D347:D371)</f>
        <v>7.4990769230768954</v>
      </c>
      <c r="Y371" s="56">
        <v>-1.9380292307692231</v>
      </c>
      <c r="Z371" s="56" cm="1">
        <f t="array" ref="Z371:AA371">LINEST(F342:F371,D342:D371)</f>
        <v>5.1048720800889775</v>
      </c>
      <c r="AA371" s="56">
        <v>-1.2412849091583213</v>
      </c>
      <c r="AB371" s="37" cm="1">
        <f t="array" ref="AB371:AC371">LINEST(G362:G371,D362:D371)</f>
        <v>4.9745454545454413</v>
      </c>
      <c r="AC371" s="37">
        <v>-1.2601090909090871</v>
      </c>
      <c r="AD371" s="37" cm="1">
        <f t="array" ref="AD371:AE371">LINEST(G357:G371,D357:D371)</f>
        <v>2.4942857142857049</v>
      </c>
      <c r="AE371" s="37">
        <v>-0.52646071428571162</v>
      </c>
      <c r="AF371" s="37" cm="1">
        <f t="array" ref="AF371:AG371">LINEST(G352:G371,D352:D371)</f>
        <v>4.2550375939849561</v>
      </c>
      <c r="AG371" s="37">
        <v>-1.0435052631578929</v>
      </c>
      <c r="AH371" s="37" cm="1">
        <f t="array" ref="AH371:AI371">LINEST(G347:G371,D347:D371)</f>
        <v>2.6030769230769226</v>
      </c>
      <c r="AI371" s="37">
        <v>-0.56326923076923074</v>
      </c>
      <c r="AJ371" s="37" cm="1">
        <f t="array" ref="AJ371:AK371">LINEST(G342:G371,D342:D371)</f>
        <v>1.9445606229143486</v>
      </c>
      <c r="AK371" s="37">
        <v>-0.3727641082684463</v>
      </c>
    </row>
    <row r="372" spans="1:37" x14ac:dyDescent="0.25">
      <c r="A372" s="61">
        <v>502</v>
      </c>
      <c r="B372" s="14">
        <f t="shared" si="5"/>
        <v>366</v>
      </c>
      <c r="C372" s="15">
        <v>43981</v>
      </c>
      <c r="D372" s="16">
        <v>0.30236111111111114</v>
      </c>
      <c r="E372" s="36">
        <v>20.45</v>
      </c>
      <c r="F372" s="36">
        <v>0.83</v>
      </c>
      <c r="G372" s="36">
        <v>0.27</v>
      </c>
      <c r="H372" s="56" cm="1">
        <f t="array" ref="H372:I372">LINEST(E363:E372,D363:D372)</f>
        <v>8.0727272727272297</v>
      </c>
      <c r="I372" s="56">
        <v>18.000575757575767</v>
      </c>
      <c r="J372" s="56" cm="1">
        <f t="array" ref="J372:K372">LINEST(E358:E372,D358:D372)</f>
        <v>-27.437142857142753</v>
      </c>
      <c r="K372" s="56">
        <v>28.532508333333311</v>
      </c>
      <c r="L372" s="56" cm="1">
        <f t="array" ref="L372:M372">LINEST(E353:E372,D353:D372)</f>
        <v>-45.939248120300661</v>
      </c>
      <c r="M372" s="56">
        <v>34.000099248120286</v>
      </c>
      <c r="N372" s="56" cm="1">
        <f t="array" ref="N372:O372">LINEST(E348:E372,D348:D372)</f>
        <v>-40.63569230769231</v>
      </c>
      <c r="O372" s="56">
        <v>32.448991538461541</v>
      </c>
      <c r="P372" s="56" cm="1">
        <f t="array" ref="P372:Q372">LINEST(E343:E372,D343:D372)</f>
        <v>-22.937486095661843</v>
      </c>
      <c r="Q372" s="56">
        <v>27.318801631442334</v>
      </c>
      <c r="R372" s="56" cm="1">
        <f t="array" ref="R372:S372">LINEST(F363:F372,D363:D372)</f>
        <v>21.643636363636091</v>
      </c>
      <c r="S372" s="56">
        <v>-6.0829212121211311</v>
      </c>
      <c r="T372" s="56" cm="1">
        <f t="array" ref="T372:U372">LINEST(F358:F372,D358:D372)</f>
        <v>20.1342857142856</v>
      </c>
      <c r="U372" s="56">
        <v>-5.6347416666666339</v>
      </c>
      <c r="V372" s="56" cm="1">
        <f t="array" ref="V372:W372">LINEST(F353:F372,D353:D372)</f>
        <v>5.2186466165413261</v>
      </c>
      <c r="W372" s="56">
        <v>-1.2220586466165337</v>
      </c>
      <c r="X372" s="56" cm="1">
        <f t="array" ref="X372:Y372">LINEST(F348:F372,D348:D372)</f>
        <v>13.785230769230749</v>
      </c>
      <c r="Y372" s="56">
        <v>-3.7303638461538395</v>
      </c>
      <c r="Z372" s="56" cm="1">
        <f t="array" ref="Z372:AA372">LINEST(F343:F372,D343:D372)</f>
        <v>8.055350389321454</v>
      </c>
      <c r="AA372" s="56">
        <v>-2.0597322209862767</v>
      </c>
      <c r="AB372" s="37" cm="1">
        <f t="array" ref="AB372:AC372">LINEST(G363:G372,D363:D372)</f>
        <v>6.2399999999999771</v>
      </c>
      <c r="AC372" s="37">
        <v>-1.6327333333333265</v>
      </c>
      <c r="AD372" s="37" cm="1">
        <f t="array" ref="AD372:AE372">LINEST(G358:G372,D358:D372)</f>
        <v>3.7542857142857029</v>
      </c>
      <c r="AE372" s="37">
        <v>-0.89398333333333013</v>
      </c>
      <c r="AF372" s="37" cm="1">
        <f t="array" ref="AF372:AG372">LINEST(G353:G372,D353:D372)</f>
        <v>4.3633082706766846</v>
      </c>
      <c r="AG372" s="37">
        <v>-1.0727233082706746</v>
      </c>
      <c r="AH372" s="37" cm="1">
        <f t="array" ref="AH372:AI372">LINEST(G348:G372,D348:D372)</f>
        <v>3.4615384615384617</v>
      </c>
      <c r="AI372" s="37">
        <v>-0.80974230769230759</v>
      </c>
      <c r="AJ372" s="37" cm="1">
        <f t="array" ref="AJ372:AK372">LINEST(G343:G372,D343:D372)</f>
        <v>2.4266963292547272</v>
      </c>
      <c r="AK372" s="37">
        <v>-0.50853429736744515</v>
      </c>
    </row>
    <row r="373" spans="1:37" x14ac:dyDescent="0.25">
      <c r="A373" s="61">
        <v>502</v>
      </c>
      <c r="B373" s="14">
        <f t="shared" si="5"/>
        <v>367</v>
      </c>
      <c r="C373" s="15">
        <v>43981</v>
      </c>
      <c r="D373" s="16">
        <v>0.30375000000000002</v>
      </c>
      <c r="E373" s="36">
        <v>20.420000000000002</v>
      </c>
      <c r="F373" s="36">
        <v>-0.8</v>
      </c>
      <c r="G373" s="36">
        <v>0.19</v>
      </c>
      <c r="H373" s="56" cm="1">
        <f t="array" ref="H373:I373">LINEST(E364:E373,D364:D373)</f>
        <v>7.2436363636364201</v>
      </c>
      <c r="I373" s="56">
        <v>18.243018181818169</v>
      </c>
      <c r="J373" s="56" cm="1">
        <f t="array" ref="J373:K373">LINEST(E359:E373,D359:D373)</f>
        <v>-10.697142857142749</v>
      </c>
      <c r="K373" s="56">
        <v>23.583923809523778</v>
      </c>
      <c r="L373" s="56" cm="1">
        <f t="array" ref="L373:M373">LINEST(E354:E373,D354:D373)</f>
        <v>-42.00360902255629</v>
      </c>
      <c r="M373" s="56">
        <v>32.874881954887201</v>
      </c>
      <c r="N373" s="56" cm="1">
        <f t="array" ref="N373:O373">LINEST(E349:E373,D349:D373)</f>
        <v>-39.821538461538417</v>
      </c>
      <c r="O373" s="56">
        <v>32.234899999999989</v>
      </c>
      <c r="P373" s="56" cm="1">
        <f t="array" ref="P373:Q373">LINEST(E344:E373,D344:D373)</f>
        <v>-28.862469410456029</v>
      </c>
      <c r="Q373" s="56">
        <v>29.043383685576551</v>
      </c>
      <c r="R373" s="56" cm="1">
        <f t="array" ref="R373:S373">LINEST(F364:F373,D364:D373)</f>
        <v>-20.465454545454726</v>
      </c>
      <c r="S373" s="56">
        <v>6.2974727272727815</v>
      </c>
      <c r="T373" s="56" cm="1">
        <f t="array" ref="T373:U373">LINEST(F359:F373,D359:D373)</f>
        <v>-3.3685714285714878</v>
      </c>
      <c r="U373" s="56">
        <v>1.1917869047619223</v>
      </c>
      <c r="V373" s="56" cm="1">
        <f t="array" ref="V373:W373">LINEST(F354:F373,D354:D373)</f>
        <v>-6.8372932330827254</v>
      </c>
      <c r="W373" s="56">
        <v>2.2231135338345922</v>
      </c>
      <c r="X373" s="56" cm="1">
        <f t="array" ref="X373:Y373">LINEST(F349:F373,D349:D373)</f>
        <v>4.7963076923076624</v>
      </c>
      <c r="Y373" s="56">
        <v>-1.1965399999999911</v>
      </c>
      <c r="Z373" s="56" cm="1">
        <f t="array" ref="Z373:AA373">LINEST(F344:F373,D344:D373)</f>
        <v>-1.2397775305895649</v>
      </c>
      <c r="AA373" s="56">
        <v>0.56228134964776277</v>
      </c>
      <c r="AB373" s="37" cm="1">
        <f t="array" ref="AB373:AC373">LINEST(G364:G373,D364:D373)</f>
        <v>4.0581818181817981</v>
      </c>
      <c r="AC373" s="37">
        <v>-0.99230909090908492</v>
      </c>
      <c r="AD373" s="37" cm="1">
        <f t="array" ref="AD373:AE373">LINEST(G359:G373,D359:D373)</f>
        <v>3.1885714285714184</v>
      </c>
      <c r="AE373" s="37">
        <v>-0.73286190476190194</v>
      </c>
      <c r="AF373" s="37" cm="1">
        <f t="array" ref="AF373:AG373">LINEST(G354:G373,D354:D373)</f>
        <v>3.4754887218045036</v>
      </c>
      <c r="AG373" s="37">
        <v>-0.81682255639097523</v>
      </c>
      <c r="AH373" s="37" cm="1">
        <f t="array" ref="AH373:AI373">LINEST(G349:G373,D349:D373)</f>
        <v>3.6110769230769217</v>
      </c>
      <c r="AI373" s="37">
        <v>-0.85747999999999958</v>
      </c>
      <c r="AJ373" s="37" cm="1">
        <f t="array" ref="AJ373:AK373">LINEST(G344:G373,D344:D373)</f>
        <v>2.1608008898776401</v>
      </c>
      <c r="AK373" s="37">
        <v>-0.4338271412680752</v>
      </c>
    </row>
    <row r="374" spans="1:37" x14ac:dyDescent="0.25">
      <c r="A374" s="61">
        <v>502</v>
      </c>
      <c r="B374" s="14">
        <f t="shared" si="5"/>
        <v>368</v>
      </c>
      <c r="C374" s="15">
        <v>43981</v>
      </c>
      <c r="D374" s="16">
        <v>0.3051388888888889</v>
      </c>
      <c r="E374" s="36">
        <v>20.46</v>
      </c>
      <c r="F374" s="36">
        <v>1.1399999999999999</v>
      </c>
      <c r="G374" s="36">
        <v>0.26</v>
      </c>
      <c r="H374" s="56" cm="1">
        <f t="array" ref="H374:I374">LINEST(E365:E374,D365:D374)</f>
        <v>7.8545454545454758</v>
      </c>
      <c r="I374" s="56">
        <v>18.060363636363633</v>
      </c>
      <c r="J374" s="56" cm="1">
        <f t="array" ref="J374:K374">LINEST(E360:E374,D360:D374)</f>
        <v>9.462857142857203</v>
      </c>
      <c r="K374" s="56">
        <v>17.580514285714266</v>
      </c>
      <c r="L374" s="56" cm="1">
        <f t="array" ref="L374:M374">LINEST(E355:E374,D355:D374)</f>
        <v>-36.55759398496231</v>
      </c>
      <c r="M374" s="56">
        <v>31.299286466165388</v>
      </c>
      <c r="N374" s="56" cm="1">
        <f t="array" ref="N374:O374">LINEST(E350:E374,D350:D374)</f>
        <v>-38.159999999999926</v>
      </c>
      <c r="O374" s="56">
        <v>31.775299999999987</v>
      </c>
      <c r="P374" s="56" cm="1">
        <f t="array" ref="P374:Q374">LINEST(E345:E374,D345:D374)</f>
        <v>-34.670522803114544</v>
      </c>
      <c r="Q374" s="56">
        <v>30.752098998887639</v>
      </c>
      <c r="R374" s="56" cm="1">
        <f t="array" ref="R374:S374">LINEST(F365:F374,D365:D374)</f>
        <v>23.825454545454164</v>
      </c>
      <c r="S374" s="56">
        <v>-6.8351636363635233</v>
      </c>
      <c r="T374" s="56" cm="1">
        <f t="array" ref="T374:U374">LINEST(F360:F374,D360:D374)</f>
        <v>12.265714285714184</v>
      </c>
      <c r="U374" s="56">
        <v>-3.3554964285713993</v>
      </c>
      <c r="V374" s="56" cm="1">
        <f t="array" ref="V374:W374">LINEST(F355:F374,D355:D374)</f>
        <v>0.22195488721802267</v>
      </c>
      <c r="W374" s="56">
        <v>0.22670150375940507</v>
      </c>
      <c r="X374" s="56" cm="1">
        <f t="array" ref="X374:Y374">LINEST(F350:F374,D350:D374)</f>
        <v>11.099076923076895</v>
      </c>
      <c r="Y374" s="56">
        <v>-2.9825753846153766</v>
      </c>
      <c r="Z374" s="56" cm="1">
        <f t="array" ref="Z374:AA374">LINEST(F345:F374,D345:D374)</f>
        <v>4.4145050055617157</v>
      </c>
      <c r="AA374" s="56">
        <v>-1.0254672599184222</v>
      </c>
      <c r="AB374" s="37" cm="1">
        <f t="array" ref="AB374:AC374">LINEST(G365:G374,D365:D374)</f>
        <v>5.585454545454513</v>
      </c>
      <c r="AC374" s="37">
        <v>-1.4494303030302935</v>
      </c>
      <c r="AD374" s="37" cm="1">
        <f t="array" ref="AD374:AE374">LINEST(G360:G374,D360:D374)</f>
        <v>3.8828571428571315</v>
      </c>
      <c r="AE374" s="37">
        <v>-0.93772738095237784</v>
      </c>
      <c r="AF374" s="37" cm="1">
        <f t="array" ref="AF374:AG374">LINEST(G355:G374,D355:D374)</f>
        <v>3.221052631578941</v>
      </c>
      <c r="AG374" s="37">
        <v>-0.73986842105262984</v>
      </c>
      <c r="AH374" s="37" cm="1">
        <f t="array" ref="AH374:AI374">LINEST(G350:G374,D350:D374)</f>
        <v>4.1538461538461515</v>
      </c>
      <c r="AI374" s="37">
        <v>-1.0158692307692303</v>
      </c>
      <c r="AJ374" s="37" cm="1">
        <f t="array" ref="AJ374:AK374">LINEST(G345:G374,D345:D374)</f>
        <v>2.3434037819799758</v>
      </c>
      <c r="AK374" s="37">
        <v>-0.48487007786429315</v>
      </c>
    </row>
    <row r="375" spans="1:37" x14ac:dyDescent="0.25">
      <c r="A375" s="61">
        <v>502</v>
      </c>
      <c r="B375" s="14">
        <f t="shared" si="5"/>
        <v>369</v>
      </c>
      <c r="C375" s="15">
        <v>43981</v>
      </c>
      <c r="D375" s="16">
        <v>0.30652777777777779</v>
      </c>
      <c r="E375" s="36">
        <v>20.48</v>
      </c>
      <c r="F375" s="36">
        <v>0.44</v>
      </c>
      <c r="G375" s="36">
        <v>0.28000000000000003</v>
      </c>
      <c r="H375" s="56" cm="1">
        <f t="array" ref="H375:I375">LINEST(E366:E375,D366:D375)</f>
        <v>8.3781818181817869</v>
      </c>
      <c r="I375" s="56">
        <v>17.904218181818191</v>
      </c>
      <c r="J375" s="56" cm="1">
        <f t="array" ref="J375:K375">LINEST(E361:E375,D361:D375)</f>
        <v>7.3028571428571958</v>
      </c>
      <c r="K375" s="56">
        <v>18.228471428571414</v>
      </c>
      <c r="L375" s="56" cm="1">
        <f t="array" ref="L375:M375">LINEST(E356:E375,D356:D375)</f>
        <v>-29.839398496240509</v>
      </c>
      <c r="M375" s="56">
        <v>29.335890225563887</v>
      </c>
      <c r="N375" s="56" cm="1">
        <f t="array" ref="N375:O375">LINEST(E351:E375,D351:D375)</f>
        <v>-36.088615384615302</v>
      </c>
      <c r="O375" s="56">
        <v>31.194286153846136</v>
      </c>
      <c r="P375" s="56" cm="1">
        <f t="array" ref="P375:Q375">LINEST(E346:E375,D346:D375)</f>
        <v>-33.214505005561712</v>
      </c>
      <c r="Q375" s="56">
        <v>30.348265183537258</v>
      </c>
      <c r="R375" s="56" cm="1">
        <f t="array" ref="R375:S375">LINEST(F366:F375,D366:D375)</f>
        <v>11.825454545454203</v>
      </c>
      <c r="S375" s="56">
        <v>-3.2119212121211089</v>
      </c>
      <c r="T375" s="56" cm="1">
        <f t="array" ref="T375:U375">LINEST(F361:F375,D361:D375)</f>
        <v>12.728571428571334</v>
      </c>
      <c r="U375" s="56">
        <v>-3.4899107142856867</v>
      </c>
      <c r="V375" s="56" cm="1">
        <f t="array" ref="V375:W375">LINEST(F356:F375,D356:D375)</f>
        <v>4.4607518796992114</v>
      </c>
      <c r="W375" s="56">
        <v>-1.021487218045102</v>
      </c>
      <c r="X375" s="56" cm="1">
        <f t="array" ref="X375:Y375">LINEST(F351:F375,D351:D375)</f>
        <v>5.0843076923076698</v>
      </c>
      <c r="Y375" s="56">
        <v>-1.2041430769230703</v>
      </c>
      <c r="Z375" s="56" cm="1">
        <f t="array" ref="Z375:AA375">LINEST(F346:F375,D346:D375)</f>
        <v>6.605739710789746</v>
      </c>
      <c r="AA375" s="56">
        <v>-1.6604771227289523</v>
      </c>
      <c r="AB375" s="37" cm="1">
        <f t="array" ref="AB375:AC375">LINEST(G366:G375,D366:D375)</f>
        <v>6.0218181818181522</v>
      </c>
      <c r="AC375" s="37">
        <v>-1.5782181818181729</v>
      </c>
      <c r="AD375" s="37" cm="1">
        <f t="array" ref="AD375:AE375">LINEST(G361:G375,D361:D375)</f>
        <v>4.5514285714285618</v>
      </c>
      <c r="AE375" s="37">
        <v>-1.1348892857142832</v>
      </c>
      <c r="AF375" s="37" cm="1">
        <f t="array" ref="AF375:AG375">LINEST(G356:G375,D356:D375)</f>
        <v>3.3509774436090165</v>
      </c>
      <c r="AG375" s="37">
        <v>-0.77545338345864501</v>
      </c>
      <c r="AH375" s="37" cm="1">
        <f t="array" ref="AH375:AI375">LINEST(G351:G375,D351:D375)</f>
        <v>4.2812307692307661</v>
      </c>
      <c r="AI375" s="37">
        <v>-1.0517623076923068</v>
      </c>
      <c r="AJ375" s="37" cm="1">
        <f t="array" ref="AJ375:AK375">LINEST(G346:G375,D346:D375)</f>
        <v>2.6797775305895426</v>
      </c>
      <c r="AK375" s="37">
        <v>-0.58045850945494959</v>
      </c>
    </row>
    <row r="376" spans="1:37" x14ac:dyDescent="0.25">
      <c r="A376" s="61">
        <v>502</v>
      </c>
      <c r="B376" s="14">
        <f t="shared" si="5"/>
        <v>370</v>
      </c>
      <c r="C376" s="15">
        <v>43981</v>
      </c>
      <c r="D376" s="16">
        <v>0.30791666666666667</v>
      </c>
      <c r="E376" s="36">
        <v>20.02</v>
      </c>
      <c r="F376" s="36">
        <v>0.44</v>
      </c>
      <c r="G376" s="36">
        <v>0.28999999999999998</v>
      </c>
      <c r="H376" s="56" cm="1">
        <f t="array" ref="H376:I376">LINEST(E367:E376,D367:D376)</f>
        <v>-10.690909090909054</v>
      </c>
      <c r="I376" s="56">
        <v>23.612090909090902</v>
      </c>
      <c r="J376" s="56" cm="1">
        <f t="array" ref="J376:K376">LINEST(E362:E376,D362:D376)</f>
        <v>-0.82285714285712686</v>
      </c>
      <c r="K376" s="56">
        <v>20.620704761904758</v>
      </c>
      <c r="L376" s="56" cm="1">
        <f t="array" ref="L376:M376">LINEST(E357:E376,D357:D376)</f>
        <v>-26.796992481202935</v>
      </c>
      <c r="M376" s="56">
        <v>28.413669172932313</v>
      </c>
      <c r="N376" s="56" cm="1">
        <f t="array" ref="N376:O376">LINEST(E352:E376,D352:D376)</f>
        <v>-36.537230769230703</v>
      </c>
      <c r="O376" s="56">
        <v>31.322668461538449</v>
      </c>
      <c r="P376" s="56" cm="1">
        <f t="array" ref="P376:Q376">LINEST(E347:E376,D347:D376)</f>
        <v>-34.303715239154599</v>
      </c>
      <c r="Q376" s="56">
        <v>30.662513607712267</v>
      </c>
      <c r="R376" s="56" cm="1">
        <f t="array" ref="R376:S376">LINEST(F367:F376,D367:D376)</f>
        <v>-20.640000000000256</v>
      </c>
      <c r="S376" s="56">
        <v>6.6514000000000779</v>
      </c>
      <c r="T376" s="56" cm="1">
        <f t="array" ref="T376:U376">LINEST(F362:F376,D362:D376)</f>
        <v>12.419999999999913</v>
      </c>
      <c r="U376" s="56">
        <v>-3.3955749999999743</v>
      </c>
      <c r="V376" s="56" cm="1">
        <f t="array" ref="V376:W376">LINEST(F357:F376,D357:D376)</f>
        <v>6.1822556390976988</v>
      </c>
      <c r="W376" s="56">
        <v>-1.5280481203007388</v>
      </c>
      <c r="X376" s="56" cm="1">
        <f t="array" ref="X376:Y376">LINEST(F352:F376,D352:D376)</f>
        <v>5.4996923076922846</v>
      </c>
      <c r="Y376" s="56">
        <v>-1.321385384615378</v>
      </c>
      <c r="Z376" s="56" cm="1">
        <f t="array" ref="Z376:AA376">LINEST(F347:F376,D347:D376)</f>
        <v>8.8097886540600427</v>
      </c>
      <c r="AA376" s="56">
        <v>-2.3052614015572788</v>
      </c>
      <c r="AB376" s="37" cm="1">
        <f t="array" ref="AB376:AC376">LINEST(G367:G376,D367:D376)</f>
        <v>4.0581818181817928</v>
      </c>
      <c r="AC376" s="37">
        <v>-0.97921818181817433</v>
      </c>
      <c r="AD376" s="37" cm="1">
        <f t="array" ref="AD376:AE376">LINEST(G362:G376,D362:D376)</f>
        <v>5.1428571428571388</v>
      </c>
      <c r="AE376" s="37">
        <v>-1.3102380952380941</v>
      </c>
      <c r="AF376" s="37" cm="1">
        <f t="array" ref="AF376:AG376">LINEST(G357:G376,D357:D376)</f>
        <v>3.5458646616541278</v>
      </c>
      <c r="AG376" s="37">
        <v>-0.83054511278195287</v>
      </c>
      <c r="AH376" s="37" cm="1">
        <f t="array" ref="AH376:AI376">LINEST(G352:G376,D352:D376)</f>
        <v>4.3809230769230725</v>
      </c>
      <c r="AI376" s="37">
        <v>-1.0795438461538447</v>
      </c>
      <c r="AJ376" s="37" cm="1">
        <f t="array" ref="AJ376:AK376">LINEST(G347:G376,D347:D376)</f>
        <v>3.1731256952169069</v>
      </c>
      <c r="AK376" s="37">
        <v>-0.72282172784575416</v>
      </c>
    </row>
    <row r="377" spans="1:37" x14ac:dyDescent="0.25">
      <c r="A377" s="61">
        <v>502</v>
      </c>
      <c r="B377" s="14">
        <f t="shared" si="5"/>
        <v>371</v>
      </c>
      <c r="C377" s="15">
        <v>43981</v>
      </c>
      <c r="D377" s="16">
        <v>0.30930555555555556</v>
      </c>
      <c r="E377" s="36">
        <v>20.04</v>
      </c>
      <c r="F377" s="36">
        <v>0.44</v>
      </c>
      <c r="G377" s="36">
        <v>0.3</v>
      </c>
      <c r="H377" s="56" cm="1">
        <f t="array" ref="H377:I377">LINEST(E368:E377,D368:D377)</f>
        <v>-25.134545454545432</v>
      </c>
      <c r="I377" s="56">
        <v>27.971163636363627</v>
      </c>
      <c r="J377" s="56" cm="1">
        <f t="array" ref="J377:K377">LINEST(E363:E377,D363:D377)</f>
        <v>-7.5857142857142916</v>
      </c>
      <c r="K377" s="56">
        <v>22.627886904761905</v>
      </c>
      <c r="L377" s="56" cm="1">
        <f t="array" ref="L377:M377">LINEST(E358:E377,D358:D377)</f>
        <v>-21.756992481202939</v>
      </c>
      <c r="M377" s="56">
        <v>26.890987218045098</v>
      </c>
      <c r="N377" s="56" cm="1">
        <f t="array" ref="N377:O377">LINEST(E353:E377,D353:D377)</f>
        <v>-36.12738461538455</v>
      </c>
      <c r="O377" s="56">
        <v>31.201877692307676</v>
      </c>
      <c r="P377" s="56" cm="1">
        <f t="array" ref="P377:Q377">LINEST(E348:E377,D348:D377)</f>
        <v>-35.013303670745252</v>
      </c>
      <c r="Q377" s="56">
        <v>30.871680311457169</v>
      </c>
      <c r="R377" s="56" cm="1">
        <f t="array" ref="R377:S377">LINEST(F368:F377,D368:D377)</f>
        <v>-3.0109090909093754</v>
      </c>
      <c r="S377" s="56">
        <v>1.3034727272728133</v>
      </c>
      <c r="T377" s="56" cm="1">
        <f t="array" ref="T377:U377">LINEST(F363:F377,D363:D377)</f>
        <v>11.339999999999909</v>
      </c>
      <c r="U377" s="56">
        <v>-3.0692749999999736</v>
      </c>
      <c r="V377" s="56" cm="1">
        <f t="array" ref="V377:W377">LINEST(F358:F377,D358:D377)</f>
        <v>13.43639097744356</v>
      </c>
      <c r="W377" s="56">
        <v>-3.7026646616541212</v>
      </c>
      <c r="X377" s="56" cm="1">
        <f t="array" ref="X377:Y377">LINEST(F353:F377,D353:D377)</f>
        <v>4.9015384615384434</v>
      </c>
      <c r="Y377" s="56">
        <v>-1.1383807692307639</v>
      </c>
      <c r="Z377" s="56" cm="1">
        <f t="array" ref="Z377:AA377">LINEST(F348:F377,D348:D377)</f>
        <v>11.026651835372618</v>
      </c>
      <c r="AA377" s="56">
        <v>-2.9598734890619154</v>
      </c>
      <c r="AB377" s="37" cm="1">
        <f t="array" ref="AB377:AC377">LINEST(G368:G377,D368:D377)</f>
        <v>3.5781818181817928</v>
      </c>
      <c r="AC377" s="37">
        <v>-0.8283878787878709</v>
      </c>
      <c r="AD377" s="37" cm="1">
        <f t="array" ref="AD377:AE377">LINEST(G363:G377,D363:D377)</f>
        <v>5.6314285714285628</v>
      </c>
      <c r="AE377" s="37">
        <v>-1.4557488095238071</v>
      </c>
      <c r="AF377" s="37" cm="1">
        <f t="array" ref="AF377:AG377">LINEST(G358:G377,D358:D377)</f>
        <v>4.2604511278195405</v>
      </c>
      <c r="AG377" s="37">
        <v>-1.0420669172932309</v>
      </c>
      <c r="AH377" s="37" cm="1">
        <f t="array" ref="AH377:AI377">LINEST(G353:G377,D353:D377)</f>
        <v>4.4473846153846086</v>
      </c>
      <c r="AI377" s="37">
        <v>-1.0974776923076903</v>
      </c>
      <c r="AJ377" s="37" cm="1">
        <f t="array" ref="AJ377:AK377">LINEST(G348:G377,D348:D377)</f>
        <v>3.7802002224694111</v>
      </c>
      <c r="AK377" s="37">
        <v>-0.89977456433073799</v>
      </c>
    </row>
    <row r="378" spans="1:37" x14ac:dyDescent="0.25">
      <c r="A378" s="61">
        <v>502</v>
      </c>
      <c r="B378" s="14">
        <f t="shared" si="5"/>
        <v>372</v>
      </c>
      <c r="C378" s="15">
        <v>43981</v>
      </c>
      <c r="D378" s="16">
        <v>0.31069444444444444</v>
      </c>
      <c r="E378" s="36">
        <v>20.100000000000001</v>
      </c>
      <c r="F378" s="36">
        <v>0.44</v>
      </c>
      <c r="G378" s="36">
        <v>0.31</v>
      </c>
      <c r="H378" s="56" cm="1">
        <f t="array" ref="H378:I378">LINEST(E369:E378,D369:D378)</f>
        <v>-32.421818181818189</v>
      </c>
      <c r="I378" s="56">
        <v>30.193642424242427</v>
      </c>
      <c r="J378" s="56" cm="1">
        <f t="array" ref="J378:K378">LINEST(E364:E378,D364:D378)</f>
        <v>-12.291428571428535</v>
      </c>
      <c r="K378" s="56">
        <v>24.038045238095229</v>
      </c>
      <c r="L378" s="56" cm="1">
        <f t="array" ref="L378:M378">LINEST(E359:E378,D359:D378)</f>
        <v>-14.63819548872174</v>
      </c>
      <c r="M378" s="56">
        <v>24.73886315789472</v>
      </c>
      <c r="N378" s="56" cm="1">
        <f t="array" ref="N378:O378">LINEST(E354:E378,D354:D378)</f>
        <v>-34.604307692307643</v>
      </c>
      <c r="O378" s="56">
        <v>30.755027692307682</v>
      </c>
      <c r="P378" s="56" cm="1">
        <f t="array" ref="P378:Q378">LINEST(E349:E378,D349:D378)</f>
        <v>-35.074171301446022</v>
      </c>
      <c r="Q378" s="56">
        <v>30.896661994809044</v>
      </c>
      <c r="R378" s="56" cm="1">
        <f t="array" ref="R378:S378">LINEST(F369:F378,D369:D378)</f>
        <v>31.985454545454466</v>
      </c>
      <c r="S378" s="56">
        <v>-9.4107939393939155</v>
      </c>
      <c r="T378" s="56" cm="1">
        <f t="array" ref="T378:U378">LINEST(F364:F378,D364:D378)</f>
        <v>14.219999999999915</v>
      </c>
      <c r="U378" s="56">
        <v>-3.9471583333333089</v>
      </c>
      <c r="V378" s="56" cm="1">
        <f t="array" ref="V378:W378">LINEST(F359:F378,D359:D378)</f>
        <v>12.440300751879658</v>
      </c>
      <c r="W378" s="56">
        <v>-3.4049894736841986</v>
      </c>
      <c r="X378" s="56" cm="1">
        <f t="array" ref="X378:Y378">LINEST(F354:F378,D354:D378)</f>
        <v>5.239384615384596</v>
      </c>
      <c r="Y378" s="56">
        <v>-1.2353246153846096</v>
      </c>
      <c r="Z378" s="56" cm="1">
        <f t="array" ref="Z378:AA378">LINEST(F349:F378,D349:D378)</f>
        <v>10.326674082313659</v>
      </c>
      <c r="AA378" s="56">
        <v>-2.753472525027802</v>
      </c>
      <c r="AB378" s="37" cm="1">
        <f t="array" ref="AB378:AC378">LINEST(G369:G378,D369:D378)</f>
        <v>5.8909090909090791</v>
      </c>
      <c r="AC378" s="37">
        <v>-1.532454545454542</v>
      </c>
      <c r="AD378" s="37" cm="1">
        <f t="array" ref="AD378:AE378">LINEST(G364:G378,D364:D378)</f>
        <v>6.1971428571428495</v>
      </c>
      <c r="AE378" s="37">
        <v>-1.625834523809522</v>
      </c>
      <c r="AF378" s="37" cm="1">
        <f t="array" ref="AF378:AG378">LINEST(G359:G378,D359:D378)</f>
        <v>4.8559398496240531</v>
      </c>
      <c r="AG378" s="37">
        <v>-1.2191421052631559</v>
      </c>
      <c r="AH378" s="37" cm="1">
        <f t="array" ref="AH378:AI378">LINEST(G354:G378,D354:D378)</f>
        <v>4.4750769230769158</v>
      </c>
      <c r="AI378" s="37">
        <v>-1.1037969230769209</v>
      </c>
      <c r="AJ378" s="37" cm="1">
        <f t="array" ref="AJ378:AK378">LINEST(G349:G378,D349:D378)</f>
        <v>4.3055839822024451</v>
      </c>
      <c r="AK378" s="37">
        <v>-1.0536780126065994</v>
      </c>
    </row>
    <row r="379" spans="1:37" x14ac:dyDescent="0.25">
      <c r="A379" s="61">
        <v>502</v>
      </c>
      <c r="B379" s="14">
        <f t="shared" si="5"/>
        <v>373</v>
      </c>
      <c r="C379" s="15">
        <v>43981</v>
      </c>
      <c r="D379" s="16">
        <v>0.31208333333333332</v>
      </c>
      <c r="E379" s="36">
        <v>20.100000000000001</v>
      </c>
      <c r="F379" s="36">
        <v>-0.17</v>
      </c>
      <c r="G379" s="36">
        <v>0.27</v>
      </c>
      <c r="H379" s="56" cm="1">
        <f t="array" ref="H379:I379">LINEST(E370:E379,D370:D379)</f>
        <v>-36.04363636363648</v>
      </c>
      <c r="I379" s="56">
        <v>31.313345454545491</v>
      </c>
      <c r="J379" s="56" cm="1">
        <f t="array" ref="J379:K379">LINEST(E365:E379,D365:D379)</f>
        <v>-16.148571428571387</v>
      </c>
      <c r="K379" s="56">
        <v>25.204033333333321</v>
      </c>
      <c r="L379" s="56" cm="1">
        <f t="array" ref="L379:M379">LINEST(E360:E379,D360:D379)</f>
        <v>-6.0090225563909181</v>
      </c>
      <c r="M379" s="56">
        <v>22.115030075187956</v>
      </c>
      <c r="N379" s="56" cm="1">
        <f t="array" ref="N379:O379">LINEST(E355:E379,D355:D379)</f>
        <v>-32.327999999999946</v>
      </c>
      <c r="O379" s="56">
        <v>30.081029999999991</v>
      </c>
      <c r="P379" s="56" cm="1">
        <f t="array" ref="P379:Q379">LINEST(E350:E379,D350:D379)</f>
        <v>-34.688142380422669</v>
      </c>
      <c r="Q379" s="56">
        <v>30.791010456062292</v>
      </c>
      <c r="R379" s="56" cm="1">
        <f t="array" ref="R379:S379">LINEST(F370:F379,D370:D379)</f>
        <v>22.69090909090917</v>
      </c>
      <c r="S379" s="56">
        <v>-6.6836363636363876</v>
      </c>
      <c r="T379" s="56" cm="1">
        <f t="array" ref="T379:U379">LINEST(F365:F379,D365:D379)</f>
        <v>5.939999999999932</v>
      </c>
      <c r="U379" s="56">
        <v>-1.4993583333333129</v>
      </c>
      <c r="V379" s="56" cm="1">
        <f t="array" ref="V379:W379">LINEST(F360:F379,D360:D379)</f>
        <v>5.8736842105262923</v>
      </c>
      <c r="W379" s="56">
        <v>-1.4750789473684143</v>
      </c>
      <c r="X379" s="56" cm="1">
        <f t="array" ref="X379:Y379">LINEST(F355:F379,D355:D379)</f>
        <v>0.17169230769229604</v>
      </c>
      <c r="Y379" s="56">
        <v>0.24607923076923433</v>
      </c>
      <c r="Z379" s="56" cm="1">
        <f t="array" ref="Z379:AA379">LINEST(F350:F379,D350:D379)</f>
        <v>8.0072969966629444</v>
      </c>
      <c r="AA379" s="56">
        <v>-2.1020192065257652</v>
      </c>
      <c r="AB379" s="37" cm="1">
        <f t="array" ref="AB379:AC379">LINEST(G370:G379,D370:D379)</f>
        <v>7.1563636363636602</v>
      </c>
      <c r="AC379" s="37">
        <v>-1.9286545454545527</v>
      </c>
      <c r="AD379" s="37" cm="1">
        <f t="array" ref="AD379:AE379">LINEST(G365:G379,D365:D379)</f>
        <v>6.1457142857142806</v>
      </c>
      <c r="AE379" s="37">
        <v>-1.6148916666666653</v>
      </c>
      <c r="AF379" s="37" cm="1">
        <f t="array" ref="AF379:AG379">LINEST(G360:G379,D360:D379)</f>
        <v>4.9100751879699196</v>
      </c>
      <c r="AG379" s="37">
        <v>-1.2380669172932317</v>
      </c>
      <c r="AH379" s="37" cm="1">
        <f t="array" ref="AH379:AI379">LINEST(G355:G379,D355:D379)</f>
        <v>4.1261538461538416</v>
      </c>
      <c r="AI379" s="37">
        <v>-1.0005346153846144</v>
      </c>
      <c r="AJ379" s="37" cm="1">
        <f t="array" ref="AJ379:AK379">LINEST(G350:G379,D350:D379)</f>
        <v>4.5570634037819806</v>
      </c>
      <c r="AK379" s="37">
        <v>-1.1300760103819063</v>
      </c>
    </row>
    <row r="380" spans="1:37" x14ac:dyDescent="0.25">
      <c r="A380" s="61">
        <v>502</v>
      </c>
      <c r="B380" s="14">
        <f t="shared" si="5"/>
        <v>374</v>
      </c>
      <c r="C380" s="15">
        <v>43981</v>
      </c>
      <c r="D380" s="16">
        <v>0.31347222222222221</v>
      </c>
      <c r="E380" s="36">
        <v>20.11</v>
      </c>
      <c r="F380" s="36">
        <v>0.38</v>
      </c>
      <c r="G380" s="36">
        <v>0.28000000000000003</v>
      </c>
      <c r="H380" s="56" cm="1">
        <f t="array" ref="H380:I380">LINEST(E371:E380,D371:D380)</f>
        <v>-37.352727272727435</v>
      </c>
      <c r="I380" s="56">
        <v>31.735587878787925</v>
      </c>
      <c r="J380" s="56" cm="1">
        <f t="array" ref="J380:K380">LINEST(E366:E380,D366:D380)</f>
        <v>-19.157142857142869</v>
      </c>
      <c r="K380" s="56">
        <v>26.123648809523814</v>
      </c>
      <c r="L380" s="56" cm="1">
        <f t="array" ref="L380:M380">LINEST(E361:E380,D361:D380)</f>
        <v>-9.7389473684210142</v>
      </c>
      <c r="M380" s="56">
        <v>23.239889473684201</v>
      </c>
      <c r="N380" s="56" cm="1">
        <f t="array" ref="N380:O380">LINEST(E356:E380,D356:D380)</f>
        <v>-29.226461538461507</v>
      </c>
      <c r="O380" s="56">
        <v>29.155776153846151</v>
      </c>
      <c r="P380" s="56" cm="1">
        <f t="array" ref="P380:Q380">LINEST(E351:E380,D351:D380)</f>
        <v>-34.004182424916522</v>
      </c>
      <c r="Q380" s="56">
        <v>30.598226844642184</v>
      </c>
      <c r="R380" s="56" cm="1">
        <f t="array" ref="R380:S380">LINEST(F371:F380,D371:D380)</f>
        <v>-13.047272727272775</v>
      </c>
      <c r="S380" s="56">
        <v>4.361412121212136</v>
      </c>
      <c r="T380" s="56" cm="1">
        <f t="array" ref="T380:U380">LINEST(F366:F380,D366:D380)</f>
        <v>-0.51428571428579761</v>
      </c>
      <c r="U380" s="56">
        <v>0.48421428571431113</v>
      </c>
      <c r="V380" s="56" cm="1">
        <f t="array" ref="V380:W380">LINEST(F361:F380,D361:D380)</f>
        <v>5.2998496240601236</v>
      </c>
      <c r="W380" s="56">
        <v>-1.2989270676691649</v>
      </c>
      <c r="X380" s="56" cm="1">
        <f t="array" ref="X380:Y380">LINEST(F356:F380,D356:D380)</f>
        <v>2.4036923076922911</v>
      </c>
      <c r="Y380" s="56">
        <v>-0.42262923076922582</v>
      </c>
      <c r="Z380" s="56" cm="1">
        <f t="array" ref="Z380:AA380">LINEST(F351:F380,D351:D380)</f>
        <v>3.4358175750834192</v>
      </c>
      <c r="AA380" s="56">
        <v>-0.73217315535780303</v>
      </c>
      <c r="AB380" s="37" cm="1">
        <f t="array" ref="AB380:AC380">LINEST(G371:G380,D371:D380)</f>
        <v>5.5418181818182015</v>
      </c>
      <c r="AC380" s="37">
        <v>-1.4355696969697029</v>
      </c>
      <c r="AD380" s="37" cm="1">
        <f t="array" ref="AD380:AE380">LINEST(G366:G380,D366:D380)</f>
        <v>5.5028571428571444</v>
      </c>
      <c r="AE380" s="37">
        <v>-1.4214928571428578</v>
      </c>
      <c r="AF380" s="37" cm="1">
        <f t="array" ref="AF380:AG380">LINEST(G361:G380,D361:D380)</f>
        <v>4.8667669172932317</v>
      </c>
      <c r="AG380" s="37">
        <v>-1.2268819548872179</v>
      </c>
      <c r="AH380" s="37" cm="1">
        <f t="array" ref="AH380:AI380">LINEST(G356:G380,D356:D380)</f>
        <v>3.971076923076919</v>
      </c>
      <c r="AI380" s="37">
        <v>-0.95463769230769135</v>
      </c>
      <c r="AJ380" s="37" cm="1">
        <f t="array" ref="AJ380:AK380">LINEST(G351:G380,D351:D380)</f>
        <v>4.4785761957730781</v>
      </c>
      <c r="AK380" s="37">
        <v>-1.1077156840934363</v>
      </c>
    </row>
    <row r="381" spans="1:37" x14ac:dyDescent="0.25">
      <c r="A381" s="61">
        <v>502</v>
      </c>
      <c r="B381" s="14">
        <f t="shared" si="5"/>
        <v>375</v>
      </c>
      <c r="C381" s="15">
        <v>43981</v>
      </c>
      <c r="D381" s="16">
        <v>0.31486111111111109</v>
      </c>
      <c r="E381" s="36">
        <v>20.13</v>
      </c>
      <c r="F381" s="36">
        <v>0.67</v>
      </c>
      <c r="G381" s="36">
        <v>0.31</v>
      </c>
      <c r="H381" s="56" cm="1">
        <f t="array" ref="H381:I381">LINEST(E372:E381,D372:D381)</f>
        <v>-34.778181818182006</v>
      </c>
      <c r="I381" s="56">
        <v>30.963933333333394</v>
      </c>
      <c r="J381" s="56" cm="1">
        <f t="array" ref="J381:K381">LINEST(E367:E381,D367:D381)</f>
        <v>-21.368571428571464</v>
      </c>
      <c r="K381" s="56">
        <v>26.810382142857158</v>
      </c>
      <c r="L381" s="56" cm="1">
        <f t="array" ref="L381:M381">LINEST(E362:E381,D362:D381)</f>
        <v>-11.482105263157903</v>
      </c>
      <c r="M381" s="56">
        <v>23.769268421052637</v>
      </c>
      <c r="N381" s="56" cm="1">
        <f t="array" ref="N381:O381">LINEST(E357:E381,D357:D381)</f>
        <v>-25.233230769230751</v>
      </c>
      <c r="O381" s="56">
        <v>27.956409230769232</v>
      </c>
      <c r="P381" s="56" cm="1">
        <f t="array" ref="P381:Q381">LINEST(E352:E381,D352:D381)</f>
        <v>-32.790033370411543</v>
      </c>
      <c r="Q381" s="56">
        <v>30.247618168335187</v>
      </c>
      <c r="R381" s="56" cm="1">
        <f t="array" ref="R381:S381">LINEST(F372:F381,D372:D381)</f>
        <v>1.1781818181818717</v>
      </c>
      <c r="S381" s="56">
        <v>1.7399999999983429E-2</v>
      </c>
      <c r="T381" s="56" cm="1">
        <f t="array" ref="T381:U381">LINEST(F367:F381,D367:D381)</f>
        <v>-9.7457142857143957</v>
      </c>
      <c r="U381" s="56">
        <v>3.3744630952381289</v>
      </c>
      <c r="V381" s="56" cm="1">
        <f t="array" ref="V381:W381">LINEST(F362:F381,D362:D381)</f>
        <v>7.4490225563909522</v>
      </c>
      <c r="W381" s="56">
        <v>-1.9281218045112709</v>
      </c>
      <c r="X381" s="56" cm="1">
        <f t="array" ref="X381:Y381">LINEST(F357:F381,D357:D381)</f>
        <v>4.9901538461538317</v>
      </c>
      <c r="Y381" s="56">
        <v>-1.1824361538461496</v>
      </c>
      <c r="Z381" s="56" cm="1">
        <f t="array" ref="Z381:AA381">LINEST(F352:F381,D352:D381)</f>
        <v>4.742869855394872</v>
      </c>
      <c r="AA381" s="56">
        <v>-1.1054958101594332</v>
      </c>
      <c r="AB381" s="37" cm="1">
        <f t="array" ref="AB381:AC381">LINEST(G372:G381,D372:D381)</f>
        <v>4.9745454545454724</v>
      </c>
      <c r="AC381" s="37">
        <v>-1.2592000000000054</v>
      </c>
      <c r="AD381" s="37" cm="1">
        <f t="array" ref="AD381:AE381">LINEST(G367:G381,D367:D381)</f>
        <v>4.3199999999999985</v>
      </c>
      <c r="AE381" s="37">
        <v>-1.0568666666666662</v>
      </c>
      <c r="AF381" s="37" cm="1">
        <f t="array" ref="AF381:AG381">LINEST(G362:G381,D362:D381)</f>
        <v>5.0237593984962423</v>
      </c>
      <c r="AG381" s="37">
        <v>-1.2745007518796998</v>
      </c>
      <c r="AH381" s="37" cm="1">
        <f t="array" ref="AH381:AI381">LINEST(G357:G381,D357:D381)</f>
        <v>4.0098461538461514</v>
      </c>
      <c r="AI381" s="37">
        <v>-0.96531384615384574</v>
      </c>
      <c r="AJ381" s="37" cm="1">
        <f t="array" ref="AJ381:AK381">LINEST(G352:G381,D352:D381)</f>
        <v>4.4849833147942135</v>
      </c>
      <c r="AK381" s="37">
        <v>-1.1091575824990725</v>
      </c>
    </row>
    <row r="382" spans="1:37" x14ac:dyDescent="0.25">
      <c r="A382" s="61">
        <v>502</v>
      </c>
      <c r="B382" s="14">
        <f t="shared" si="5"/>
        <v>376</v>
      </c>
      <c r="C382" s="15">
        <v>43981</v>
      </c>
      <c r="D382" s="16">
        <v>0.31624999999999998</v>
      </c>
      <c r="E382" s="36">
        <v>20.12</v>
      </c>
      <c r="F382" s="36">
        <v>-0.39</v>
      </c>
      <c r="G382" s="36">
        <v>0.26</v>
      </c>
      <c r="H382" s="56" cm="1">
        <f t="array" ref="H382:I382">LINEST(E373:E382,D373:D382)</f>
        <v>-28.625454545454716</v>
      </c>
      <c r="I382" s="56">
        <v>29.071890909090961</v>
      </c>
      <c r="J382" s="56" cm="1">
        <f t="array" ref="J382:K382">LINEST(E368:E382,D368:D382)</f>
        <v>-22.782857142857182</v>
      </c>
      <c r="K382" s="56">
        <v>27.256911904761914</v>
      </c>
      <c r="L382" s="56" cm="1">
        <f t="array" ref="L382:M382">LINEST(E363:E382,D363:D382)</f>
        <v>-12.997894736842117</v>
      </c>
      <c r="M382" s="56">
        <v>24.233584210526324</v>
      </c>
      <c r="N382" s="56" cm="1">
        <f t="array" ref="N382:O382">LINEST(E358:E382,D358:D382)</f>
        <v>-20.409230769230739</v>
      </c>
      <c r="O382" s="56">
        <v>26.495465384615382</v>
      </c>
      <c r="P382" s="56" cm="1">
        <f t="array" ref="P382:Q382">LINEST(E353:E382,D353:D382)</f>
        <v>-31.237908787541709</v>
      </c>
      <c r="Q382" s="56">
        <v>29.793225213199861</v>
      </c>
      <c r="R382" s="56" cm="1">
        <f t="array" ref="R382:S382">LINEST(F373:F382,D373:D382)</f>
        <v>-7.5490909090909284</v>
      </c>
      <c r="S382" s="56">
        <v>2.5992181818181876</v>
      </c>
      <c r="T382" s="56" cm="1">
        <f t="array" ref="T382:U382">LINEST(F368:F382,D368:D382)</f>
        <v>-16.174285714285819</v>
      </c>
      <c r="U382" s="56">
        <v>5.2805345238095569</v>
      </c>
      <c r="V382" s="56" cm="1">
        <f t="array" ref="V382:W382">LINEST(F363:F382,D363:D382)</f>
        <v>-1.878496240601526</v>
      </c>
      <c r="W382" s="56">
        <v>0.86178872180451815</v>
      </c>
      <c r="X382" s="56" cm="1">
        <f t="array" ref="X382:Y382">LINEST(F358:F382,D358:D382)</f>
        <v>3.9267692307692248</v>
      </c>
      <c r="Y382" s="56">
        <v>-0.91839461538461364</v>
      </c>
      <c r="Z382" s="56" cm="1">
        <f t="array" ref="Z382:AA382">LINEST(F353:F382,D353:D382)</f>
        <v>0.37001112347051723</v>
      </c>
      <c r="AA382" s="56">
        <v>0.16810226177234133</v>
      </c>
      <c r="AB382" s="37" cm="1">
        <f t="array" ref="AB382:AC382">LINEST(G373:G382,D373:D382)</f>
        <v>4.0581818181818328</v>
      </c>
      <c r="AC382" s="37">
        <v>-0.98303636363636804</v>
      </c>
      <c r="AD382" s="37" cm="1">
        <f t="array" ref="AD382:AE382">LINEST(G368:G382,D368:D382)</f>
        <v>2.8285714285714274</v>
      </c>
      <c r="AE382" s="37">
        <v>-0.60103571428571412</v>
      </c>
      <c r="AF382" s="37" cm="1">
        <f t="array" ref="AF382:AG382">LINEST(G363:G382,D363:D382)</f>
        <v>4.5257142857142876</v>
      </c>
      <c r="AG382" s="37">
        <v>-1.1265428571428577</v>
      </c>
      <c r="AH382" s="37" cm="1">
        <f t="array" ref="AH382:AI382">LINEST(G358:G382,D358:D382)</f>
        <v>3.9876923076923059</v>
      </c>
      <c r="AI382" s="37">
        <v>-0.96184615384615346</v>
      </c>
      <c r="AJ382" s="37" cm="1">
        <f t="array" ref="AJ382:AK382">LINEST(G353:G382,D353:D382)</f>
        <v>4.195061179087876</v>
      </c>
      <c r="AK382" s="37">
        <v>-1.0245375602521323</v>
      </c>
    </row>
    <row r="383" spans="1:37" x14ac:dyDescent="0.25">
      <c r="A383" s="61">
        <v>502</v>
      </c>
      <c r="B383" s="14">
        <f t="shared" si="5"/>
        <v>377</v>
      </c>
      <c r="C383" s="15">
        <v>43981</v>
      </c>
      <c r="D383" s="16">
        <v>0.31763888888888886</v>
      </c>
      <c r="E383" s="36">
        <v>20.12</v>
      </c>
      <c r="F383" s="36">
        <v>-0.04</v>
      </c>
      <c r="G383" s="36">
        <v>0.23</v>
      </c>
      <c r="H383" s="56" cm="1">
        <f t="array" ref="H383:I383">LINEST(E374:E383,D374:D383)</f>
        <v>-21.032727272727328</v>
      </c>
      <c r="I383" s="56">
        <v>26.717357575757593</v>
      </c>
      <c r="J383" s="56" cm="1">
        <f t="array" ref="J383:K383">LINEST(E369:E383,D369:D383)</f>
        <v>-22.731428571428626</v>
      </c>
      <c r="K383" s="56">
        <v>27.253385714285734</v>
      </c>
      <c r="L383" s="56" cm="1">
        <f t="array" ref="L383:M383">LINEST(E364:E383,D364:D383)</f>
        <v>-14.161804511278193</v>
      </c>
      <c r="M383" s="56">
        <v>24.594482706766922</v>
      </c>
      <c r="N383" s="56" cm="1">
        <f t="array" ref="N383:O383">LINEST(E359:E383,D359:D383)</f>
        <v>-14.881846153846123</v>
      </c>
      <c r="O383" s="56">
        <v>24.809422307692302</v>
      </c>
      <c r="P383" s="56" cm="1">
        <f t="array" ref="P383:Q383">LINEST(E354:E383,D354:D383)</f>
        <v>-29.298153503893207</v>
      </c>
      <c r="Q383" s="56">
        <v>29.219200667408234</v>
      </c>
      <c r="R383" s="56" cm="1">
        <f t="array" ref="R383:S383">LINEST(F374:F383,D374:D383)</f>
        <v>-70.123636363636592</v>
      </c>
      <c r="S383" s="56">
        <v>22.170721212121283</v>
      </c>
      <c r="T383" s="56" cm="1">
        <f t="array" ref="T383:U383">LINEST(F369:F383,D369:D383)</f>
        <v>-7.1228571428571703</v>
      </c>
      <c r="U383" s="56">
        <v>2.441246428571437</v>
      </c>
      <c r="V383" s="56" cm="1">
        <f t="array" ref="V383:W383">LINEST(F364:F383,D364:D383)</f>
        <v>-4.4174436090225786</v>
      </c>
      <c r="W383" s="56">
        <v>1.616866165413541</v>
      </c>
      <c r="X383" s="56" cm="1">
        <f t="array" ref="X383:Y383">LINEST(F359:F383,D359:D383)</f>
        <v>0.37661538461538163</v>
      </c>
      <c r="Y383" s="56">
        <v>0.14144923076923172</v>
      </c>
      <c r="Z383" s="56" cm="1">
        <f t="array" ref="Z383:AA383">LINEST(F354:F383,D354:D383)</f>
        <v>-1.4416017797552863</v>
      </c>
      <c r="AA383" s="56">
        <v>0.69820986281053121</v>
      </c>
      <c r="AB383" s="37" cm="1">
        <f t="array" ref="AB383:AC383">LINEST(G374:G383,D374:D383)</f>
        <v>-1.7890909090909151</v>
      </c>
      <c r="AC383" s="37">
        <v>0.83610303030303212</v>
      </c>
      <c r="AD383" s="37" cm="1">
        <f t="array" ref="AD383:AE383">LINEST(G369:G383,D369:D383)</f>
        <v>2.0571428571428596</v>
      </c>
      <c r="AE383" s="37">
        <v>-0.36942857142857222</v>
      </c>
      <c r="AF383" s="37" cm="1">
        <f t="array" ref="AF383:AG383">LINEST(G364:G383,D364:D383)</f>
        <v>3.7461654135338391</v>
      </c>
      <c r="AG383" s="37">
        <v>-0.89349924812030246</v>
      </c>
      <c r="AH383" s="37" cm="1">
        <f t="array" ref="AH383:AI383">LINEST(G359:G383,D359:D383)</f>
        <v>3.6609230769230776</v>
      </c>
      <c r="AI383" s="37">
        <v>-0.86743615384615436</v>
      </c>
      <c r="AJ383" s="37" cm="1">
        <f t="array" ref="AJ383:AK383">LINEST(G354:G383,D354:D383)</f>
        <v>3.7177308120133481</v>
      </c>
      <c r="AK383" s="37">
        <v>-0.88435824990730461</v>
      </c>
    </row>
    <row r="384" spans="1:37" x14ac:dyDescent="0.25">
      <c r="A384" s="61">
        <v>502</v>
      </c>
      <c r="B384" s="14">
        <f t="shared" si="5"/>
        <v>378</v>
      </c>
      <c r="C384" s="15">
        <v>43981</v>
      </c>
      <c r="D384" s="16">
        <v>0.31902777777777774</v>
      </c>
      <c r="E384" s="36">
        <v>20.149999999999999</v>
      </c>
      <c r="F384" s="36">
        <v>1</v>
      </c>
      <c r="G384" s="36">
        <v>0.28999999999999998</v>
      </c>
      <c r="H384" s="56" cm="1">
        <f t="array" ref="H384:I384">LINEST(E375:E384,D375:D384)</f>
        <v>-7.7236363636364187</v>
      </c>
      <c r="I384" s="56">
        <v>22.552781818181838</v>
      </c>
      <c r="J384" s="56" cm="1">
        <f t="array" ref="J384:K384">LINEST(E370:E384,D370:D384)</f>
        <v>-20.982857142857256</v>
      </c>
      <c r="K384" s="56">
        <v>26.725447619047653</v>
      </c>
      <c r="L384" s="56" cm="1">
        <f t="array" ref="L384:M384">LINEST(E365:E384,D365:D384)</f>
        <v>-14.654436090225596</v>
      </c>
      <c r="M384" s="56">
        <v>24.754315037593997</v>
      </c>
      <c r="N384" s="56" cm="1">
        <f t="array" ref="N384:O384">LINEST(E360:E384,D360:D384)</f>
        <v>-8.3796923076922933</v>
      </c>
      <c r="O384" s="56">
        <v>22.814093076923072</v>
      </c>
      <c r="P384" s="56" cm="1">
        <f t="array" ref="P384:Q384">LINEST(E355:E384,D355:D384)</f>
        <v>-26.781757508342611</v>
      </c>
      <c r="Q384" s="56">
        <v>28.468103077493517</v>
      </c>
      <c r="R384" s="56" cm="1">
        <f t="array" ref="R384:S384">LINEST(F375:F384,D375:D384)</f>
        <v>-5.3672727272727494</v>
      </c>
      <c r="S384" s="56">
        <v>1.9997636363636431</v>
      </c>
      <c r="T384" s="56" cm="1">
        <f t="array" ref="T384:U384">LINEST(F370:F384,D370:D384)</f>
        <v>12.420000000000041</v>
      </c>
      <c r="U384" s="56">
        <v>-3.562908333333346</v>
      </c>
      <c r="V384" s="56" cm="1">
        <f t="array" ref="V384:W384">LINEST(F365:F384,D365:D384)</f>
        <v>4.1846616541353265</v>
      </c>
      <c r="W384" s="56">
        <v>-0.9763090225563873</v>
      </c>
      <c r="X384" s="56" cm="1">
        <f t="array" ref="X384:Y384">LINEST(F360:F384,D360:D384)</f>
        <v>4.5027692307692213</v>
      </c>
      <c r="Y384" s="56">
        <v>-1.0722623076923048</v>
      </c>
      <c r="Z384" s="56" cm="1">
        <f t="array" ref="Z384:AA384">LINEST(F355:F384,D355:D384)</f>
        <v>0.81370411568408763</v>
      </c>
      <c r="AA384" s="56">
        <v>5.8126214312200497E-2</v>
      </c>
      <c r="AB384" s="37" cm="1">
        <f t="array" ref="AB384:AC384">LINEST(G375:G384,D375:D384)</f>
        <v>-2.269090909090917</v>
      </c>
      <c r="AC384" s="37">
        <v>0.99172121212121445</v>
      </c>
      <c r="AD384" s="37" cm="1">
        <f t="array" ref="AD384:AE384">LINEST(G370:G384,D370:D384)</f>
        <v>2.8542857142857234</v>
      </c>
      <c r="AE384" s="37">
        <v>-0.61817976190476465</v>
      </c>
      <c r="AF384" s="37" cm="1">
        <f t="array" ref="AF384:AG384">LINEST(G365:G384,D365:D384)</f>
        <v>3.7678195488721853</v>
      </c>
      <c r="AG384" s="37">
        <v>-0.90132481203007664</v>
      </c>
      <c r="AH384" s="37" cm="1">
        <f t="array" ref="AH384:AI384">LINEST(G360:G384,D360:D384)</f>
        <v>3.7107692307692322</v>
      </c>
      <c r="AI384" s="37">
        <v>-0.88359230769230823</v>
      </c>
      <c r="AJ384" s="37" cm="1">
        <f t="array" ref="AJ384:AK384">LINEST(G355:G384,D355:D384)</f>
        <v>3.4806674082313678</v>
      </c>
      <c r="AK384" s="37">
        <v>-0.81266614757137567</v>
      </c>
    </row>
    <row r="385" spans="1:38" x14ac:dyDescent="0.25">
      <c r="A385" s="61">
        <v>502</v>
      </c>
      <c r="B385" s="14">
        <f t="shared" si="5"/>
        <v>379</v>
      </c>
      <c r="C385" s="15">
        <v>43981</v>
      </c>
      <c r="D385" s="16">
        <v>0.32041666666666663</v>
      </c>
      <c r="E385" s="36">
        <v>20.190000000000001</v>
      </c>
      <c r="F385" s="36">
        <v>1.05</v>
      </c>
      <c r="G385" s="36">
        <v>0.35</v>
      </c>
      <c r="H385" s="56" cm="1">
        <f t="array" ref="H385:I385">LINEST(E376:E385,D376:D385)</f>
        <v>10.821818181818253</v>
      </c>
      <c r="I385" s="56">
        <v>16.708145454545434</v>
      </c>
      <c r="J385" s="56" cm="1">
        <f t="array" ref="J385:K385">LINEST(E371:E385,D371:D385)</f>
        <v>-18.205714285714372</v>
      </c>
      <c r="K385" s="56">
        <v>25.877080952380975</v>
      </c>
      <c r="L385" s="56" cm="1">
        <f t="array" ref="L385:M385">LINEST(E366:E385,D366:D385)</f>
        <v>-14.508270676691769</v>
      </c>
      <c r="M385" s="56">
        <v>24.721263157894754</v>
      </c>
      <c r="N385" s="56" cm="1">
        <f t="array" ref="N385:O385">LINEST(E361:E385,D361:D385)</f>
        <v>-9.7033846153846106</v>
      </c>
      <c r="O385" s="56">
        <v>23.22820307692308</v>
      </c>
      <c r="P385" s="56" cm="1">
        <f t="array" ref="P385:Q385">LINEST(E356:E385,D356:D385)</f>
        <v>-23.64867630700779</v>
      </c>
      <c r="Q385" s="56">
        <v>27.525838635520955</v>
      </c>
      <c r="R385" s="56" cm="1">
        <f t="array" ref="R385:S385">LINEST(F376:F385,D376:D385)</f>
        <v>28.974545454545563</v>
      </c>
      <c r="S385" s="56">
        <v>-8.7208363636363977</v>
      </c>
      <c r="T385" s="56" cm="1">
        <f t="array" ref="T385:U385">LINEST(F371:F385,D371:D385)</f>
        <v>8.4342857142857603</v>
      </c>
      <c r="U385" s="56">
        <v>-2.2324857142857288</v>
      </c>
      <c r="V385" s="56" cm="1">
        <f t="array" ref="V385:W385">LINEST(F366:F385,D366:D385)</f>
        <v>7.389473684210504</v>
      </c>
      <c r="W385" s="56">
        <v>-1.9097105263157825</v>
      </c>
      <c r="X385" s="56" cm="1">
        <f t="array" ref="X385:Y385">LINEST(F361:F385,D361:D385)</f>
        <v>8.4849230769230708</v>
      </c>
      <c r="Y385" s="56">
        <v>-2.2516953846153829</v>
      </c>
      <c r="Z385" s="56" cm="1">
        <f t="array" ref="Z385:AA385">LINEST(F356:F385,D356:D385)</f>
        <v>5.4268298109009887</v>
      </c>
      <c r="AA385" s="56">
        <v>-1.3108897293288804</v>
      </c>
      <c r="AB385" s="37" cm="1">
        <f t="array" ref="AB385:AC385">LINEST(G376:G385,D376:D385)</f>
        <v>0.30545454545454637</v>
      </c>
      <c r="AC385" s="37">
        <v>0.1930363636363634</v>
      </c>
      <c r="AD385" s="37" cm="1">
        <f t="array" ref="AD385:AE385">LINEST(G371:G385,D371:D385)</f>
        <v>3.2657142857142967</v>
      </c>
      <c r="AE385" s="37">
        <v>-0.74063928571428916</v>
      </c>
      <c r="AF385" s="37" cm="1">
        <f t="array" ref="AF385:AG385">LINEST(G366:G385,D366:D385)</f>
        <v>3.9789473684210601</v>
      </c>
      <c r="AG385" s="37">
        <v>-0.96292105263158134</v>
      </c>
      <c r="AH385" s="37" cm="1">
        <f t="array" ref="AH385:AI385">LINEST(G361:G385,D361:D385)</f>
        <v>4.0320000000000045</v>
      </c>
      <c r="AI385" s="37">
        <v>-0.97952000000000139</v>
      </c>
      <c r="AJ385" s="37" cm="1">
        <f t="array" ref="AJ385:AK385">LINEST(G356:G385,D356:D385)</f>
        <v>3.6136151279199114</v>
      </c>
      <c r="AK385" s="37">
        <v>-0.85042165368928468</v>
      </c>
    </row>
    <row r="386" spans="1:38" x14ac:dyDescent="0.25">
      <c r="A386" s="61">
        <v>502</v>
      </c>
      <c r="B386" s="14">
        <f t="shared" si="5"/>
        <v>380</v>
      </c>
      <c r="C386" s="15">
        <v>43981</v>
      </c>
      <c r="D386" s="16">
        <v>0.32180555555555557</v>
      </c>
      <c r="E386" s="36">
        <v>20.239999999999998</v>
      </c>
      <c r="F386" s="36">
        <v>1.62</v>
      </c>
      <c r="G386" s="36">
        <v>0.45</v>
      </c>
      <c r="H386" s="56" cm="1">
        <f t="array" ref="H386:I386">LINEST(E377:E386,D377:D386)</f>
        <v>11.781818181818146</v>
      </c>
      <c r="I386" s="56">
        <v>16.412181818181832</v>
      </c>
      <c r="J386" s="56" cm="1">
        <f t="array" ref="J386:K386">LINEST(E372:E386,D372:D386)</f>
        <v>-13.757142857142917</v>
      </c>
      <c r="K386" s="56">
        <v>24.502041666666685</v>
      </c>
      <c r="L386" s="56" cm="1">
        <f t="array" ref="L386:M386">LINEST(E367:E386,D367:D386)</f>
        <v>-13.777443609022598</v>
      </c>
      <c r="M386" s="56">
        <v>24.510372180451142</v>
      </c>
      <c r="N386" s="56" cm="1">
        <f t="array" ref="N386:O386">LINEST(E362:E386,D362:D386)</f>
        <v>-9.620307692307712</v>
      </c>
      <c r="O386" s="56">
        <v>23.212730000000011</v>
      </c>
      <c r="P386" s="56" cm="1">
        <f t="array" ref="P386:Q386">LINEST(E357:E386,D357:D386)</f>
        <v>-19.862068965517253</v>
      </c>
      <c r="Q386" s="56">
        <v>26.379057471264375</v>
      </c>
      <c r="R386" s="56" cm="1">
        <f t="array" ref="R386:S386">LINEST(F377:F386,D377:D386)</f>
        <v>80.378181818182142</v>
      </c>
      <c r="S386" s="56">
        <v>-24.86378181818192</v>
      </c>
      <c r="T386" s="56" cm="1">
        <f t="array" ref="T386:U386">LINEST(F372:F386,D372:D386)</f>
        <v>30.651428571428728</v>
      </c>
      <c r="U386" s="56">
        <v>-9.0958000000000503</v>
      </c>
      <c r="V386" s="56" cm="1">
        <f t="array" ref="V386:W386">LINEST(F367:F386,D367:D386)</f>
        <v>11.471278195488724</v>
      </c>
      <c r="W386" s="56">
        <v>-3.0776639097744369</v>
      </c>
      <c r="X386" s="56" cm="1">
        <f t="array" ref="X386:Y386">LINEST(F362:F386,D362:D386)</f>
        <v>15.751384615384628</v>
      </c>
      <c r="Y386" s="56">
        <v>-4.4215600000000039</v>
      </c>
      <c r="Z386" s="56" cm="1">
        <f t="array" ref="Z386:AA386">LINEST(F357:F386,D357:D386)</f>
        <v>11.379043381535039</v>
      </c>
      <c r="AA386" s="56">
        <v>-3.0700114200964039</v>
      </c>
      <c r="AB386" s="37" cm="1">
        <f t="array" ref="AB386:AC386">LINEST(G377:G386,D377:D386)</f>
        <v>6.6763636363636811</v>
      </c>
      <c r="AC386" s="37">
        <v>-1.80176363636365</v>
      </c>
      <c r="AD386" s="37" cm="1">
        <f t="array" ref="AD386:AE386">LINEST(G372:G386,D372:D386)</f>
        <v>5.3228571428571669</v>
      </c>
      <c r="AE386" s="37">
        <v>-1.3718416666666744</v>
      </c>
      <c r="AF386" s="37" cm="1">
        <f t="array" ref="AF386:AG386">LINEST(G367:G386,D367:D386)</f>
        <v>4.5798496240601612</v>
      </c>
      <c r="AG386" s="37">
        <v>-1.1383924812030108</v>
      </c>
      <c r="AH386" s="37" cm="1">
        <f t="array" ref="AH386:AI386">LINEST(G362:G386,D362:D386)</f>
        <v>4.9236923076923134</v>
      </c>
      <c r="AI386" s="37">
        <v>-1.2464100000000018</v>
      </c>
      <c r="AJ386" s="37" cm="1">
        <f t="array" ref="AJ386:AK386">LINEST(G357:G386,D357:D386)</f>
        <v>4.1934593993325935</v>
      </c>
      <c r="AK386" s="37">
        <v>-1.0203602521319992</v>
      </c>
    </row>
    <row r="387" spans="1:38" x14ac:dyDescent="0.25">
      <c r="A387" s="61">
        <v>502</v>
      </c>
      <c r="B387" s="14">
        <f t="shared" si="5"/>
        <v>381</v>
      </c>
      <c r="C387" s="15">
        <v>43981</v>
      </c>
      <c r="D387" s="16">
        <v>0.32319444444444445</v>
      </c>
      <c r="E387" s="36">
        <v>20.25</v>
      </c>
      <c r="F387" s="36">
        <v>0.14000000000000001</v>
      </c>
      <c r="G387" s="36">
        <v>0.43</v>
      </c>
      <c r="H387" s="56" cm="1">
        <f t="array" ref="H387:I387">LINEST(E378:E387,D378:D387)</f>
        <v>12.174545454545356</v>
      </c>
      <c r="I387" s="56">
        <v>16.29234545454549</v>
      </c>
      <c r="J387" s="56" cm="1">
        <f t="array" ref="J387:K387">LINEST(E373:E387,D373:D387)</f>
        <v>-8.0485714285714813</v>
      </c>
      <c r="K387" s="56">
        <v>22.718336904761923</v>
      </c>
      <c r="L387" s="56" cm="1">
        <f t="array" ref="L387:M387">LINEST(E368:E387,D368:D387)</f>
        <v>-12.597293233082739</v>
      </c>
      <c r="M387" s="56">
        <v>24.157660902255646</v>
      </c>
      <c r="N387" s="56" cm="1">
        <f t="array" ref="N387:O387">LINEST(E363:E387,D363:D387)</f>
        <v>-9.3489230769231018</v>
      </c>
      <c r="O387" s="56">
        <v>23.139304615384624</v>
      </c>
      <c r="P387" s="56" cm="1">
        <f t="array" ref="P387:Q387">LINEST(E358:E387,D358:D387)</f>
        <v>-15.52124582869855</v>
      </c>
      <c r="Q387" s="56">
        <v>25.053133110863925</v>
      </c>
      <c r="R387" s="56" cm="1">
        <f t="array" ref="R387:S387">LINEST(F378:F387,D378:D387)</f>
        <v>63.360000000000035</v>
      </c>
      <c r="S387" s="56">
        <v>-19.61160000000001</v>
      </c>
      <c r="T387" s="56" cm="1">
        <f t="array" ref="T387:U387">LINEST(F373:F387,D373:D387)</f>
        <v>32.117142857142937</v>
      </c>
      <c r="U387" s="56">
        <v>-9.6438321428571694</v>
      </c>
      <c r="V387" s="56" cm="1">
        <f t="array" ref="V387:W387">LINEST(F368:F387,D368:D387)</f>
        <v>11.763609022556391</v>
      </c>
      <c r="W387" s="56">
        <v>-3.2162187969924818</v>
      </c>
      <c r="X387" s="56" cm="1">
        <f t="array" ref="X387:Y387">LINEST(F363:F387,D363:D387)</f>
        <v>12.361846153846157</v>
      </c>
      <c r="Y387" s="56">
        <v>-3.4044492307692327</v>
      </c>
      <c r="Z387" s="56" cm="1">
        <f t="array" ref="Z387:AA387">LINEST(F358:F387,D358:D387)</f>
        <v>12.516307007786432</v>
      </c>
      <c r="AA387" s="56">
        <v>-3.4524697070819443</v>
      </c>
      <c r="AB387" s="37" cm="1">
        <f t="array" ref="AB387:AC387">LINEST(G378:G387,D378:D387)</f>
        <v>11.345454545454581</v>
      </c>
      <c r="AC387" s="37">
        <v>-3.2778787878787989</v>
      </c>
      <c r="AD387" s="37" cm="1">
        <f t="array" ref="AD387:AE387">LINEST(G373:G387,D373:D387)</f>
        <v>7.4571428571428866</v>
      </c>
      <c r="AE387" s="37">
        <v>-2.0376071428571527</v>
      </c>
      <c r="AF387" s="37" cm="1">
        <f t="array" ref="AF387:AG387">LINEST(G368:G387,D368:D387)</f>
        <v>5.207819548872191</v>
      </c>
      <c r="AG387" s="37">
        <v>-1.3274240601503795</v>
      </c>
      <c r="AH387" s="37" cm="1">
        <f t="array" ref="AH387:AI387">LINEST(G363:G387,D363:D387)</f>
        <v>5.532923076923085</v>
      </c>
      <c r="AI387" s="37">
        <v>-1.4299946153846181</v>
      </c>
      <c r="AJ387" s="37" cm="1">
        <f t="array" ref="AJ387:AK387">LINEST(G358:G387,D358:D387)</f>
        <v>4.8325695216907683</v>
      </c>
      <c r="AK387" s="37">
        <v>-1.2122037078235082</v>
      </c>
    </row>
    <row r="388" spans="1:38" x14ac:dyDescent="0.25">
      <c r="A388" s="61">
        <v>502</v>
      </c>
      <c r="B388" s="14">
        <f t="shared" si="5"/>
        <v>382</v>
      </c>
      <c r="C388" s="15">
        <v>43981</v>
      </c>
      <c r="D388" s="16">
        <v>0.32458333333333333</v>
      </c>
      <c r="E388" s="36">
        <v>20.28</v>
      </c>
      <c r="F388" s="36">
        <v>0.98</v>
      </c>
      <c r="G388" s="36">
        <v>0.47</v>
      </c>
      <c r="H388" s="56" cm="1">
        <f t="array" ref="H388:I388">LINEST(E379:E388,D379:D388)</f>
        <v>14.792727272727252</v>
      </c>
      <c r="I388" s="56">
        <v>15.459981818181831</v>
      </c>
      <c r="J388" s="56" cm="1">
        <f t="array" ref="J388:K388">LINEST(E374:E388,D374:D388)</f>
        <v>-1.9028571428571284</v>
      </c>
      <c r="K388" s="56">
        <v>20.785135714285705</v>
      </c>
      <c r="L388" s="56" cm="1">
        <f t="array" ref="L388:M388">LINEST(E369:E388,D369:D388)</f>
        <v>-10.523909774436108</v>
      </c>
      <c r="M388" s="56">
        <v>23.523028571428576</v>
      </c>
      <c r="N388" s="56" cm="1">
        <f t="array" ref="N388:O388">LINEST(E364:E388,D364:D388)</f>
        <v>-8.7563076923076988</v>
      </c>
      <c r="O388" s="56">
        <v>22.967013076923084</v>
      </c>
      <c r="P388" s="56" cm="1">
        <f t="array" ref="P388:Q388">LINEST(E359:E388,D359:D388)</f>
        <v>-10.675862068965504</v>
      </c>
      <c r="Q388" s="56">
        <v>23.562540229885059</v>
      </c>
      <c r="R388" s="56" cm="1">
        <f t="array" ref="R388:S388">LINEST(F379:F388,D379:D388)</f>
        <v>81.949090909090771</v>
      </c>
      <c r="S388" s="56">
        <v>-25.563127272727225</v>
      </c>
      <c r="T388" s="56" cm="1">
        <f t="array" ref="T388:U388">LINEST(F374:F388,D374:D388)</f>
        <v>16.945714285714377</v>
      </c>
      <c r="U388" s="56">
        <v>-4.7928797619047909</v>
      </c>
      <c r="V388" s="56" cm="1">
        <f t="array" ref="V388:W388">LINEST(F369:F388,D369:D388)</f>
        <v>24.799398496240656</v>
      </c>
      <c r="W388" s="56">
        <v>-7.2967571428571603</v>
      </c>
      <c r="X388" s="56" cm="1">
        <f t="array" ref="X388:Y388">LINEST(F364:F388,D364:D388)</f>
        <v>16.211076923076927</v>
      </c>
      <c r="Y388" s="56">
        <v>-4.5824607692307708</v>
      </c>
      <c r="Z388" s="56" cm="1">
        <f t="array" ref="Z388:AA388">LINEST(F359:F388,D359:D388)</f>
        <v>13.99314794215795</v>
      </c>
      <c r="AA388" s="56">
        <v>-3.8881361512791983</v>
      </c>
      <c r="AB388" s="37" cm="1">
        <f t="array" ref="AB388:AC388">LINEST(G379:G388,D379:D388)</f>
        <v>16.930909090909097</v>
      </c>
      <c r="AC388" s="37">
        <v>-5.0556727272727287</v>
      </c>
      <c r="AD388" s="37" cm="1">
        <f t="array" ref="AD388:AE388">LINEST(G374:G388,D374:D388)</f>
        <v>8.2542857142857393</v>
      </c>
      <c r="AE388" s="37">
        <v>-2.2802869047619123</v>
      </c>
      <c r="AF388" s="37" cm="1">
        <f t="array" ref="AF388:AG388">LINEST(G369:G388,D369:D388)</f>
        <v>6.7831578947368563</v>
      </c>
      <c r="AG388" s="37">
        <v>-1.8147000000000046</v>
      </c>
      <c r="AH388" s="37" cm="1">
        <f t="array" ref="AH388:AI388">LINEST(G364:G388,D364:D388)</f>
        <v>6.3415384615384713</v>
      </c>
      <c r="AI388" s="37">
        <v>-1.675465384615388</v>
      </c>
      <c r="AJ388" s="37" cm="1">
        <f t="array" ref="AJ388:AK388">LINEST(G359:G388,D359:D388)</f>
        <v>5.534149054505006</v>
      </c>
      <c r="AK388" s="37">
        <v>-1.4231742677048578</v>
      </c>
    </row>
    <row r="389" spans="1:38" x14ac:dyDescent="0.25">
      <c r="A389" s="61">
        <v>502</v>
      </c>
      <c r="B389" s="14">
        <f t="shared" si="5"/>
        <v>383</v>
      </c>
      <c r="C389" s="15">
        <v>43981</v>
      </c>
      <c r="D389" s="16">
        <v>0.32597222222222222</v>
      </c>
      <c r="E389" s="36">
        <v>20.329999999999998</v>
      </c>
      <c r="F389" s="36">
        <v>1.4</v>
      </c>
      <c r="G389" s="36">
        <v>0.54</v>
      </c>
      <c r="H389" s="56" cm="1">
        <f t="array" ref="H389:I389">LINEST(E380:E389,D380:D389)</f>
        <v>17.803636363636315</v>
      </c>
      <c r="I389" s="56">
        <v>14.499781818181834</v>
      </c>
      <c r="J389" s="56" cm="1">
        <f t="array" ref="J389:K389">LINEST(E375:E389,D375:D389)</f>
        <v>6.3257142857142803</v>
      </c>
      <c r="K389" s="56">
        <v>18.176826190476191</v>
      </c>
      <c r="L389" s="56" cm="1">
        <f t="array" ref="L389:M389">LINEST(E370:E389,D370:D389)</f>
        <v>-7.5681203007519136</v>
      </c>
      <c r="M389" s="56">
        <v>22.60813984962407</v>
      </c>
      <c r="N389" s="56" cm="1">
        <f t="array" ref="N389:O389">LINEST(E365:E389,D365:D389)</f>
        <v>-7.7206153846154075</v>
      </c>
      <c r="O389" s="56">
        <v>22.657629230769242</v>
      </c>
      <c r="P389" s="56" cm="1">
        <f t="array" ref="P389:Q389">LINEST(E360:E389,D360:D389)</f>
        <v>-5.1929699666295868</v>
      </c>
      <c r="Q389" s="56">
        <v>21.864849981460882</v>
      </c>
      <c r="R389" s="56" cm="1">
        <f t="array" ref="R389:S389">LINEST(F380:F389,D380:D389)</f>
        <v>83.039999999999807</v>
      </c>
      <c r="S389" s="56">
        <v>-25.868733333333267</v>
      </c>
      <c r="T389" s="56" cm="1">
        <f t="array" ref="T389:U389">LINEST(F375:F389,D375:D389)</f>
        <v>44.665714285714365</v>
      </c>
      <c r="U389" s="56">
        <v>-13.565532142857167</v>
      </c>
      <c r="V389" s="56" cm="1">
        <f t="array" ref="V389:W389">LINEST(F370:F389,D370:D389)</f>
        <v>36.124511278195577</v>
      </c>
      <c r="W389" s="56">
        <v>-10.830444360902282</v>
      </c>
      <c r="X389" s="56" cm="1">
        <f t="array" ref="X389:Y389">LINEST(F365:F389,D365:D389)</f>
        <v>22.513846153846163</v>
      </c>
      <c r="Y389" s="56">
        <v>-6.513257692307695</v>
      </c>
      <c r="Z389" s="56" cm="1">
        <f t="array" ref="Z389:AA389">LINEST(F360:F389,D360:D389)</f>
        <v>17.616373748609568</v>
      </c>
      <c r="AA389" s="56">
        <v>-4.9736743047830938</v>
      </c>
      <c r="AB389" s="37" cm="1">
        <f t="array" ref="AB389:AC389">LINEST(G380:G389,D380:D389)</f>
        <v>21.949090909090884</v>
      </c>
      <c r="AC389" s="37">
        <v>-6.6566121212121123</v>
      </c>
      <c r="AD389" s="37" cm="1">
        <f t="array" ref="AD389:AE389">LINEST(G375:G389,D375:D389)</f>
        <v>11.031428571428597</v>
      </c>
      <c r="AE389" s="37">
        <v>-3.15135595238096</v>
      </c>
      <c r="AF389" s="37" cm="1">
        <f t="array" ref="AF389:AG389">LINEST(G370:G389,D370:D389)</f>
        <v>9.078496240601531</v>
      </c>
      <c r="AG389" s="37">
        <v>-2.5290518796992565</v>
      </c>
      <c r="AH389" s="37" cm="1">
        <f t="array" ref="AH389:AI389">LINEST(G365:G389,D365:D389)</f>
        <v>7.6043076923076995</v>
      </c>
      <c r="AI389" s="37">
        <v>-2.0616546153846178</v>
      </c>
      <c r="AJ389" s="37" cm="1">
        <f t="array" ref="AJ389:AK389">LINEST(G360:G389,D360:D389)</f>
        <v>6.4711902113459443</v>
      </c>
      <c r="AK389" s="37">
        <v>-1.7057723396366349</v>
      </c>
    </row>
    <row r="390" spans="1:38" x14ac:dyDescent="0.25">
      <c r="A390" s="61">
        <v>502</v>
      </c>
      <c r="B390" s="14">
        <f t="shared" si="5"/>
        <v>384</v>
      </c>
      <c r="C390" s="15">
        <v>43981</v>
      </c>
      <c r="D390" s="16">
        <v>0.3273611111111111</v>
      </c>
      <c r="E390" s="36">
        <v>20.329999999999998</v>
      </c>
      <c r="F390" s="36">
        <v>0.24</v>
      </c>
      <c r="G390" s="36">
        <v>0.52</v>
      </c>
      <c r="H390" s="56" cm="1">
        <f t="array" ref="H390:I390">LINEST(E381:E390,D381:D390)</f>
        <v>19.287272727272587</v>
      </c>
      <c r="I390" s="56">
        <v>14.020642424242469</v>
      </c>
      <c r="J390" s="56" cm="1">
        <f t="array" ref="J390:K390">LINEST(E376:E390,D376:D390)</f>
        <v>15.299999999999953</v>
      </c>
      <c r="K390" s="56">
        <v>15.307458333333347</v>
      </c>
      <c r="L390" s="56" cm="1">
        <f t="array" ref="L390:M390">LINEST(E371:E390,D371:D390)</f>
        <v>-4.7314285714286184</v>
      </c>
      <c r="M390" s="56">
        <v>21.723457142857153</v>
      </c>
      <c r="N390" s="56" cm="1">
        <f t="array" ref="N390:O390">LINEST(E366:E390,D366:D390)</f>
        <v>-6.6683076923077298</v>
      </c>
      <c r="O390" s="56">
        <v>22.340206153846164</v>
      </c>
      <c r="P390" s="56" cm="1">
        <f t="array" ref="P390:Q390">LINEST(E361:E390,D361:D390)</f>
        <v>-5.4252280311457302</v>
      </c>
      <c r="Q390" s="56">
        <v>21.948417278457551</v>
      </c>
      <c r="R390" s="56" cm="1">
        <f t="array" ref="R390:S390">LINEST(F381:F390,D381:D390)</f>
        <v>51.272727272727202</v>
      </c>
      <c r="S390" s="56">
        <v>-15.7972424242424</v>
      </c>
      <c r="T390" s="56" cm="1">
        <f t="array" ref="T390:U390">LINEST(F376:F390,D376:D390)</f>
        <v>36.437142857142895</v>
      </c>
      <c r="U390" s="56">
        <v>-11.027186904761917</v>
      </c>
      <c r="V390" s="56" cm="1">
        <f t="array" ref="V390:W390">LINEST(F371:F390,D371:D390)</f>
        <v>21.740751879699303</v>
      </c>
      <c r="W390" s="56">
        <v>-6.3202195488721973</v>
      </c>
      <c r="X390" s="56" cm="1">
        <f t="array" ref="X390:Y390">LINEST(F366:F390,D366:D390)</f>
        <v>17.22461538461539</v>
      </c>
      <c r="Y390" s="56">
        <v>-4.8879923076923086</v>
      </c>
      <c r="Z390" s="56" cm="1">
        <f t="array" ref="Z390:AA390">LINEST(F361:F390,D361:D390)</f>
        <v>15.447563959955509</v>
      </c>
      <c r="AA390" s="56">
        <v>-4.3285015943641101</v>
      </c>
      <c r="AB390" s="37" cm="1">
        <f t="array" ref="AB390:AC390">LINEST(G381:G390,D381:D390)</f>
        <v>24.305454545454509</v>
      </c>
      <c r="AC390" s="37">
        <v>-7.4197515151515026</v>
      </c>
      <c r="AD390" s="37" cm="1">
        <f t="array" ref="AD390:AE390">LINEST(G376:G390,D376:D390)</f>
        <v>13.140000000000022</v>
      </c>
      <c r="AE390" s="37">
        <v>-3.8204416666666736</v>
      </c>
      <c r="AF390" s="37" cm="1">
        <f t="array" ref="AF390:AG390">LINEST(G371:G390,D371:D390)</f>
        <v>10.090827067669197</v>
      </c>
      <c r="AG390" s="37">
        <v>-2.8442015037594057</v>
      </c>
      <c r="AH390" s="37" cm="1">
        <f t="array" ref="AH390:AI390">LINEST(G366:G390,D366:D390)</f>
        <v>8.3353846153846245</v>
      </c>
      <c r="AI390" s="37">
        <v>-2.2857576923076954</v>
      </c>
      <c r="AJ390" s="37" cm="1">
        <f t="array" ref="AJ390:AK390">LINEST(G361:G390,D361:D390)</f>
        <v>7.1535483870967802</v>
      </c>
      <c r="AK390" s="37">
        <v>-1.9130623655914001</v>
      </c>
    </row>
    <row r="391" spans="1:38" x14ac:dyDescent="0.25">
      <c r="A391" s="61">
        <v>502</v>
      </c>
      <c r="B391" s="14">
        <f t="shared" si="5"/>
        <v>385</v>
      </c>
      <c r="C391" s="15">
        <v>43981</v>
      </c>
      <c r="D391" s="16">
        <v>0.32874999999999999</v>
      </c>
      <c r="E391" s="36">
        <v>20.39</v>
      </c>
      <c r="F391" s="36">
        <v>1.63</v>
      </c>
      <c r="G391" s="52">
        <v>0.61</v>
      </c>
      <c r="H391" s="56" cm="1">
        <f t="array" ref="H391:I391">LINEST(E382:E391,D382:D391)</f>
        <v>22.167272727272575</v>
      </c>
      <c r="I391" s="57">
        <v>13.091054545454593</v>
      </c>
      <c r="J391" s="56" cm="1">
        <f t="array" ref="J391:K391">LINEST(E377:E391,D377:D391)</f>
        <v>16.277142857142806</v>
      </c>
      <c r="K391" s="57">
        <v>14.999139285714302</v>
      </c>
      <c r="L391" s="56" cm="1">
        <f t="array" ref="L391:M391">LINEST(E372:E391,D372:D391)</f>
        <v>-1.0772932330827261</v>
      </c>
      <c r="M391" s="57">
        <v>20.575445864661656</v>
      </c>
      <c r="N391" s="56" cm="1">
        <f t="array" ref="N391:O391">LINEST(E367:E391,D367:D391)</f>
        <v>-5.2726153846154125</v>
      </c>
      <c r="O391" s="57">
        <v>21.915495384615394</v>
      </c>
      <c r="P391" s="56" cm="1">
        <f t="array" ref="P391:Q391">LINEST(E362:E391,D362:D391)</f>
        <v>-4.6820022246941262</v>
      </c>
      <c r="Q391" s="57">
        <v>21.728584575454217</v>
      </c>
      <c r="R391" s="56" cm="1">
        <f t="array" ref="R391:S391">LINEST(F382:F391,D382:D391)</f>
        <v>89.236363636363436</v>
      </c>
      <c r="S391" s="57">
        <v>-28.015727272727201</v>
      </c>
      <c r="T391" s="56" cm="1">
        <f t="array" ref="T391:U391">LINEST(F377:F391,D377:D391)</f>
        <v>53.742857142857162</v>
      </c>
      <c r="U391" s="56">
        <v>-16.519464285714292</v>
      </c>
      <c r="V391" s="56" cm="1">
        <f t="array" ref="V391:W391">LINEST(F372:F391,D372:D391)</f>
        <v>31.896541353383508</v>
      </c>
      <c r="W391" s="56">
        <v>-9.4931308270676862</v>
      </c>
      <c r="X391" s="56" cm="1">
        <f t="array" ref="X391:Y391">LINEST(F367:F391,D367:D391)</f>
        <v>18.614769230769234</v>
      </c>
      <c r="Y391" s="56">
        <v>-5.2637592307692325</v>
      </c>
      <c r="Z391" s="56" cm="1">
        <f t="array" ref="Z391:AA391">LINEST(F362:F391,D362:D391)</f>
        <v>19.703492769744173</v>
      </c>
      <c r="AA391" s="57">
        <v>-5.613716796440495</v>
      </c>
      <c r="AB391" s="37" cm="1">
        <f t="array" ref="AB391:AC391">LINEST(G382:G391,D382:D391)</f>
        <v>29.541818181818126</v>
      </c>
      <c r="AC391" s="37">
        <v>-9.1122363636363453</v>
      </c>
      <c r="AD391" s="37" cm="1">
        <f t="array" ref="AD391:AE391">LINEST(G377:G391,D377:D391)</f>
        <v>16.45714285714287</v>
      </c>
      <c r="AE391" s="37">
        <v>-4.8756190476190522</v>
      </c>
      <c r="AF391" s="37" cm="1">
        <f t="array" ref="AF391:AG391">LINEST(G372:G391,D372:D391)</f>
        <v>11.806917293233104</v>
      </c>
      <c r="AG391" s="37">
        <v>-3.3802383458646688</v>
      </c>
      <c r="AH391" s="37" cm="1">
        <f t="array" ref="AH391:AI391">LINEST(G367:G391,D367:D391)</f>
        <v>9.1883076923076992</v>
      </c>
      <c r="AI391" s="37">
        <v>-2.5447176923076951</v>
      </c>
      <c r="AJ391" s="37" cm="1">
        <f t="array" ref="AJ391:AK391">LINEST(G362:G391,D362:D391)</f>
        <v>8.1450500556173626</v>
      </c>
      <c r="AK391" s="37">
        <v>-2.2146529477196921</v>
      </c>
      <c r="AL391" s="40" t="s">
        <v>85</v>
      </c>
    </row>
    <row r="392" spans="1:38" x14ac:dyDescent="0.25">
      <c r="A392" s="61">
        <v>502</v>
      </c>
      <c r="B392" s="14">
        <f t="shared" si="5"/>
        <v>386</v>
      </c>
      <c r="C392" s="15">
        <v>43981</v>
      </c>
      <c r="D392" s="16">
        <v>0.33013888888888893</v>
      </c>
      <c r="E392" s="36">
        <v>20.43</v>
      </c>
      <c r="F392" s="36">
        <v>1.18</v>
      </c>
      <c r="G392" s="36">
        <v>0.65</v>
      </c>
      <c r="H392" s="56" cm="1">
        <f t="array" ref="H392:I392">LINEST(E383:E392,D383:D392)</f>
        <v>23.869090909090776</v>
      </c>
      <c r="I392" s="56">
        <v>12.540066666666707</v>
      </c>
      <c r="J392" s="56" cm="1">
        <f t="array" ref="J392:K392">LINEST(E378:E392,D378:D392)</f>
        <v>17.434285714285622</v>
      </c>
      <c r="K392" s="56">
        <v>14.631764285714315</v>
      </c>
      <c r="L392" s="56" cm="1">
        <f t="array" ref="L392:M392">LINEST(E373:E392,D373:D392)</f>
        <v>3.3618045112781676</v>
      </c>
      <c r="M392" s="56">
        <v>19.168994736842116</v>
      </c>
      <c r="N392" s="56" cm="1">
        <f t="array" ref="N392:O392">LINEST(E368:E392,D368:D392)</f>
        <v>-3.4892307692307871</v>
      </c>
      <c r="O392" s="56">
        <v>21.366176923076921</v>
      </c>
      <c r="P392" s="56" cm="1">
        <f t="array" ref="P392:Q392">LINEST(E363:E392,D363:D392)</f>
        <v>-3.7225361512792174</v>
      </c>
      <c r="Q392" s="56">
        <v>21.440652873563227</v>
      </c>
      <c r="R392" s="56" cm="1">
        <f t="array" ref="R392:S392">LINEST(F383:F392,D383:D392)</f>
        <v>50.269090909090707</v>
      </c>
      <c r="S392" s="56">
        <v>-15.361599999999934</v>
      </c>
      <c r="T392" s="56" cm="1">
        <f t="array" ref="T392:U392">LINEST(F378:F392,D378:D392)</f>
        <v>59.888571428571311</v>
      </c>
      <c r="U392" s="56">
        <v>-18.513963095238054</v>
      </c>
      <c r="V392" s="56" cm="1">
        <f t="array" ref="V392:W392">LINEST(F373:F392,D373:D392)</f>
        <v>41.083308270676731</v>
      </c>
      <c r="W392" s="56">
        <v>-12.431626315789488</v>
      </c>
      <c r="X392" s="56" cm="1">
        <f t="array" ref="X392:Y392">LINEST(F368:F392,D368:D392)</f>
        <v>24.518769230769241</v>
      </c>
      <c r="Y392" s="56">
        <v>-7.1243530769230805</v>
      </c>
      <c r="Z392" s="56" cm="1">
        <f t="array" ref="Z392:AA392">LINEST(F363:F392,D363:D392)</f>
        <v>21.391768631813132</v>
      </c>
      <c r="AA392" s="56">
        <v>-6.1297816091954038</v>
      </c>
      <c r="AB392" s="37" cm="1">
        <f t="array" ref="AB392:AC392">LINEST(G383:G392,D383:D392)</f>
        <v>31.330909090908989</v>
      </c>
      <c r="AC392" s="37">
        <v>-9.6937333333333005</v>
      </c>
      <c r="AD392" s="37" cm="1">
        <f t="array" ref="AD392:AE392">LINEST(G378:G392,D378:D392)</f>
        <v>19.877142857142843</v>
      </c>
      <c r="AE392" s="37">
        <v>-5.9709678571428517</v>
      </c>
      <c r="AF392" s="37" cm="1">
        <f t="array" ref="AF392:AG392">LINEST(G373:G392,D373:D392)</f>
        <v>14.080601503759416</v>
      </c>
      <c r="AG392" s="37">
        <v>-4.0982684210526381</v>
      </c>
      <c r="AH392" s="37" cm="1">
        <f t="array" ref="AH392:AI392">LINEST(G368:G392,D368:D392)</f>
        <v>10.406769230769241</v>
      </c>
      <c r="AI392" s="37">
        <v>-2.9210330769230808</v>
      </c>
      <c r="AJ392" s="37" cm="1">
        <f t="array" ref="AJ392:AK392">LINEST(G363:G392,D363:D392)</f>
        <v>9.184605116796444</v>
      </c>
      <c r="AK392" s="37">
        <v>-2.5325609195402308</v>
      </c>
    </row>
    <row r="393" spans="1:38" x14ac:dyDescent="0.25">
      <c r="A393" s="61">
        <v>502</v>
      </c>
      <c r="B393" s="14">
        <f t="shared" ref="B393:B456" si="6">B392+1</f>
        <v>387</v>
      </c>
      <c r="C393" s="15">
        <v>43981</v>
      </c>
      <c r="D393" s="16">
        <v>0.33152777777777781</v>
      </c>
      <c r="E393" s="36">
        <v>20.45</v>
      </c>
      <c r="F393" s="36">
        <v>0.84</v>
      </c>
      <c r="G393" s="36">
        <v>0.66</v>
      </c>
      <c r="H393" s="56" cm="1">
        <f t="array" ref="H393:I393">LINEST(E384:E393,D384:D393)</f>
        <v>23.650909090908986</v>
      </c>
      <c r="I393" s="56">
        <v>12.610884848484877</v>
      </c>
      <c r="J393" s="56" cm="1">
        <f t="array" ref="J393:K393">LINEST(E379:E393,D379:D393)</f>
        <v>19.182857142857053</v>
      </c>
      <c r="K393" s="56">
        <v>14.068183333333362</v>
      </c>
      <c r="L393" s="56" cm="1">
        <f t="array" ref="L393:M393">LINEST(E374:E393,D374:D393)</f>
        <v>7.6872180451127621</v>
      </c>
      <c r="M393" s="56">
        <v>17.788902255639101</v>
      </c>
      <c r="N393" s="56" cm="1">
        <f t="array" ref="N393:O393">LINEST(E369:E393,D369:D393)</f>
        <v>-1.3181538461538644</v>
      </c>
      <c r="O393" s="56">
        <v>20.689035384615387</v>
      </c>
      <c r="P393" s="56" cm="1">
        <f t="array" ref="P393:Q393">LINEST(E364:E393,D364:D393)</f>
        <v>-2.6493437152391666</v>
      </c>
      <c r="Q393" s="56">
        <v>21.114976195773092</v>
      </c>
      <c r="R393" s="56" cm="1">
        <f t="array" ref="R393:S393">LINEST(F384:F393,D384:D393)</f>
        <v>1.047272727272696</v>
      </c>
      <c r="S393" s="56">
        <v>0.66734545454546446</v>
      </c>
      <c r="T393" s="56" cm="1">
        <f t="array" ref="T393:U393">LINEST(F379:F393,D379:D393)</f>
        <v>58.011428571428397</v>
      </c>
      <c r="U393" s="56">
        <v>-17.96639999999994</v>
      </c>
      <c r="V393" s="56" cm="1">
        <f t="array" ref="V393:W393">LINEST(F374:F393,D374:D393)</f>
        <v>27.863458646616554</v>
      </c>
      <c r="W393" s="56">
        <v>-8.198367669172935</v>
      </c>
      <c r="X393" s="56" cm="1">
        <f t="array" ref="X393:Y393">LINEST(F369:F393,D369:D393)</f>
        <v>30.101538461538468</v>
      </c>
      <c r="Y393" s="56">
        <v>-8.9258038461538476</v>
      </c>
      <c r="Z393" s="56" cm="1">
        <f t="array" ref="Z393:AA393">LINEST(F364:F393,D364:D393)</f>
        <v>22.309588431590665</v>
      </c>
      <c r="AA393" s="56">
        <v>-6.4296246199480942</v>
      </c>
      <c r="AB393" s="37" cm="1">
        <f t="array" ref="AB393:AC393">LINEST(G384:G393,D384:D393)</f>
        <v>28.669090909090809</v>
      </c>
      <c r="AC393" s="37">
        <v>-8.8284181818181491</v>
      </c>
      <c r="AD393" s="37" cm="1">
        <f t="array" ref="AD393:AE393">LINEST(G379:G393,D379:D393)</f>
        <v>22.7828571428571</v>
      </c>
      <c r="AE393" s="37">
        <v>-6.9103166666666525</v>
      </c>
      <c r="AF393" s="37" cm="1">
        <f t="array" ref="AF393:AG393">LINEST(G374:G393,D374:D393)</f>
        <v>15.136240601503767</v>
      </c>
      <c r="AG393" s="37">
        <v>-4.4303699248120321</v>
      </c>
      <c r="AH393" s="37" cm="1">
        <f t="array" ref="AH393:AI393">LINEST(G369:G393,D369:D393)</f>
        <v>11.94092307692309</v>
      </c>
      <c r="AI393" s="37">
        <v>-3.4025323076923115</v>
      </c>
      <c r="AJ393" s="37" cm="1">
        <f t="array" ref="AJ393:AK393">LINEST(G364:G393,D364:D393)</f>
        <v>10.169699666295891</v>
      </c>
      <c r="AK393" s="37">
        <v>-2.8363981460882486</v>
      </c>
    </row>
    <row r="394" spans="1:38" x14ac:dyDescent="0.25">
      <c r="A394" s="61">
        <v>502</v>
      </c>
      <c r="B394" s="14">
        <f t="shared" si="6"/>
        <v>388</v>
      </c>
      <c r="C394" s="15">
        <v>43981</v>
      </c>
      <c r="D394" s="16">
        <v>0.33291666666666669</v>
      </c>
      <c r="E394" s="36">
        <v>20.5</v>
      </c>
      <c r="F394" s="36">
        <v>1.36</v>
      </c>
      <c r="G394" s="53">
        <v>0.72</v>
      </c>
      <c r="H394" s="56" cm="1">
        <f t="array" ref="H394:I394">LINEST(E385:E394,D385:D394)</f>
        <v>23.956363636363513</v>
      </c>
      <c r="I394" s="57">
        <v>12.513254545454584</v>
      </c>
      <c r="J394" s="56" cm="1">
        <f t="array" ref="J394:K394">LINEST(E380:E394,D380:D394)</f>
        <v>20.931428571428501</v>
      </c>
      <c r="K394" s="57">
        <v>13.503078571428592</v>
      </c>
      <c r="L394" s="56" cm="1">
        <f t="array" ref="L394:M394">LINEST(E375:E394,D375:D394)</f>
        <v>12.949172932330796</v>
      </c>
      <c r="M394" s="57">
        <v>16.09786165413535</v>
      </c>
      <c r="N394" s="56" cm="1">
        <f t="array" ref="N394:O394">LINEST(E370:E394,D370:D394)</f>
        <v>1.3070769230769108</v>
      </c>
      <c r="O394" s="57">
        <v>19.863436923076925</v>
      </c>
      <c r="P394" s="56" cm="1">
        <f t="array" ref="P394:Q394">LINEST(E365:E394,D365:D394)</f>
        <v>-1.326273637374876</v>
      </c>
      <c r="Q394" s="57">
        <v>20.709495587690032</v>
      </c>
      <c r="R394" s="56" cm="1">
        <f t="array" ref="R394:S394">LINEST(F385:F394,D385:D394)</f>
        <v>14.487272727272638</v>
      </c>
      <c r="S394" s="57">
        <v>-3.6885090909090619</v>
      </c>
      <c r="T394" s="56" cm="1">
        <f t="array" ref="T394:U394">LINEST(F380:F394,D380:D394)</f>
        <v>51.917142857142707</v>
      </c>
      <c r="U394" s="56">
        <v>-15.975332142857093</v>
      </c>
      <c r="V394" s="56" cm="1">
        <f t="array" ref="V394:W394">LINEST(F375:F394,D375:D394)</f>
        <v>40.271278195488691</v>
      </c>
      <c r="W394" s="56">
        <v>-12.193122556390966</v>
      </c>
      <c r="X394" s="56" cm="1">
        <f t="array" ref="X394:Y394">LINEST(F370:F394,D370:D394)</f>
        <v>35.385230769230795</v>
      </c>
      <c r="Y394" s="56">
        <v>-10.605779230769238</v>
      </c>
      <c r="Z394" s="56" cm="1">
        <f t="array" ref="Z394:AA394">LINEST(F365:F394,D365:D394)</f>
        <v>25.49232480533928</v>
      </c>
      <c r="AA394" s="57">
        <v>-7.4230993696700072</v>
      </c>
      <c r="AB394" s="37" cm="1">
        <f t="array" ref="AB394:AC394">LINEST(G385:G394,D385:D394)</f>
        <v>27.490909090909</v>
      </c>
      <c r="AC394" s="37">
        <v>-8.4403636363636068</v>
      </c>
      <c r="AD394" s="37" cm="1">
        <f t="array" ref="AD394:AE394">LINEST(G380:G394,D380:D394)</f>
        <v>25.045714285714219</v>
      </c>
      <c r="AE394" s="37">
        <v>-7.6433023809523588</v>
      </c>
      <c r="AF394" s="37" cm="1">
        <f t="array" ref="AF394:AG394">LINEST(G375:G394,D375:D394)</f>
        <v>17.095939849624056</v>
      </c>
      <c r="AG394" s="37">
        <v>-5.0549518796992459</v>
      </c>
      <c r="AH394" s="37" cm="1">
        <f t="array" ref="AH394:AI394">LINEST(G370:G394,D370:D394)</f>
        <v>13.796307692307714</v>
      </c>
      <c r="AI394" s="37">
        <v>-3.9882823076923137</v>
      </c>
      <c r="AJ394" s="37" cm="1">
        <f t="array" ref="AJ394:AK394">LINEST(G365:G394,D365:D394)</f>
        <v>11.382246941045615</v>
      </c>
      <c r="AK394" s="37">
        <v>-3.2127805710048229</v>
      </c>
      <c r="AL394" s="47" t="s">
        <v>24</v>
      </c>
    </row>
    <row r="395" spans="1:38" x14ac:dyDescent="0.25">
      <c r="A395" s="61">
        <v>502</v>
      </c>
      <c r="B395" s="55">
        <f t="shared" si="6"/>
        <v>389</v>
      </c>
      <c r="C395" s="15">
        <v>43981</v>
      </c>
      <c r="D395" s="16">
        <v>0.33430555555555558</v>
      </c>
      <c r="E395" s="36">
        <v>20.51</v>
      </c>
      <c r="F395" s="36">
        <v>0.25</v>
      </c>
      <c r="G395" s="36">
        <v>0.68</v>
      </c>
      <c r="H395" s="56" cm="1">
        <f t="array" ref="H395:I395">LINEST(E386:E395,D386:D395)</f>
        <v>23.520000000000056</v>
      </c>
      <c r="I395" s="56">
        <v>12.655133333333314</v>
      </c>
      <c r="J395" s="56" cm="1">
        <f t="array" ref="J395:K395">LINEST(E381:E395,D381:D395)</f>
        <v>22.037142857142801</v>
      </c>
      <c r="K395" s="56">
        <v>13.141777380952398</v>
      </c>
      <c r="L395" s="56" cm="1">
        <f t="array" ref="L395:M395">LINEST(E376:E395,D376:D395)</f>
        <v>18.498045112781927</v>
      </c>
      <c r="M395" s="56">
        <v>14.299572180451136</v>
      </c>
      <c r="N395" s="56" cm="1">
        <f t="array" ref="N395:O395">LINEST(E371:E395,D371:D395)</f>
        <v>3.8159999999999963</v>
      </c>
      <c r="O395" s="56">
        <v>19.068689999999997</v>
      </c>
      <c r="P395" s="56" cm="1">
        <f t="array" ref="P395:Q395">LINEST(E366:E395,D366:D395)</f>
        <v>-1.601779755294555E-3</v>
      </c>
      <c r="Q395" s="56">
        <v>20.300169892473122</v>
      </c>
      <c r="R395" s="56" cm="1">
        <f t="array" ref="R395:S395">LINEST(F386:F395,D386:D395)</f>
        <v>-16.407272727272659</v>
      </c>
      <c r="S395" s="56">
        <v>6.3464969696969478</v>
      </c>
      <c r="T395" s="56" cm="1">
        <f t="array" ref="T395:U395">LINEST(F381:F395,D381:D395)</f>
        <v>33.222857142857031</v>
      </c>
      <c r="U395" s="56">
        <v>-9.9882523809523445</v>
      </c>
      <c r="V395" s="56" cm="1">
        <f t="array" ref="V395:W395">LINEST(F376:F395,D376:D395)</f>
        <v>33.065864661654096</v>
      </c>
      <c r="W395" s="56">
        <v>-9.9448165413533722</v>
      </c>
      <c r="X395" s="56" cm="1">
        <f t="array" ref="X395:Y395">LINEST(F371:F395,D371:D395)</f>
        <v>24.701538461538473</v>
      </c>
      <c r="Y395" s="56">
        <v>-7.2277692307692352</v>
      </c>
      <c r="Z395" s="56" cm="1">
        <f t="array" ref="Z395:AA395">LINEST(F366:F395,D366:D395)</f>
        <v>20.917641824249166</v>
      </c>
      <c r="AA395" s="56">
        <v>-6.0099591397849474</v>
      </c>
      <c r="AB395" s="37" cm="1">
        <f t="array" ref="AB395:AC395">LINEST(G386:G395,D386:D395)</f>
        <v>23.869090909090861</v>
      </c>
      <c r="AC395" s="37">
        <v>-7.2573878787878634</v>
      </c>
      <c r="AD395" s="37" cm="1">
        <f t="array" ref="AD395:AE395">LINEST(G381:G395,D381:D395)</f>
        <v>25.637142857142784</v>
      </c>
      <c r="AE395" s="37">
        <v>-7.8433892857142631</v>
      </c>
      <c r="AF395" s="37" cm="1">
        <f t="array" ref="AF395:AG395">LINEST(G376:G395,D376:D395)</f>
        <v>18.373533834586457</v>
      </c>
      <c r="AG395" s="37">
        <v>-5.4689458646616513</v>
      </c>
      <c r="AH395" s="37" cm="1">
        <f t="array" ref="AH395:AI395">LINEST(G371:G395,D371:D395)</f>
        <v>14.638153846153857</v>
      </c>
      <c r="AI395" s="37">
        <v>-4.2560469230769264</v>
      </c>
      <c r="AJ395" s="37" cm="1">
        <f t="array" ref="AJ395:AK395">LINEST(G366:G395,D366:D395)</f>
        <v>12.096640711902122</v>
      </c>
      <c r="AK395" s="37">
        <v>-3.436361290322584</v>
      </c>
      <c r="AL395" s="39" t="s">
        <v>21</v>
      </c>
    </row>
    <row r="396" spans="1:38" x14ac:dyDescent="0.25">
      <c r="A396" s="61">
        <v>502</v>
      </c>
      <c r="B396" s="14">
        <f t="shared" si="6"/>
        <v>390</v>
      </c>
      <c r="C396" s="15">
        <v>43981</v>
      </c>
      <c r="D396" s="16">
        <v>0.33569444444444446</v>
      </c>
      <c r="E396" s="36">
        <v>19.71</v>
      </c>
      <c r="F396" s="36">
        <v>-1.5</v>
      </c>
      <c r="G396" s="36">
        <v>0.51</v>
      </c>
      <c r="H396" s="56" cm="1">
        <f t="array" ref="H396:I396">LINEST(E387:E396,D387:D396)</f>
        <v>-8.7272727272725543</v>
      </c>
      <c r="I396" s="56">
        <v>23.193151515151456</v>
      </c>
      <c r="J396" s="56" cm="1">
        <f t="array" ref="J396:K396">LINEST(E382:E396,D382:D396)</f>
        <v>8.1257142857142934</v>
      </c>
      <c r="K396" s="56">
        <v>17.617909523809516</v>
      </c>
      <c r="L396" s="56" cm="1">
        <f t="array" ref="L396:M396">LINEST(E377:E396,D377:D396)</f>
        <v>10.556390977443597</v>
      </c>
      <c r="M396" s="56">
        <v>16.819563909774438</v>
      </c>
      <c r="N396" s="56" cm="1">
        <f t="array" ref="N396:O396">LINEST(E372:E396,D372:D396)</f>
        <v>1.0246153846153896</v>
      </c>
      <c r="O396" s="56">
        <v>19.925519230769222</v>
      </c>
      <c r="P396" s="56" cm="1">
        <f t="array" ref="P396:Q396">LINEST(E367:E396,D367:D396)</f>
        <v>-2.490767519466075</v>
      </c>
      <c r="Q396" s="56">
        <v>21.064308861698184</v>
      </c>
      <c r="R396" s="56" cm="1">
        <f t="array" ref="R396:S396">LINEST(F387:F396,D387:D396)</f>
        <v>-81.687272727272457</v>
      </c>
      <c r="S396" s="56">
        <v>27.563418181818093</v>
      </c>
      <c r="T396" s="56" cm="1">
        <f t="array" ref="T396:U396">LINEST(F382:F396,D382:D396)</f>
        <v>-10.671428571428487</v>
      </c>
      <c r="U396" s="56">
        <v>4.129255952380924</v>
      </c>
      <c r="V396" s="56" cm="1">
        <f t="array" ref="V396:W396">LINEST(F377:F396,D377:D396)</f>
        <v>8.0661654135338168</v>
      </c>
      <c r="W396" s="56">
        <v>-2.0253383458646561</v>
      </c>
      <c r="X396" s="56" cm="1">
        <f t="array" ref="X396:Y396">LINEST(F372:F396,D372:D396)</f>
        <v>8.9778461538461443</v>
      </c>
      <c r="Y396" s="56">
        <v>-2.3213823076923052</v>
      </c>
      <c r="Z396" s="56" cm="1">
        <f t="array" ref="Z396:AA396">LINEST(F367:F396,D367:D396)</f>
        <v>6.4663848720800763</v>
      </c>
      <c r="AA396" s="56">
        <v>-1.5148370040786019</v>
      </c>
      <c r="AB396" s="37" cm="1">
        <f t="array" ref="AB396:AC396">LINEST(G387:G396,D387:D396)</f>
        <v>15.490909090909074</v>
      </c>
      <c r="AC396" s="37">
        <v>-4.5243939393939341</v>
      </c>
      <c r="AD396" s="37" cm="1">
        <f t="array" ref="AD396:AE396">LINEST(G382:G396,D382:D396)</f>
        <v>22.757142857142792</v>
      </c>
      <c r="AE396" s="37">
        <v>-6.9268630952380725</v>
      </c>
      <c r="AF396" s="37" cm="1">
        <f t="array" ref="AF396:AG396">LINEST(G377:G396,D377:D396)</f>
        <v>17.583157894736818</v>
      </c>
      <c r="AG396" s="37">
        <v>-5.228568421052624</v>
      </c>
      <c r="AH396" s="37" cm="1">
        <f t="array" ref="AH396:AI396">LINEST(G372:G396,D372:D396)</f>
        <v>14.16184615384616</v>
      </c>
      <c r="AI396" s="37">
        <v>-4.1128223076923103</v>
      </c>
      <c r="AJ396" s="37" cm="1">
        <f t="array" ref="AJ396:AK396">LINEST(G367:G396,D367:D396)</f>
        <v>11.662558398220247</v>
      </c>
      <c r="AK396" s="37">
        <v>-3.3038517612161669</v>
      </c>
    </row>
    <row r="397" spans="1:38" x14ac:dyDescent="0.25">
      <c r="A397" s="61">
        <v>502</v>
      </c>
      <c r="B397" s="14">
        <f t="shared" si="6"/>
        <v>391</v>
      </c>
      <c r="C397" s="15">
        <v>43981</v>
      </c>
      <c r="D397" s="16">
        <v>0.33708333333333335</v>
      </c>
      <c r="E397" s="36">
        <v>19.59</v>
      </c>
      <c r="F397" s="36">
        <v>-1.5</v>
      </c>
      <c r="G397" s="36">
        <v>0.36</v>
      </c>
      <c r="H397" s="56" cm="1">
        <f t="array" ref="H397:I397">LINEST(E388:E397,D388:D397)</f>
        <v>-40.581818181817873</v>
      </c>
      <c r="I397" s="56">
        <v>33.677818181818076</v>
      </c>
      <c r="J397" s="56" cm="1">
        <f t="array" ref="J397:K397">LINEST(E383:E397,D383:D397)</f>
        <v>-7.0714285714284761</v>
      </c>
      <c r="K397" s="56">
        <v>22.546244047619012</v>
      </c>
      <c r="L397" s="56" cm="1">
        <f t="array" ref="L397:M397">LINEST(E378:E397,D378:D397)</f>
        <v>1.9434586466165376</v>
      </c>
      <c r="M397" s="56">
        <v>19.572035338345863</v>
      </c>
      <c r="N397" s="56" cm="1">
        <f t="array" ref="N397:O397">LINEST(E373:E397,D373:D397)</f>
        <v>-1.9550769230769236</v>
      </c>
      <c r="O397" s="56">
        <v>20.844439230769229</v>
      </c>
      <c r="P397" s="56" cm="1">
        <f t="array" ref="P397:Q397">LINEST(E368:E397,D368:D397)</f>
        <v>-5.233014460511682</v>
      </c>
      <c r="Q397" s="56">
        <v>21.910908194289952</v>
      </c>
      <c r="R397" s="56" cm="1">
        <f t="array" ref="R397:S397">LINEST(F388:F397,D388:D397)</f>
        <v>-190.77818181818105</v>
      </c>
      <c r="S397" s="56">
        <v>63.60378181818156</v>
      </c>
      <c r="T397" s="56" cm="1">
        <f t="array" ref="T397:U397">LINEST(F383:F397,D383:D397)</f>
        <v>-70.791428571428241</v>
      </c>
      <c r="U397" s="56">
        <v>23.751027380952273</v>
      </c>
      <c r="V397" s="56" cm="1">
        <f t="array" ref="V397:W397">LINEST(F378:F397,D378:D397)</f>
        <v>-14.833082706766865</v>
      </c>
      <c r="W397" s="56">
        <v>5.2832706766917115</v>
      </c>
      <c r="X397" s="56" cm="1">
        <f t="array" ref="X397:Y397">LINEST(F373:F397,D373:D397)</f>
        <v>-2.5310769230769279</v>
      </c>
      <c r="Y397" s="56">
        <v>1.2605992307692324</v>
      </c>
      <c r="Z397" s="56" cm="1">
        <f t="array" ref="Z397:AA397">LINEST(F368:F397,D368:D397)</f>
        <v>-1.6802669632925598</v>
      </c>
      <c r="AA397" s="56">
        <v>0.98221794586578093</v>
      </c>
      <c r="AB397" s="37" cm="1">
        <f t="array" ref="AB397:AC397">LINEST(G388:G397,D388:D397)</f>
        <v>-0.26181818181812849</v>
      </c>
      <c r="AC397" s="37">
        <v>0.65861818181816412</v>
      </c>
      <c r="AD397" s="37" cm="1">
        <f t="array" ref="AD397:AE397">LINEST(G383:G397,D383:D397)</f>
        <v>15.634285714285692</v>
      </c>
      <c r="AE397" s="37">
        <v>-4.6200571428571351</v>
      </c>
      <c r="AF397" s="37" cm="1">
        <f t="array" ref="AF397:AG397">LINEST(G378:G397,D378:D397)</f>
        <v>15.125413533834575</v>
      </c>
      <c r="AG397" s="37">
        <v>-4.453953383458642</v>
      </c>
      <c r="AH397" s="37" cm="1">
        <f t="array" ref="AH397:AI397">LINEST(G373:G397,D373:D397)</f>
        <v>12.888000000000009</v>
      </c>
      <c r="AI397" s="37">
        <v>-3.7207300000000036</v>
      </c>
      <c r="AJ397" s="37" cm="1">
        <f t="array" ref="AJ397:AK397">LINEST(G368:G397,D368:D397)</f>
        <v>10.661446051167971</v>
      </c>
      <c r="AK397" s="37">
        <v>-2.9970860956618486</v>
      </c>
    </row>
    <row r="398" spans="1:38" x14ac:dyDescent="0.25">
      <c r="A398" s="61">
        <v>502</v>
      </c>
      <c r="B398" s="14">
        <f t="shared" si="6"/>
        <v>392</v>
      </c>
      <c r="C398" s="15">
        <v>43981</v>
      </c>
      <c r="D398" s="16">
        <v>0.33847222222222223</v>
      </c>
      <c r="E398" s="36">
        <v>19.600000000000001</v>
      </c>
      <c r="F398" s="36">
        <v>0.11</v>
      </c>
      <c r="G398" s="36">
        <v>0.34</v>
      </c>
      <c r="H398" s="56" cm="1">
        <f t="array" ref="H398:I398">LINEST(E389:E398,D389:D398)</f>
        <v>-64.843636363635909</v>
      </c>
      <c r="I398" s="56">
        <v>41.726496969696825</v>
      </c>
      <c r="J398" s="56" cm="1">
        <f t="array" ref="J398:K398">LINEST(E384:E398,D384:D398)</f>
        <v>-20.725714285714098</v>
      </c>
      <c r="K398" s="56">
        <v>27.010245238095173</v>
      </c>
      <c r="L398" s="56" cm="1">
        <f t="array" ref="L398:M398">LINEST(E379:E398,D379:D398)</f>
        <v>-5.3972932330826584</v>
      </c>
      <c r="M398" s="56">
        <v>21.932119548872162</v>
      </c>
      <c r="N398" s="56" cm="1">
        <f t="array" ref="N398:O398">LINEST(E374:E398,D374:D398)</f>
        <v>-4.6079999999999792</v>
      </c>
      <c r="O398" s="56">
        <v>21.668079999999989</v>
      </c>
      <c r="P398" s="56" cm="1">
        <f t="array" ref="P398:Q398">LINEST(E369:E398,D369:D398)</f>
        <v>-7.4803114571746319</v>
      </c>
      <c r="Q398" s="56">
        <v>22.606565813867256</v>
      </c>
      <c r="R398" s="56" cm="1">
        <f t="array" ref="R398:S398">LINEST(F389:F398,D389:D398)</f>
        <v>-182.00727272727224</v>
      </c>
      <c r="S398" s="56">
        <v>60.867860606060454</v>
      </c>
      <c r="T398" s="56" cm="1">
        <f t="array" ref="T398:U398">LINEST(F384:F398,D384:D398)</f>
        <v>-91.877142857142559</v>
      </c>
      <c r="U398" s="56">
        <v>30.79127738095228</v>
      </c>
      <c r="V398" s="56" cm="1">
        <f t="array" ref="V398:W398">LINEST(F379:F398,D379:D398)</f>
        <v>-19.071879699248047</v>
      </c>
      <c r="W398" s="56">
        <v>6.666158646616517</v>
      </c>
      <c r="X398" s="56" cm="1">
        <f t="array" ref="X398:Y398">LINEST(F374:F398,D374:D398)</f>
        <v>-13.785230769230751</v>
      </c>
      <c r="Y398" s="56">
        <v>4.9221638461538397</v>
      </c>
      <c r="Z398" s="56" cm="1">
        <f t="array" ref="Z398:AA398">LINEST(F369:F398,D369:D398)</f>
        <v>-0.12814238042269099</v>
      </c>
      <c r="AA398" s="56">
        <v>0.4581253244345565</v>
      </c>
      <c r="AB398" s="37" cm="1">
        <f t="array" ref="AB398:AC398">LINEST(G389:G398,D389:D398)</f>
        <v>-14.269090909090812</v>
      </c>
      <c r="AC398" s="37">
        <v>5.2995090909090594</v>
      </c>
      <c r="AD398" s="37" cm="1">
        <f t="array" ref="AD398:AE398">LINEST(G384:G398,D384:D398)</f>
        <v>7.2771428571428736</v>
      </c>
      <c r="AE398" s="37">
        <v>-1.8870273809523863</v>
      </c>
      <c r="AF398" s="37" cm="1">
        <f t="array" ref="AF398:AG398">LINEST(G379:G398,D379:D398)</f>
        <v>12.510676691729316</v>
      </c>
      <c r="AG398" s="37">
        <v>-3.6229451127819519</v>
      </c>
      <c r="AH398" s="37" cm="1">
        <f t="array" ref="AH398:AI398">LINEST(G374:G398,D374:D398)</f>
        <v>10.855384615384617</v>
      </c>
      <c r="AI398" s="37">
        <v>-3.0785230769230769</v>
      </c>
      <c r="AJ398" s="37" cm="1">
        <f t="array" ref="AJ398:AK398">LINEST(G369:G398,D369:D398)</f>
        <v>9.8605561735261471</v>
      </c>
      <c r="AK398" s="37">
        <v>-2.7542770485724906</v>
      </c>
      <c r="AL398" s="40" t="s">
        <v>86</v>
      </c>
    </row>
    <row r="399" spans="1:38" x14ac:dyDescent="0.25">
      <c r="A399" s="61">
        <v>502</v>
      </c>
      <c r="B399" s="14">
        <f t="shared" si="6"/>
        <v>393</v>
      </c>
      <c r="C399" s="15">
        <v>43981</v>
      </c>
      <c r="D399" s="16">
        <v>0.33986111111111111</v>
      </c>
      <c r="E399" s="36">
        <v>19.87</v>
      </c>
      <c r="F399" s="36">
        <v>0.11</v>
      </c>
      <c r="G399" s="36">
        <v>0.32</v>
      </c>
      <c r="H399" s="56" cm="1">
        <f t="array" ref="H399:I399">LINEST(E390:E399,D390:D399)</f>
        <v>-70.167272727272405</v>
      </c>
      <c r="I399" s="56">
        <v>43.546581818181707</v>
      </c>
      <c r="J399" s="56" cm="1">
        <f t="array" ref="J399:K399">LINEST(E385:E399,D385:D399)</f>
        <v>-27.565714285714122</v>
      </c>
      <c r="K399" s="56">
        <v>29.27851428571423</v>
      </c>
      <c r="L399" s="56" cm="1">
        <f t="array" ref="L399:M399">LINEST(E380:E399,D380:D399)</f>
        <v>-9.4195488721803642</v>
      </c>
      <c r="M399" s="56">
        <v>23.242052631578918</v>
      </c>
      <c r="N399" s="56" cm="1">
        <f t="array" ref="N399:O399">LINEST(E375:E399,D375:D399)</f>
        <v>-4.7243076923076588</v>
      </c>
      <c r="O399" s="56">
        <v>21.688469999999988</v>
      </c>
      <c r="P399" s="56" cm="1">
        <f t="array" ref="P399:Q399">LINEST(E370:E399,D370:D399)</f>
        <v>-8.1146162402669528</v>
      </c>
      <c r="Q399" s="56">
        <v>22.80108980348535</v>
      </c>
      <c r="R399" s="56" cm="1">
        <f t="array" ref="R399:S399">LINEST(F390:F399,D390:D399)</f>
        <v>-145.48363636363615</v>
      </c>
      <c r="S399" s="56">
        <v>48.806957575757508</v>
      </c>
      <c r="T399" s="56" cm="1">
        <f t="array" ref="T399:U399">LINEST(F385:F399,D385:D399)</f>
        <v>-91.954285714285518</v>
      </c>
      <c r="U399" s="56">
        <v>30.885019047618982</v>
      </c>
      <c r="V399" s="56" cm="1">
        <f t="array" ref="V399:W399">LINEST(F380:F399,D380:D399)</f>
        <v>-29.888120300751787</v>
      </c>
      <c r="W399" s="56">
        <v>10.239952631578916</v>
      </c>
      <c r="X399" s="56" cm="1">
        <f t="array" ref="X399:Y399">LINEST(F375:F399,D375:D399)</f>
        <v>-11.575384615384602</v>
      </c>
      <c r="Y399" s="56">
        <v>4.1858999999999957</v>
      </c>
      <c r="Z399" s="56" cm="1">
        <f t="array" ref="Z399:AA399">LINEST(F370:F399,D370:D399)</f>
        <v>-0.94665183537264896</v>
      </c>
      <c r="AA399" s="56">
        <v>0.70566562847608849</v>
      </c>
      <c r="AB399" s="37" cm="1">
        <f t="array" ref="AB399:AC399">LINEST(G390:G399,D390:D399)</f>
        <v>-24.567272727272641</v>
      </c>
      <c r="AC399" s="37">
        <v>8.7329151515151242</v>
      </c>
      <c r="AD399" s="37" cm="1">
        <f t="array" ref="AD399:AE399">LINEST(G385:G399,D385:D399)</f>
        <v>-0.48857142857138974</v>
      </c>
      <c r="AE399" s="37">
        <v>0.66862976190474899</v>
      </c>
      <c r="AF399" s="37" cm="1">
        <f t="array" ref="AF399:AG399">LINEST(G380:G399,D380:D399)</f>
        <v>9.2030075187969995</v>
      </c>
      <c r="AG399" s="37">
        <v>-2.5573157894736864</v>
      </c>
      <c r="AH399" s="37" cm="1">
        <f t="array" ref="AH399:AI399">LINEST(G375:G399,D375:D399)</f>
        <v>9.1107692307692325</v>
      </c>
      <c r="AI399" s="37">
        <v>-2.5273500000000002</v>
      </c>
      <c r="AJ399" s="37" cm="1">
        <f t="array" ref="AJ399:AK399">LINEST(G370:G399,D370:D399)</f>
        <v>9.0404449388209187</v>
      </c>
      <c r="AK399" s="37">
        <v>-2.5044311457174659</v>
      </c>
    </row>
    <row r="400" spans="1:38" x14ac:dyDescent="0.25">
      <c r="A400" s="61">
        <v>502</v>
      </c>
      <c r="B400" s="14">
        <f t="shared" si="6"/>
        <v>394</v>
      </c>
      <c r="C400" s="15">
        <v>43981</v>
      </c>
      <c r="D400" s="16">
        <v>0.34125</v>
      </c>
      <c r="E400" s="36">
        <v>19.739999999999998</v>
      </c>
      <c r="F400" s="36">
        <v>0.11</v>
      </c>
      <c r="G400" s="36">
        <v>0.3</v>
      </c>
      <c r="H400" s="56" cm="1">
        <f t="array" ref="H400:I400">LINEST(E391:E400,D391:D400)</f>
        <v>-76.581818181818235</v>
      </c>
      <c r="I400" s="56">
        <v>45.733909090909108</v>
      </c>
      <c r="J400" s="56" cm="1">
        <f t="array" ref="J400:K400">LINEST(E386:E400,D386:D400)</f>
        <v>-35.202857142857042</v>
      </c>
      <c r="K400" s="56">
        <v>31.818724999999969</v>
      </c>
      <c r="L400" s="56" cm="1">
        <f t="array" ref="L400:M400">LINEST(E381:E400,D381:D400)</f>
        <v>-14.416240601503681</v>
      </c>
      <c r="M400" s="56">
        <v>24.875827819548842</v>
      </c>
      <c r="N400" s="56" cm="1">
        <f t="array" ref="N400:O400">LINEST(E376:E400,D376:D400)</f>
        <v>-5.2338461538461321</v>
      </c>
      <c r="O400" s="56">
        <v>21.830819230769222</v>
      </c>
      <c r="P400" s="56" cm="1">
        <f t="array" ref="P400:Q400">LINEST(E371:E400,D371:D400)</f>
        <v>-9.272703003337039</v>
      </c>
      <c r="Q400" s="56">
        <v>23.161901297738225</v>
      </c>
      <c r="R400" s="56" cm="1">
        <f t="array" ref="R400:S400">LINEST(F391:F400,D391:D400)</f>
        <v>-153.38181818181849</v>
      </c>
      <c r="S400" s="56">
        <v>51.641909090909195</v>
      </c>
      <c r="T400" s="56" cm="1">
        <f t="array" ref="T400:U400">LINEST(F386:F400,D386:D400)</f>
        <v>-88.714285714285694</v>
      </c>
      <c r="U400" s="56">
        <v>29.875916666666658</v>
      </c>
      <c r="V400" s="56" cm="1">
        <f t="array" ref="V400:W400">LINEST(F381:F400,D381:D400)</f>
        <v>-34.754887218045013</v>
      </c>
      <c r="W400" s="56">
        <v>11.864533834586432</v>
      </c>
      <c r="X400" s="56" cm="1">
        <f t="array" ref="X400:Y400">LINEST(F376:F400,D376:D400)</f>
        <v>-13.835076923076903</v>
      </c>
      <c r="Y400" s="56">
        <v>4.9222353846153784</v>
      </c>
      <c r="Z400" s="56" cm="1">
        <f t="array" ref="Z400:AA400">LINEST(F371:F400,D371:D400)</f>
        <v>-7.2384427141268111</v>
      </c>
      <c r="AA400" s="56">
        <v>2.7506777159807205</v>
      </c>
      <c r="AB400" s="37" cm="1">
        <f t="array" ref="AB400:AC400">LINEST(G391:G400,D391:D400)</f>
        <v>-34.690909090909095</v>
      </c>
      <c r="AC400" s="37">
        <v>12.136454545454548</v>
      </c>
      <c r="AD400" s="37" cm="1">
        <f t="array" ref="AD400:AE400">LINEST(G386:G400,D386:D400)</f>
        <v>-7.4571428571428253</v>
      </c>
      <c r="AE400" s="37">
        <v>2.9762499999999892</v>
      </c>
      <c r="AF400" s="37" cm="1">
        <f t="array" ref="AF400:AG400">LINEST(G381:G400,D381:D400)</f>
        <v>5.7491729323308434</v>
      </c>
      <c r="AG400" s="37">
        <v>-1.4360481203007571</v>
      </c>
      <c r="AH400" s="37" cm="1">
        <f t="array" ref="AH400:AI400">LINEST(G376:G400,D376:D400)</f>
        <v>7.344000000000003</v>
      </c>
      <c r="AI400" s="37">
        <v>-1.9657400000000007</v>
      </c>
      <c r="AJ400" s="37" cm="1">
        <f t="array" ref="AJ400:AK400">LINEST(G371:G400,D371:D400)</f>
        <v>7.767030033370415</v>
      </c>
      <c r="AK400" s="37">
        <v>-2.1050796440489448</v>
      </c>
    </row>
    <row r="401" spans="1:39" x14ac:dyDescent="0.25">
      <c r="A401" s="61">
        <v>502</v>
      </c>
      <c r="B401" s="14">
        <f t="shared" si="6"/>
        <v>395</v>
      </c>
      <c r="C401" s="15">
        <v>43981</v>
      </c>
      <c r="D401" s="16">
        <v>0.34263888888888888</v>
      </c>
      <c r="E401" s="36">
        <v>19.72</v>
      </c>
      <c r="F401" s="36">
        <v>0.11</v>
      </c>
      <c r="G401" s="36">
        <v>0.28999999999999998</v>
      </c>
      <c r="H401" s="56" cm="1">
        <f t="array" ref="H401:I401">LINEST(E392:E401,D392:D401)</f>
        <v>-75.752727272727583</v>
      </c>
      <c r="I401" s="56">
        <v>45.494375757575867</v>
      </c>
      <c r="J401" s="56" cm="1">
        <f t="array" ref="J401:K401">LINEST(E387:E401,D387:D401)</f>
        <v>-41.014285714285663</v>
      </c>
      <c r="K401" s="56">
        <v>33.767672619047595</v>
      </c>
      <c r="L401" s="56" cm="1">
        <f t="array" ref="L401:M401">LINEST(E382:E401,D382:D401)</f>
        <v>-18.990676691729263</v>
      </c>
      <c r="M401" s="56">
        <v>26.382372932330803</v>
      </c>
      <c r="N401" s="56" cm="1">
        <f t="array" ref="N401:O401">LINEST(E377:E401,D377:D401)</f>
        <v>-8.7784615384615208</v>
      </c>
      <c r="O401" s="56">
        <v>22.981534615384611</v>
      </c>
      <c r="P401" s="56" cm="1">
        <f t="array" ref="P401:Q401">LINEST(E372:E401,D372:D401)</f>
        <v>-10.259399332591761</v>
      </c>
      <c r="Q401" s="56">
        <v>23.469656284760841</v>
      </c>
      <c r="R401" s="56" cm="1">
        <f t="array" ref="R401:S401">LINEST(F392:F401,D392:D401)</f>
        <v>-93.425454545454897</v>
      </c>
      <c r="S401" s="56">
        <v>31.534284848484969</v>
      </c>
      <c r="T401" s="56" cm="1">
        <f t="array" ref="T401:U401">LINEST(F387:F401,D387:D401)</f>
        <v>-71.331428571428603</v>
      </c>
      <c r="U401" s="56">
        <v>24.111421428571436</v>
      </c>
      <c r="V401" s="56" cm="1">
        <f t="array" ref="V401:W401">LINEST(F382:F401,D382:D401)</f>
        <v>-36.032481203007443</v>
      </c>
      <c r="W401" s="56">
        <v>12.305700751879671</v>
      </c>
      <c r="X401" s="56" cm="1">
        <f t="array" ref="X401:Y401">LINEST(F377:F401,D377:D401)</f>
        <v>-15.911999999999971</v>
      </c>
      <c r="Y401" s="56">
        <v>5.6052699999999902</v>
      </c>
      <c r="Z401" s="56" cm="1">
        <f t="array" ref="Z401:AA401">LINEST(F372:F401,D372:D401)</f>
        <v>-8.8882758620689621</v>
      </c>
      <c r="AA401" s="56">
        <v>3.28346896551724</v>
      </c>
      <c r="AB401" s="37" cm="1">
        <f t="array" ref="AB401:AC401">LINEST(G392:G401,D392:D401)</f>
        <v>-38.967272727272857</v>
      </c>
      <c r="AC401" s="37">
        <v>13.59115757575762</v>
      </c>
      <c r="AD401" s="37" cm="1">
        <f t="array" ref="AD401:AE401">LINEST(G387:G401,D387:D401)</f>
        <v>-12.41999999999997</v>
      </c>
      <c r="AE401" s="37">
        <v>4.6281583333333227</v>
      </c>
      <c r="AF401" s="37" cm="1">
        <f t="array" ref="AF401:AG401">LINEST(G382:G401,D382:D401)</f>
        <v>2.5118796992481491</v>
      </c>
      <c r="AG401" s="37">
        <v>-0.37852481203008453</v>
      </c>
      <c r="AH401" s="37" cm="1">
        <f t="array" ref="AH401:AI401">LINEST(G377:G401,D377:D401)</f>
        <v>5.5716923076923166</v>
      </c>
      <c r="AI401" s="37">
        <v>-1.3982169230769261</v>
      </c>
      <c r="AJ401" s="37" cm="1">
        <f t="array" ref="AJ401:AK401">LINEST(G372:G401,D372:D401)</f>
        <v>6.4679866518353739</v>
      </c>
      <c r="AK401" s="37">
        <v>-1.6945923618835748</v>
      </c>
      <c r="AL401" s="40" t="s">
        <v>22</v>
      </c>
    </row>
    <row r="402" spans="1:39" x14ac:dyDescent="0.25">
      <c r="A402" s="61">
        <v>502</v>
      </c>
      <c r="B402" s="14">
        <f t="shared" si="6"/>
        <v>396</v>
      </c>
      <c r="C402" s="15">
        <v>43981</v>
      </c>
      <c r="D402" s="16">
        <v>0.34402777777777777</v>
      </c>
      <c r="E402" s="36">
        <v>19.98</v>
      </c>
      <c r="F402" s="36">
        <v>0.11</v>
      </c>
      <c r="G402" s="36">
        <v>0.27</v>
      </c>
      <c r="H402" s="56" cm="1">
        <f t="array" ref="H402:I402">LINEST(E393:E402,D393:D402)</f>
        <v>-56.945454545454794</v>
      </c>
      <c r="I402" s="56">
        <v>39.201909090909183</v>
      </c>
      <c r="J402" s="56" cm="1">
        <f t="array" ref="J402:K402">LINEST(E388:E402,D388:D402)</f>
        <v>-40.602857142857118</v>
      </c>
      <c r="K402" s="56">
        <v>33.669094047619033</v>
      </c>
      <c r="L402" s="56" cm="1">
        <f t="array" ref="L402:M402">LINEST(E383:E402,D383:D402)</f>
        <v>-20.560601503759337</v>
      </c>
      <c r="M402" s="56">
        <v>26.921132330827046</v>
      </c>
      <c r="N402" s="56" cm="1">
        <f t="array" ref="N402:O402">LINEST(E378:E402,D378:D402)</f>
        <v>-10.284923076923061</v>
      </c>
      <c r="O402" s="56">
        <v>23.484483846153836</v>
      </c>
      <c r="P402" s="56" cm="1">
        <f t="array" ref="P402:Q402">LINEST(E373:E402,D373:D402)</f>
        <v>-9.6651390433815365</v>
      </c>
      <c r="Q402" s="56">
        <v>23.2757644790508</v>
      </c>
      <c r="R402" s="56" cm="1">
        <f t="array" ref="R402:S402">LINEST(F393:F402,D393:D402)</f>
        <v>-41.803636363636485</v>
      </c>
      <c r="S402" s="56">
        <v>14.120339393939435</v>
      </c>
      <c r="T402" s="56" cm="1">
        <f t="array" ref="T402:U402">LINEST(F388:F402,D388:D402)</f>
        <v>-80.511428571428681</v>
      </c>
      <c r="U402" s="56">
        <v>27.277417857142893</v>
      </c>
      <c r="V402" s="56" cm="1">
        <f t="array" ref="V402:W402">LINEST(F383:F402,D383:D402)</f>
        <v>-48.754285714285643</v>
      </c>
      <c r="W402" s="56">
        <v>16.589542857142835</v>
      </c>
      <c r="X402" s="56" cm="1">
        <f t="array" ref="X402:Y402">LINEST(F378:F402,D378:D402)</f>
        <v>-17.806153846153823</v>
      </c>
      <c r="Y402" s="56">
        <v>6.2342423076922984</v>
      </c>
      <c r="Z402" s="56" cm="1">
        <f t="array" ref="Z402:AA402">LINEST(F373:F402,D373:D402)</f>
        <v>-8.2635817575083497</v>
      </c>
      <c r="AA402" s="56">
        <v>3.069482313681871</v>
      </c>
      <c r="AB402" s="37" cm="1">
        <f t="array" ref="AB402:AC402">LINEST(G393:G402,D393:D402)</f>
        <v>-39.316363636363775</v>
      </c>
      <c r="AC402" s="37">
        <v>13.725193939393987</v>
      </c>
      <c r="AD402" s="37" cm="1">
        <f t="array" ref="AD402:AE402">LINEST(G388:G402,D388:D402)</f>
        <v>-17.742857142857122</v>
      </c>
      <c r="AE402" s="37">
        <v>6.414202380952374</v>
      </c>
      <c r="AF402" s="37" cm="1">
        <f t="array" ref="AF402:AG402">LINEST(G383:G402,D383:D402)</f>
        <v>-1.4778947368420701</v>
      </c>
      <c r="AG402" s="37">
        <v>0.93843684210525136</v>
      </c>
      <c r="AH402" s="37" cm="1">
        <f t="array" ref="AH402:AI402">LINEST(G378:G402,D378:D402)</f>
        <v>3.73846153846155</v>
      </c>
      <c r="AI402" s="37">
        <v>-0.80702692307692647</v>
      </c>
      <c r="AJ402" s="37" cm="1">
        <f t="array" ref="AJ402:AK402">LINEST(G373:G402,D373:D402)</f>
        <v>5.3018909899888849</v>
      </c>
      <c r="AK402" s="37">
        <v>-1.3258902484241777</v>
      </c>
      <c r="AL402" s="39" t="s">
        <v>88</v>
      </c>
    </row>
    <row r="403" spans="1:39" x14ac:dyDescent="0.25">
      <c r="A403" s="61">
        <v>502</v>
      </c>
      <c r="B403" s="14">
        <f t="shared" si="6"/>
        <v>397</v>
      </c>
      <c r="C403" s="15">
        <v>43981</v>
      </c>
      <c r="D403" s="16">
        <v>0.34541666666666665</v>
      </c>
      <c r="E403" s="36">
        <v>19.97</v>
      </c>
      <c r="F403" s="36">
        <v>0.11</v>
      </c>
      <c r="G403" s="36">
        <v>0.26</v>
      </c>
      <c r="H403" s="56" cm="1">
        <f t="array" ref="H403:I403">LINEST(E394:E403,D394:D403)</f>
        <v>-33.643636363636624</v>
      </c>
      <c r="I403" s="56">
        <v>31.329800000000091</v>
      </c>
      <c r="J403" s="56" cm="1">
        <f t="array" ref="J403:K403">LINEST(E389:E403,D389:D403)</f>
        <v>-39.059999999999995</v>
      </c>
      <c r="K403" s="56">
        <v>33.186891666666661</v>
      </c>
      <c r="L403" s="56" cm="1">
        <f t="array" ref="L403:M403">LINEST(E384:E403,D384:D403)</f>
        <v>-22.08180451127815</v>
      </c>
      <c r="M403" s="56">
        <v>27.447566165413519</v>
      </c>
      <c r="N403" s="56" cm="1">
        <f t="array" ref="N403:O403">LINEST(E379:E403,D379:D403)</f>
        <v>-11.392615384615368</v>
      </c>
      <c r="O403" s="56">
        <v>23.857722307692303</v>
      </c>
      <c r="P403" s="56" cm="1">
        <f t="array" ref="P403:Q403">LINEST(E374:E403,D374:D403)</f>
        <v>-9.1157285873192446</v>
      </c>
      <c r="Q403" s="56">
        <v>23.095477271041897</v>
      </c>
      <c r="R403" s="56" cm="1">
        <f t="array" ref="R403:S403">LINEST(F394:F403,D394:D403)</f>
        <v>2.8363636363636422</v>
      </c>
      <c r="S403" s="56">
        <v>-1.0350000000000019</v>
      </c>
      <c r="T403" s="56" cm="1">
        <f t="array" ref="T403:U403">LINEST(F389:F403,D389:D403)</f>
        <v>-72.334285714285841</v>
      </c>
      <c r="U403" s="56">
        <v>24.586217857142895</v>
      </c>
      <c r="V403" s="56" cm="1">
        <f t="array" ref="V403:W403">LINEST(F384:F403,D384:D403)</f>
        <v>-58.038496240601482</v>
      </c>
      <c r="W403" s="56">
        <v>19.749178195488714</v>
      </c>
      <c r="X403" s="56" cm="1">
        <f t="array" ref="X403:Y403">LINEST(F379:F403,D379:D403)</f>
        <v>-19.517538461538432</v>
      </c>
      <c r="Y403" s="56">
        <v>6.8083907692307584</v>
      </c>
      <c r="Z403" s="56" cm="1">
        <f t="array" ref="Z403:AA403">LINEST(F374:F403,D374:D403)</f>
        <v>-15.502024471635142</v>
      </c>
      <c r="AA403" s="56">
        <v>5.4657974045235411</v>
      </c>
      <c r="AB403" s="37" cm="1">
        <f t="array" ref="AB403:AC403">LINEST(G394:G403,D394:D403)</f>
        <v>-36.261818181818313</v>
      </c>
      <c r="AC403" s="37">
        <v>12.703800000000044</v>
      </c>
      <c r="AD403" s="37" cm="1">
        <f t="array" ref="AD403:AE403">LINEST(G389:G403,D389:D403)</f>
        <v>-22.011428571428564</v>
      </c>
      <c r="AE403" s="37">
        <v>7.8577809523809492</v>
      </c>
      <c r="AF403" s="37" cm="1">
        <f t="array" ref="AF403:AG403">LINEST(G384:G403,D384:D403)</f>
        <v>-5.9224060150375584</v>
      </c>
      <c r="AG403" s="37">
        <v>2.4185548872180331</v>
      </c>
      <c r="AH403" s="37" cm="1">
        <f t="array" ref="AH403:AI403">LINEST(G379:G403,D379:D403)</f>
        <v>1.9273846153846339</v>
      </c>
      <c r="AI403" s="37">
        <v>-0.21882769230769827</v>
      </c>
      <c r="AJ403" s="37" cm="1">
        <f t="array" ref="AJ403:AK403">LINEST(G374:G403,D374:D403)</f>
        <v>3.6921023359288188</v>
      </c>
      <c r="AK403" s="37">
        <v>-0.8072921764924017</v>
      </c>
      <c r="AL403" s="43" t="s">
        <v>83</v>
      </c>
      <c r="AM403" s="18">
        <f>D402-D395</f>
        <v>9.7222222222221877E-3</v>
      </c>
    </row>
    <row r="404" spans="1:39" x14ac:dyDescent="0.25">
      <c r="A404" s="61">
        <v>502</v>
      </c>
      <c r="B404" s="14">
        <f t="shared" si="6"/>
        <v>398</v>
      </c>
      <c r="C404" s="15">
        <v>43981</v>
      </c>
      <c r="D404" s="16">
        <v>0.34680555555555559</v>
      </c>
      <c r="E404" s="36">
        <v>19.98</v>
      </c>
      <c r="F404" s="36">
        <v>0.11</v>
      </c>
      <c r="G404" s="36">
        <v>0.25</v>
      </c>
      <c r="H404" s="56" cm="1">
        <f t="array" ref="H404:I404">LINEST(E395:E404,D395:D404)</f>
        <v>-3.3600000000001038</v>
      </c>
      <c r="I404" s="56">
        <v>21.0112666666667</v>
      </c>
      <c r="J404" s="56" cm="1">
        <f t="array" ref="J404:K404">LINEST(E390:E404,D390:D404)</f>
        <v>-35.51142857142856</v>
      </c>
      <c r="K404" s="56">
        <v>32.021644047619041</v>
      </c>
      <c r="L404" s="56" cm="1">
        <f t="array" ref="L404:M404">LINEST(E385:E404,D385:D404)</f>
        <v>-22.996691729323274</v>
      </c>
      <c r="M404" s="56">
        <v>27.774951879699238</v>
      </c>
      <c r="N404" s="56" cm="1">
        <f t="array" ref="N404:O404">LINEST(E380:E404,D380:D404)</f>
        <v>-12.361846153846118</v>
      </c>
      <c r="O404" s="56">
        <v>24.188726153846144</v>
      </c>
      <c r="P404" s="56" cm="1">
        <f t="array" ref="P404:Q404">LINEST(E375:E404,D375:D404)</f>
        <v>-8.177085650723015</v>
      </c>
      <c r="Q404" s="56">
        <v>22.78551464590285</v>
      </c>
      <c r="R404" s="56" cm="1">
        <f t="array" ref="R404:S404">LINEST(F395:F404,D395:D404)</f>
        <v>78.807272727272775</v>
      </c>
      <c r="S404" s="56">
        <v>-27.036254545454561</v>
      </c>
      <c r="T404" s="56" cm="1">
        <f t="array" ref="T404:U404">LINEST(F390:F404,D390:D404)</f>
        <v>-53.280000000000022</v>
      </c>
      <c r="U404" s="56">
        <v>18.177800000000008</v>
      </c>
      <c r="V404" s="56" cm="1">
        <f t="array" ref="V404:W404">LINEST(F385:F404,D385:D404)</f>
        <v>-55.66195488721803</v>
      </c>
      <c r="W404" s="56">
        <v>18.992446616541347</v>
      </c>
      <c r="X404" s="56" cm="1">
        <f t="array" ref="X404:Y404">LINEST(F380:F404,D380:D404)</f>
        <v>-25.438153846153813</v>
      </c>
      <c r="Y404" s="56">
        <v>8.801323846153835</v>
      </c>
      <c r="Z404" s="56" cm="1">
        <f t="array" ref="Z404:AA404">LINEST(F375:F404,D375:D404)</f>
        <v>-13.398887652947705</v>
      </c>
      <c r="AA404" s="56">
        <v>4.7659699666295827</v>
      </c>
      <c r="AB404" s="37" cm="1">
        <f t="array" ref="AB404:AC404">LINEST(G395:G404,D395:D404)</f>
        <v>-27.229090909090914</v>
      </c>
      <c r="AC404" s="37">
        <v>9.6310181818181846</v>
      </c>
      <c r="AD404" s="37" cm="1">
        <f t="array" ref="AD404:AE404">LINEST(G390:G404,D390:D404)</f>
        <v>-24.479999999999997</v>
      </c>
      <c r="AE404" s="37">
        <v>8.7011333333333329</v>
      </c>
      <c r="AF404" s="37" cm="1">
        <f t="array" ref="AF404:AG404">LINEST(G385:G404,D385:D404)</f>
        <v>-9.8201503759398232</v>
      </c>
      <c r="AG404" s="37">
        <v>3.72511127819548</v>
      </c>
      <c r="AH404" s="37" cm="1">
        <f t="array" ref="AH404:AI404">LINEST(G380:G404,D380:D404)</f>
        <v>-0.21046153846151971</v>
      </c>
      <c r="AI404" s="37">
        <v>0.48348153846153225</v>
      </c>
      <c r="AJ404" s="37" cm="1">
        <f t="array" ref="AJ404:AK404">LINEST(G375:G404,D375:D404)</f>
        <v>2.3610233592881054</v>
      </c>
      <c r="AK404" s="37">
        <v>-0.37793429736744766</v>
      </c>
      <c r="AL404" s="43" t="s">
        <v>25</v>
      </c>
      <c r="AM404" s="19">
        <f>ROUND(MINUTE(AM403)/2,0)</f>
        <v>7</v>
      </c>
    </row>
    <row r="405" spans="1:39" x14ac:dyDescent="0.25">
      <c r="A405" s="61">
        <v>502</v>
      </c>
      <c r="B405" s="14">
        <f t="shared" si="6"/>
        <v>399</v>
      </c>
      <c r="C405" s="15">
        <v>43981</v>
      </c>
      <c r="D405" s="16">
        <v>0.34819444444444447</v>
      </c>
      <c r="E405" s="36">
        <v>19.98</v>
      </c>
      <c r="F405" s="36">
        <v>-0.04</v>
      </c>
      <c r="G405" s="36">
        <v>0.23</v>
      </c>
      <c r="H405" s="56" cm="1">
        <f t="array" ref="H405:I405">LINEST(E396:E405,D396:D405)</f>
        <v>31.941818181818107</v>
      </c>
      <c r="I405" s="56">
        <v>8.8916727272727503</v>
      </c>
      <c r="J405" s="56" cm="1">
        <f t="array" ref="J405:K405">LINEST(E391:E405,D391:D405)</f>
        <v>-31.06285714285713</v>
      </c>
      <c r="K405" s="56">
        <v>30.541914285714288</v>
      </c>
      <c r="L405" s="56" cm="1">
        <f t="array" ref="L405:M405">LINEST(E386:E405,D386:D405)</f>
        <v>-23.272781954887179</v>
      </c>
      <c r="M405" s="56">
        <v>27.888881954887214</v>
      </c>
      <c r="N405" s="56" cm="1">
        <f t="array" ref="N405:O405">LINEST(E381:E405,D381:D405)</f>
        <v>-13.192615384615348</v>
      </c>
      <c r="O405" s="56">
        <v>24.476118461538451</v>
      </c>
      <c r="P405" s="56" cm="1">
        <f t="array" ref="P405:Q405">LINEST(E376:E405,D376:D405)</f>
        <v>-6.9853615127919788</v>
      </c>
      <c r="Q405" s="56">
        <v>22.389253318502035</v>
      </c>
      <c r="R405" s="56" cm="1">
        <f t="array" ref="R405:S405">LINEST(F396:F405,D396:D405)</f>
        <v>106.51636363636339</v>
      </c>
      <c r="S405" s="56">
        <v>-36.649678787878699</v>
      </c>
      <c r="T405" s="56" cm="1">
        <f t="array" ref="T405:U405">LINEST(F391:F405,D391:D405)</f>
        <v>-57.471428571428646</v>
      </c>
      <c r="U405" s="56">
        <v>19.6518154761905</v>
      </c>
      <c r="V405" s="56" cm="1">
        <f t="array" ref="V405:W405">LINEST(F386:F405,D386:D405)</f>
        <v>-53.296240601503776</v>
      </c>
      <c r="W405" s="56">
        <v>18.222740601503766</v>
      </c>
      <c r="X405" s="56" cm="1">
        <f t="array" ref="X405:Y405">LINEST(F381:F405,D381:D405)</f>
        <v>-28.550769230769188</v>
      </c>
      <c r="Y405" s="56">
        <v>9.8517730769230631</v>
      </c>
      <c r="Z405" s="56" cm="1">
        <f t="array" ref="Z405:AA405">LINEST(F376:F405,D376:D405)</f>
        <v>-15.138420467185748</v>
      </c>
      <c r="AA405" s="56">
        <v>5.3392429365962135</v>
      </c>
      <c r="AB405" s="37" cm="1">
        <f t="array" ref="AB405:AC405">LINEST(G396:G405,D396:D405)</f>
        <v>-16.799999999999976</v>
      </c>
      <c r="AC405" s="37">
        <v>6.0576666666666581</v>
      </c>
      <c r="AD405" s="37" cm="1">
        <f t="array" ref="AD405:AE405">LINEST(G391:G405,D391:D405)</f>
        <v>-26.974285714285713</v>
      </c>
      <c r="AE405" s="37">
        <v>9.5600464285714288</v>
      </c>
      <c r="AF405" s="37" cm="1">
        <f t="array" ref="AF405:AG405">LINEST(G386:G405,D386:D405)</f>
        <v>-13.198195488721788</v>
      </c>
      <c r="AG405" s="37">
        <v>4.8643954887217991</v>
      </c>
      <c r="AH405" s="37" cm="1">
        <f t="array" ref="AH405:AI405">LINEST(G381:G405,D381:D405)</f>
        <v>-2.398153846153825</v>
      </c>
      <c r="AI405" s="37">
        <v>1.2070546153846085</v>
      </c>
      <c r="AJ405" s="37" cm="1">
        <f t="array" ref="AJ405:AK405">LINEST(G376:G405,D376:D405)</f>
        <v>1.0395550611790969</v>
      </c>
      <c r="AK405" s="37">
        <v>5.0634853540968472E-2</v>
      </c>
      <c r="AL405" s="43" t="s">
        <v>26</v>
      </c>
      <c r="AM405" s="20">
        <f>E402-E395</f>
        <v>-0.53000000000000114</v>
      </c>
    </row>
    <row r="406" spans="1:39" x14ac:dyDescent="0.25">
      <c r="A406" s="61">
        <v>502</v>
      </c>
      <c r="B406" s="14">
        <f t="shared" si="6"/>
        <v>400</v>
      </c>
      <c r="C406" s="15">
        <v>43981</v>
      </c>
      <c r="D406" s="16">
        <v>0.34958333333333336</v>
      </c>
      <c r="E406" s="36">
        <v>19.989999999999998</v>
      </c>
      <c r="F406" s="36">
        <v>0.46</v>
      </c>
      <c r="G406" s="36">
        <v>0.24</v>
      </c>
      <c r="H406" s="56" cm="1">
        <f t="array" ref="H406:I406">LINEST(E397:E406,D397:D406)</f>
        <v>33.861818181818009</v>
      </c>
      <c r="I406" s="56">
        <v>8.2161090909091481</v>
      </c>
      <c r="J406" s="56" cm="1">
        <f t="array" ref="J406:K406">LINEST(E392:E406,D392:D406)</f>
        <v>-24.300000000000011</v>
      </c>
      <c r="K406" s="56">
        <v>28.259958333333341</v>
      </c>
      <c r="L406" s="56" cm="1">
        <f t="array" ref="L406:M406">LINEST(E387:E406,D387:D406)</f>
        <v>-22.65022556390976</v>
      </c>
      <c r="M406" s="56">
        <v>27.699284210526312</v>
      </c>
      <c r="N406" s="56" cm="1">
        <f t="array" ref="N406:O406">LINEST(E382:E406,D382:D406)</f>
        <v>-13.740923076923051</v>
      </c>
      <c r="O406" s="56">
        <v>24.671382307692298</v>
      </c>
      <c r="P406" s="56" cm="1">
        <f t="array" ref="P406:Q406">LINEST(E377:E406,D377:D406)</f>
        <v>-7.8711457174638424</v>
      </c>
      <c r="Q406" s="56">
        <v>22.689771894697813</v>
      </c>
      <c r="R406" s="56" cm="1">
        <f t="array" ref="R406:S406">LINEST(F397:F406,D397:D406)</f>
        <v>72.392727272727015</v>
      </c>
      <c r="S406" s="56">
        <v>-24.885836363636276</v>
      </c>
      <c r="T406" s="56" cm="1">
        <f t="array" ref="T406:U406">LINEST(F392:F406,D392:D406)</f>
        <v>-23.348571428571368</v>
      </c>
      <c r="U406" s="56">
        <v>8.0566047619047438</v>
      </c>
      <c r="V406" s="56" cm="1">
        <f t="array" ref="V406:W406">LINEST(F387:F406,D387:D406)</f>
        <v>-38.127518796992469</v>
      </c>
      <c r="W406" s="56">
        <v>13.136173684210521</v>
      </c>
      <c r="X406" s="56" cm="1">
        <f t="array" ref="X406:Y406">LINEST(F382:F406,D382:D406)</f>
        <v>-26.019692307692271</v>
      </c>
      <c r="Y406" s="56">
        <v>9.0403892307692164</v>
      </c>
      <c r="Z406" s="56" cm="1">
        <f t="array" ref="Z406:AA406">LINEST(F377:F406,D377:D406)</f>
        <v>-14.401601779755271</v>
      </c>
      <c r="AA406" s="56">
        <v>5.1181943641082643</v>
      </c>
      <c r="AB406" s="37" cm="1">
        <f t="array" ref="AB406:AC406">LINEST(G397:G406,D397:D406)</f>
        <v>-10.21090909090907</v>
      </c>
      <c r="AC406" s="37">
        <v>3.7917454545454476</v>
      </c>
      <c r="AD406" s="37" cm="1">
        <f t="array" ref="AD406:AE406">LINEST(G392:G406,D392:D406)</f>
        <v>-26.691428571428577</v>
      </c>
      <c r="AE406" s="37">
        <v>9.4767119047619079</v>
      </c>
      <c r="AF406" s="37" cm="1">
        <f t="array" ref="AF406:AG406">LINEST(G387:G406,D387:D406)</f>
        <v>-15.206616541353366</v>
      </c>
      <c r="AG406" s="37">
        <v>5.5478368421052568</v>
      </c>
      <c r="AH406" s="37" cm="1">
        <f t="array" ref="AH406:AI406">LINEST(G382:G406,D382:D406)</f>
        <v>-4.2756923076922835</v>
      </c>
      <c r="AI406" s="37">
        <v>1.8326492307692224</v>
      </c>
      <c r="AJ406" s="37" cm="1">
        <f t="array" ref="AJ406:AK406">LINEST(G377:G406,D377:D406)</f>
        <v>-0.16978865406005619</v>
      </c>
      <c r="AK406" s="37">
        <v>0.44593592880978516</v>
      </c>
      <c r="AL406" s="43" t="s">
        <v>27</v>
      </c>
      <c r="AM406" s="21">
        <f>F402-F395</f>
        <v>-0.14000000000000001</v>
      </c>
    </row>
    <row r="407" spans="1:39" x14ac:dyDescent="0.25">
      <c r="A407" s="61">
        <v>502</v>
      </c>
      <c r="B407" s="14">
        <f t="shared" si="6"/>
        <v>401</v>
      </c>
      <c r="C407" s="15">
        <v>43981</v>
      </c>
      <c r="D407" s="16">
        <v>0.35097222222222224</v>
      </c>
      <c r="E407" s="36">
        <v>19.989999999999998</v>
      </c>
      <c r="F407" s="36">
        <v>-0.19</v>
      </c>
      <c r="G407" s="36">
        <v>0.21</v>
      </c>
      <c r="H407" s="56" cm="1">
        <f t="array" ref="H407:I407">LINEST(E398:E407,D398:D407)</f>
        <v>27.578181818181601</v>
      </c>
      <c r="I407" s="56">
        <v>10.375187878787949</v>
      </c>
      <c r="J407" s="56" cm="1">
        <f t="array" ref="J407:K407">LINEST(E393:E407,D393:D407)</f>
        <v>-15.685714285714319</v>
      </c>
      <c r="K407" s="56">
        <v>25.324750000000012</v>
      </c>
      <c r="L407" s="56" cm="1">
        <f t="array" ref="L407:M407">LINEST(E388:E407,D388:D407)</f>
        <v>-21.643308270676684</v>
      </c>
      <c r="M407" s="56">
        <v>27.377628571428566</v>
      </c>
      <c r="N407" s="56" cm="1">
        <f t="array" ref="N407:O407">LINEST(E383:E407,D383:D407)</f>
        <v>-14.28369230769229</v>
      </c>
      <c r="O407" s="56">
        <v>24.866717692307688</v>
      </c>
      <c r="P407" s="56" cm="1">
        <f t="array" ref="P407:Q407">LINEST(E378:E407,D378:D407)</f>
        <v>-8.6480088987764212</v>
      </c>
      <c r="Q407" s="56">
        <v>22.956049610678534</v>
      </c>
      <c r="R407" s="56" cm="1">
        <f t="array" ref="R407:S407">LINEST(F398:F407,D398:D407)</f>
        <v>-4.3636363636363527</v>
      </c>
      <c r="S407" s="56">
        <v>1.6042424242424207</v>
      </c>
      <c r="T407" s="56" cm="1">
        <f t="array" ref="T407:U407">LINEST(F393:F407,D393:D407)</f>
        <v>-7.1742857142856797</v>
      </c>
      <c r="U407" s="56">
        <v>2.4782249999999881</v>
      </c>
      <c r="V407" s="56" cm="1">
        <f t="array" ref="V407:W407">LINEST(F388:F407,D388:D407)</f>
        <v>-45.213834586466156</v>
      </c>
      <c r="W407" s="56">
        <v>15.566228571428567</v>
      </c>
      <c r="X407" s="56" cm="1">
        <f t="array" ref="X407:Y407">LINEST(F383:F407,D383:D407)</f>
        <v>-35.324307692307649</v>
      </c>
      <c r="Y407" s="56">
        <v>12.195112307692293</v>
      </c>
      <c r="Z407" s="56" cm="1">
        <f t="array" ref="Z407:AA407">LINEST(F378:F407,D378:D407)</f>
        <v>-16.690545050055601</v>
      </c>
      <c r="AA407" s="56">
        <v>5.874455320726728</v>
      </c>
      <c r="AB407" s="37" cm="1">
        <f t="array" ref="AB407:AC407">LINEST(G398:G407,D398:D407)</f>
        <v>-9.6436363636363431</v>
      </c>
      <c r="AC407" s="37">
        <v>3.5953757575757508</v>
      </c>
      <c r="AD407" s="37" cm="1">
        <f t="array" ref="AD407:AE407">LINEST(G393:G407,D393:D407)</f>
        <v>-25.174285714285705</v>
      </c>
      <c r="AE407" s="37">
        <v>8.9667249999999967</v>
      </c>
      <c r="AF407" s="37" cm="1">
        <f t="array" ref="AF407:AG407">LINEST(G388:G407,D388:D407)</f>
        <v>-17.523609022556371</v>
      </c>
      <c r="AG407" s="37">
        <v>6.3405857142857069</v>
      </c>
      <c r="AH407" s="37" cm="1">
        <f t="array" ref="AH407:AI407">LINEST(G383:G407,D383:D407)</f>
        <v>-6.6738461538461307</v>
      </c>
      <c r="AI407" s="37">
        <v>2.6383038461538386</v>
      </c>
      <c r="AJ407" s="37" cm="1">
        <f t="array" ref="AJ407:AK407">LINEST(G378:G407,D378:D407)</f>
        <v>-1.4528142380422568</v>
      </c>
      <c r="AK407" s="37">
        <v>0.86763937708564676</v>
      </c>
      <c r="AL407" s="43" t="s">
        <v>27</v>
      </c>
      <c r="AM407" s="21">
        <f>G402-G395</f>
        <v>-0.41000000000000003</v>
      </c>
    </row>
    <row r="408" spans="1:39" x14ac:dyDescent="0.25">
      <c r="A408" s="61">
        <v>502</v>
      </c>
      <c r="B408" s="14">
        <f t="shared" si="6"/>
        <v>402</v>
      </c>
      <c r="C408" s="15">
        <v>43981</v>
      </c>
      <c r="D408" s="16">
        <v>0.35236111111111112</v>
      </c>
      <c r="E408" s="36">
        <v>20.03</v>
      </c>
      <c r="F408" s="36">
        <v>1.19</v>
      </c>
      <c r="G408" s="36">
        <v>0.28999999999999998</v>
      </c>
      <c r="H408" s="56" cm="1">
        <f t="array" ref="H408:I408">LINEST(E399:E408,D399:D408)</f>
        <v>19.854545454545409</v>
      </c>
      <c r="I408" s="56">
        <v>13.053121212121232</v>
      </c>
      <c r="J408" s="56" cm="1">
        <f t="array" ref="J408:K408">LINEST(E394:E408,D394:D408)</f>
        <v>-4.8085714285714447</v>
      </c>
      <c r="K408" s="56">
        <v>21.591603571428575</v>
      </c>
      <c r="L408" s="56" cm="1">
        <f t="array" ref="L408:M408">LINEST(E389:E408,D389:D408)</f>
        <v>-19.602406015037559</v>
      </c>
      <c r="M408" s="56">
        <v>26.702982706766907</v>
      </c>
      <c r="N408" s="56" cm="1">
        <f t="array" ref="N408:O408">LINEST(E384:E408,D384:D408)</f>
        <v>-14.488615384615352</v>
      </c>
      <c r="O408" s="56">
        <v>24.951747692307681</v>
      </c>
      <c r="P408" s="56" cm="1">
        <f t="array" ref="P408:Q408">LINEST(E379:E408,D379:D408)</f>
        <v>-8.9251167964404772</v>
      </c>
      <c r="Q408" s="56">
        <v>23.057788802373004</v>
      </c>
      <c r="R408" s="56" cm="1">
        <f t="array" ref="R408:S408">LINEST(F399:F408,D399:D408)</f>
        <v>38.923636363636213</v>
      </c>
      <c r="S408" s="56">
        <v>-13.263903030302979</v>
      </c>
      <c r="T408" s="56" cm="1">
        <f t="array" ref="T408:U408">LINEST(F394:F408,D394:D408)</f>
        <v>30.368571428571453</v>
      </c>
      <c r="U408" s="56">
        <v>-10.352120238095248</v>
      </c>
      <c r="V408" s="56" cm="1">
        <f t="array" ref="V408:W408">LINEST(F389:F408,D389:D408)</f>
        <v>-28.199097744360891</v>
      </c>
      <c r="W408" s="56">
        <v>9.8686939849624036</v>
      </c>
      <c r="X408" s="56" cm="1">
        <f t="array" ref="X408:Y408">LINEST(F384:F408,D384:D408)</f>
        <v>-33.047999999999973</v>
      </c>
      <c r="Y408" s="56">
        <v>11.529229999999989</v>
      </c>
      <c r="Z408" s="56" cm="1">
        <f t="array" ref="Z408:AA408">LINEST(F379:F408,D379:D408)</f>
        <v>-12.367341490545025</v>
      </c>
      <c r="AA408" s="56">
        <v>4.486372339636624</v>
      </c>
      <c r="AB408" s="37" cm="1">
        <f t="array" ref="AB408:AC408">LINEST(G399:G408,D399:D408)</f>
        <v>-5.5854545454545379</v>
      </c>
      <c r="AC408" s="37">
        <v>2.1991878787878765</v>
      </c>
      <c r="AD408" s="37" cm="1">
        <f t="array" ref="AD408:AE408">LINEST(G394:G408,D394:D408)</f>
        <v>-20.879999999999978</v>
      </c>
      <c r="AE408" s="37">
        <v>7.5056333333333267</v>
      </c>
      <c r="AF408" s="37" cm="1">
        <f t="array" ref="AF408:AG408">LINEST(G389:G408,D389:D408)</f>
        <v>-18.324812030075172</v>
      </c>
      <c r="AG408" s="37">
        <v>6.6276654135338289</v>
      </c>
      <c r="AH408" s="37" cm="1">
        <f t="array" ref="AH408:AI408">LINEST(G384:G408,D384:D408)</f>
        <v>-8.7286153846153631</v>
      </c>
      <c r="AI408" s="37">
        <v>3.339747692307685</v>
      </c>
      <c r="AJ408" s="37" cm="1">
        <f t="array" ref="AJ408:AK408">LINEST(G379:G408,D379:D408)</f>
        <v>-2.2857397107897524</v>
      </c>
      <c r="AK408" s="37">
        <v>1.1457068594734841</v>
      </c>
      <c r="AL408" s="44"/>
    </row>
    <row r="409" spans="1:39" x14ac:dyDescent="0.25">
      <c r="A409" s="61">
        <v>502</v>
      </c>
      <c r="B409" s="14">
        <f t="shared" si="6"/>
        <v>403</v>
      </c>
      <c r="C409" s="15">
        <v>43981</v>
      </c>
      <c r="D409" s="16">
        <v>0.35375000000000001</v>
      </c>
      <c r="E409" s="36">
        <v>20.03</v>
      </c>
      <c r="F409" s="36">
        <v>0.1</v>
      </c>
      <c r="G409" s="36">
        <v>0.27</v>
      </c>
      <c r="H409" s="56" cm="1">
        <f t="array" ref="H409:I409">LINEST(E400:E409,D400:D409)</f>
        <v>21.338181818181898</v>
      </c>
      <c r="I409" s="56">
        <v>12.525981818181792</v>
      </c>
      <c r="J409" s="56" cm="1">
        <f t="array" ref="J409:K409">LINEST(E395:E409,D395:D409)</f>
        <v>8.1771428571428366</v>
      </c>
      <c r="K409" s="56">
        <v>17.099502380952384</v>
      </c>
      <c r="L409" s="56" cm="1">
        <f t="array" ref="L409:M409">LINEST(E390:E409,D390:D409)</f>
        <v>-16.722406015037564</v>
      </c>
      <c r="M409" s="56">
        <v>25.734408270676681</v>
      </c>
      <c r="N409" s="56" cm="1">
        <f t="array" ref="N409:O409">LINEST(E385:E409,D385:D409)</f>
        <v>-14.427692307692283</v>
      </c>
      <c r="O409" s="56">
        <v>24.946534615384607</v>
      </c>
      <c r="P409" s="56" cm="1">
        <f t="array" ref="P409:Q409">LINEST(E380:E409,D380:D409)</f>
        <v>-9.1797997775305671</v>
      </c>
      <c r="Q409" s="56">
        <v>23.152816536892836</v>
      </c>
      <c r="R409" s="56" cm="1">
        <f t="array" ref="R409:S409">LINEST(F400:F409,D400:D409)</f>
        <v>29.978181818181714</v>
      </c>
      <c r="S409" s="56">
        <v>-10.210418181818145</v>
      </c>
      <c r="T409" s="56" cm="1">
        <f t="array" ref="T409:U409">LINEST(F395:F409,D395:D409)</f>
        <v>58.088571428571363</v>
      </c>
      <c r="U409" s="56">
        <v>-20.014748809523784</v>
      </c>
      <c r="V409" s="56" cm="1">
        <f t="array" ref="V409:W409">LINEST(F390:F409,D390:D409)</f>
        <v>-17.848421052631554</v>
      </c>
      <c r="W409" s="56">
        <v>6.3178789473684134</v>
      </c>
      <c r="X409" s="56" cm="1">
        <f t="array" ref="X409:Y409">LINEST(F385:F409,D385:D409)</f>
        <v>-31.209230769230754</v>
      </c>
      <c r="Y409" s="56">
        <v>10.919311538461534</v>
      </c>
      <c r="Z409" s="56" cm="1">
        <f t="array" ref="Z409:AA409">LINEST(F380:F409,D380:D409)</f>
        <v>-16.376596218020001</v>
      </c>
      <c r="AA409" s="56">
        <v>5.8500811271783393</v>
      </c>
      <c r="AB409" s="37" cm="1">
        <f t="array" ref="AB409:AC409">LINEST(G400:G409,D400:D409)</f>
        <v>-2.8363636363636404</v>
      </c>
      <c r="AC409" s="37">
        <v>1.2466363636363651</v>
      </c>
      <c r="AD409" s="37" cm="1">
        <f t="array" ref="AD409:AE409">LINEST(G395:G409,D395:D409)</f>
        <v>-14.75999999999998</v>
      </c>
      <c r="AE409" s="37">
        <v>5.3991833333333261</v>
      </c>
      <c r="AF409" s="37" cm="1">
        <f t="array" ref="AF409:AG409">LINEST(G390:G409,D390:D409)</f>
        <v>-18.341052631578933</v>
      </c>
      <c r="AG409" s="37">
        <v>6.6451473684210489</v>
      </c>
      <c r="AH409" s="37" cm="1">
        <f t="array" ref="AH409:AI409">LINEST(G385:G409,D385:D409)</f>
        <v>-10.517538461538447</v>
      </c>
      <c r="AI409" s="37">
        <v>3.9540869230769182</v>
      </c>
      <c r="AJ409" s="37" cm="1">
        <f t="array" ref="AJ409:AK409">LINEST(G380:G409,D380:D409)</f>
        <v>-3.4037819799777393</v>
      </c>
      <c r="AK409" s="37">
        <v>1.5218728216536848</v>
      </c>
      <c r="AL409" s="45" t="s">
        <v>84</v>
      </c>
    </row>
    <row r="410" spans="1:39" x14ac:dyDescent="0.25">
      <c r="A410" s="61">
        <v>502</v>
      </c>
      <c r="B410" s="14">
        <f t="shared" si="6"/>
        <v>404</v>
      </c>
      <c r="C410" s="15">
        <v>43981</v>
      </c>
      <c r="D410" s="16">
        <v>0.35513888888888889</v>
      </c>
      <c r="E410" s="36">
        <v>20.059999999999999</v>
      </c>
      <c r="F410" s="36">
        <v>0.89</v>
      </c>
      <c r="G410" s="36">
        <v>0.32</v>
      </c>
      <c r="H410" s="56" cm="1">
        <f t="array" ref="H410:I410">LINEST(E401:E410,D401:D410)</f>
        <v>16.363636363636374</v>
      </c>
      <c r="I410" s="56">
        <v>14.263909090909088</v>
      </c>
      <c r="J410" s="56" cm="1">
        <f t="array" ref="J410:K410">LINEST(E396:E410,D396:D410)</f>
        <v>23.117142857142813</v>
      </c>
      <c r="K410" s="56">
        <v>11.89762023809525</v>
      </c>
      <c r="L410" s="56" cm="1">
        <f t="array" ref="L410:M410">LINEST(E391:E410,D391:D410)</f>
        <v>-13.209022556390986</v>
      </c>
      <c r="M410" s="56">
        <v>24.542751879699253</v>
      </c>
      <c r="N410" s="56" cm="1">
        <f t="array" ref="N410:O410">LINEST(E386:E410,D386:D410)</f>
        <v>-13.812923076923058</v>
      </c>
      <c r="O410" s="56">
        <v>24.753290769230766</v>
      </c>
      <c r="P410" s="56" cm="1">
        <f t="array" ref="P410:Q410">LINEST(E381:E410,D381:D410)</f>
        <v>-9.2230478309232335</v>
      </c>
      <c r="Q410" s="56">
        <v>23.17838769002595</v>
      </c>
      <c r="R410" s="56" cm="1">
        <f t="array" ref="R410:S410">LINEST(F401:F410,D401:D410)</f>
        <v>52.145454545454385</v>
      </c>
      <c r="S410" s="56">
        <v>-17.907969696969641</v>
      </c>
      <c r="T410" s="56" cm="1">
        <f t="array" ref="T410:U410">LINEST(F396:F410,D396:D410)</f>
        <v>80.434285714285608</v>
      </c>
      <c r="U410" s="56">
        <v>-27.77134285714282</v>
      </c>
      <c r="V410" s="56" cm="1">
        <f t="array" ref="V410:W410">LINEST(F391:F410,D391:D410)</f>
        <v>-11.151879699248116</v>
      </c>
      <c r="W410" s="56">
        <v>4.0853233082706764</v>
      </c>
      <c r="X410" s="56" cm="1">
        <f t="array" ref="X410:Y410">LINEST(F386:F410,D386:D410)</f>
        <v>-23.261538461538464</v>
      </c>
      <c r="Y410" s="56">
        <v>8.266184615384617</v>
      </c>
      <c r="Z410" s="56" cm="1">
        <f t="array" ref="Z410:AA410">LINEST(F381:F410,D381:D410)</f>
        <v>-14.071635150166836</v>
      </c>
      <c r="AA410" s="56">
        <v>5.1176644419725568</v>
      </c>
      <c r="AB410" s="37" cm="1">
        <f t="array" ref="AB410:AC410">LINEST(G401:G410,D401:D410)</f>
        <v>1.3527272727272537</v>
      </c>
      <c r="AC410" s="37">
        <v>-0.2089515151515085</v>
      </c>
      <c r="AD410" s="37" cm="1">
        <f t="array" ref="AD410:AE410">LINEST(G396:G410,D396:D410)</f>
        <v>-7.4057142857142813</v>
      </c>
      <c r="AE410" s="37">
        <v>2.8553904761904745</v>
      </c>
      <c r="AF410" s="37" cm="1">
        <f t="array" ref="AF410:AG410">LINEST(G391:G410,D391:D410)</f>
        <v>-17.778045112781953</v>
      </c>
      <c r="AG410" s="37">
        <v>6.4681037593984971</v>
      </c>
      <c r="AH410" s="37" cm="1">
        <f t="array" ref="AH410:AI410">LINEST(G386:G410,D386:D410)</f>
        <v>-11.531076923076915</v>
      </c>
      <c r="AI410" s="37">
        <v>4.3105492307692286</v>
      </c>
      <c r="AJ410" s="37" cm="1">
        <f t="array" ref="AJ410:AK410">LINEST(G381:G410,D381:D410)</f>
        <v>-4.2399110122358037</v>
      </c>
      <c r="AK410" s="37">
        <v>1.808036855765661</v>
      </c>
      <c r="AL410" s="46"/>
    </row>
    <row r="411" spans="1:39" x14ac:dyDescent="0.25">
      <c r="A411" s="61">
        <v>502</v>
      </c>
      <c r="B411" s="14">
        <f t="shared" si="6"/>
        <v>405</v>
      </c>
      <c r="C411" s="15">
        <v>43981</v>
      </c>
      <c r="D411" s="16">
        <v>0.35652777777777778</v>
      </c>
      <c r="E411" s="36">
        <v>20.07</v>
      </c>
      <c r="F411" s="36">
        <v>0.2</v>
      </c>
      <c r="G411" s="36">
        <v>0.31</v>
      </c>
      <c r="H411" s="56" cm="1">
        <f t="array" ref="H411:I411">LINEST(E402:E411,D402:D411)</f>
        <v>8.0290909090909146</v>
      </c>
      <c r="I411" s="56">
        <v>17.19558787878788</v>
      </c>
      <c r="J411" s="56" cm="1">
        <f t="array" ref="J411:K411">LINEST(E397:E411,D397:D411)</f>
        <v>22.937142857142824</v>
      </c>
      <c r="K411" s="56">
        <v>11.951938095238109</v>
      </c>
      <c r="L411" s="56" cm="1">
        <f t="array" ref="L411:M411">LINEST(E392:E411,D392:D411)</f>
        <v>-8.6183458646616469</v>
      </c>
      <c r="M411" s="56">
        <v>22.968965413533834</v>
      </c>
      <c r="N411" s="56" cm="1">
        <f t="array" ref="N411:O411">LINEST(E387:E411,D387:D411)</f>
        <v>-12.699692307692301</v>
      </c>
      <c r="O411" s="56">
        <v>24.387331538461535</v>
      </c>
      <c r="P411" s="56" cm="1">
        <f t="array" ref="P411:Q411">LINEST(E382:E411,D382:D411)</f>
        <v>-9.1045161290322483</v>
      </c>
      <c r="Q411" s="56">
        <v>23.149324731182791</v>
      </c>
      <c r="R411" s="56" cm="1">
        <f t="array" ref="R411:S411">LINEST(F402:F411,D402:D411)</f>
        <v>40.407272727272691</v>
      </c>
      <c r="S411" s="56">
        <v>-13.859769696969684</v>
      </c>
      <c r="T411" s="56" cm="1">
        <f t="array" ref="T411:U411">LINEST(F397:F411,D397:D411)</f>
        <v>52.714285714285637</v>
      </c>
      <c r="U411" s="56">
        <v>-18.156273809523782</v>
      </c>
      <c r="V411" s="56" cm="1">
        <f t="array" ref="V411:W411">LINEST(F392:F411,D392:D411)</f>
        <v>3.5458646616541718</v>
      </c>
      <c r="W411" s="56">
        <v>-1.0169135338345989</v>
      </c>
      <c r="X411" s="56" cm="1">
        <f t="array" ref="X411:Y411">LINEST(F387:F411,D387:D411)</f>
        <v>-15.707076923076915</v>
      </c>
      <c r="Y411" s="56">
        <v>5.6742246153846141</v>
      </c>
      <c r="Z411" s="56" cm="1">
        <f t="array" ref="Z411:AA411">LINEST(F382:F411,D382:D411)</f>
        <v>-13.695216907675185</v>
      </c>
      <c r="AA411" s="56">
        <v>4.9949187986651795</v>
      </c>
      <c r="AB411" s="37" cm="1">
        <f t="array" ref="AB411:AC411">LINEST(G402:G411,D402:D411)</f>
        <v>4.4945454545454346</v>
      </c>
      <c r="AC411" s="37">
        <v>-1.3093393939393869</v>
      </c>
      <c r="AD411" s="37" cm="1">
        <f t="array" ref="AD411:AE411">LINEST(G397:G411,D397:D411)</f>
        <v>-2.8028571428571456</v>
      </c>
      <c r="AE411" s="37">
        <v>1.2560464285714295</v>
      </c>
      <c r="AF411" s="37" cm="1">
        <f t="array" ref="AF411:AG411">LINEST(G392:G411,D392:D411)</f>
        <v>-16.078195488721807</v>
      </c>
      <c r="AG411" s="37">
        <v>5.8941804511278209</v>
      </c>
      <c r="AH411" s="37" cm="1">
        <f t="array" ref="AH411:AI411">LINEST(G387:G411,D387:D411)</f>
        <v>-11.87446153846153</v>
      </c>
      <c r="AI411" s="37">
        <v>4.4376676923076905</v>
      </c>
      <c r="AJ411" s="37" cm="1">
        <f t="array" ref="AJ411:AK411">LINEST(G382:G411,D382:D411)</f>
        <v>-4.9863403781979851</v>
      </c>
      <c r="AK411" s="37">
        <v>2.0650161661104889</v>
      </c>
      <c r="AL411" s="46"/>
    </row>
    <row r="412" spans="1:39" x14ac:dyDescent="0.25">
      <c r="A412" s="61">
        <v>502</v>
      </c>
      <c r="B412" s="14">
        <f t="shared" si="6"/>
        <v>406</v>
      </c>
      <c r="C412" s="15">
        <v>43981</v>
      </c>
      <c r="D412" s="16">
        <v>0.35791666666666666</v>
      </c>
      <c r="E412" s="36">
        <v>20.059999999999999</v>
      </c>
      <c r="F412" s="36">
        <v>-0.09</v>
      </c>
      <c r="G412" s="36">
        <v>0.28000000000000003</v>
      </c>
      <c r="H412" s="56" cm="1">
        <f t="array" ref="H412:I412">LINEST(E403:E412,D403:D412)</f>
        <v>8.7272727272727373</v>
      </c>
      <c r="I412" s="56">
        <v>16.946909090909084</v>
      </c>
      <c r="J412" s="56" cm="1">
        <f t="array" ref="J412:K412">LINEST(E398:E412,D398:D412)</f>
        <v>19.182857142857113</v>
      </c>
      <c r="K412" s="56">
        <v>13.258635714285722</v>
      </c>
      <c r="L412" s="56" cm="1">
        <f t="array" ref="L412:M412">LINEST(E393:E412,D393:D412)</f>
        <v>-3.3293233082706868</v>
      </c>
      <c r="M412" s="56">
        <v>21.139191729323311</v>
      </c>
      <c r="N412" s="56" cm="1">
        <f t="array" ref="N412:O412">LINEST(E388:E412,D388:D412)</f>
        <v>-11.486769230769234</v>
      </c>
      <c r="O412" s="56">
        <v>23.983459999999997</v>
      </c>
      <c r="P412" s="56" cm="1">
        <f t="array" ref="P412:Q412">LINEST(E383:E412,D383:D412)</f>
        <v>-9.0628698553948777</v>
      </c>
      <c r="Q412" s="56">
        <v>23.145902706711158</v>
      </c>
      <c r="R412" s="56" cm="1">
        <f t="array" ref="R412:S412">LINEST(F403:F412,D403:D412)</f>
        <v>16.494545454545495</v>
      </c>
      <c r="S412" s="56">
        <v>-5.5265818181818327</v>
      </c>
      <c r="T412" s="56" cm="1">
        <f t="array" ref="T412:U412">LINEST(F398:F412,D398:D412)</f>
        <v>15.402857142857146</v>
      </c>
      <c r="U412" s="56">
        <v>-5.1438559523809548</v>
      </c>
      <c r="V412" s="56" cm="1">
        <f t="array" ref="V412:W412">LINEST(F393:F412,D393:D412)</f>
        <v>11.693233082706803</v>
      </c>
      <c r="W412" s="56">
        <v>-3.8939172932330952</v>
      </c>
      <c r="X412" s="56" cm="1">
        <f t="array" ref="X412:Y412">LINEST(F388:F412,D388:D412)</f>
        <v>-19.949538461538477</v>
      </c>
      <c r="Y412" s="56">
        <v>7.134580000000005</v>
      </c>
      <c r="Z412" s="56" cm="1">
        <f t="array" ref="Z412:AA412">LINEST(F383:F412,D383:D412)</f>
        <v>-19.778776418242483</v>
      </c>
      <c r="AA412" s="56">
        <v>7.0788311457174622</v>
      </c>
      <c r="AB412" s="37" cm="1">
        <f t="array" ref="AB412:AC412">LINEST(G403:G412,D403:D412)</f>
        <v>5.3236363636363624</v>
      </c>
      <c r="AC412" s="37">
        <v>-1.6061454545454541</v>
      </c>
      <c r="AD412" s="37" cm="1">
        <f t="array" ref="AD412:AE412">LINEST(G398:G412,D398:D412)</f>
        <v>-1.3114285714285765</v>
      </c>
      <c r="AE412" s="37">
        <v>0.73529880952381133</v>
      </c>
      <c r="AF412" s="37" cm="1">
        <f t="array" ref="AF412:AG412">LINEST(G393:G412,D393:D412)</f>
        <v>-13.907368421052631</v>
      </c>
      <c r="AG412" s="37">
        <v>5.1496789473684217</v>
      </c>
      <c r="AH412" s="37" cm="1">
        <f t="array" ref="AH412:AI412">LINEST(G388:G412,D388:D412)</f>
        <v>-12.483692307692307</v>
      </c>
      <c r="AI412" s="37">
        <v>4.6560599999999992</v>
      </c>
      <c r="AJ412" s="37" cm="1">
        <f t="array" ref="AJ412:AK412">LINEST(G383:G412,D383:D412)</f>
        <v>-6.1204004449388076</v>
      </c>
      <c r="AK412" s="37">
        <v>2.4556685947348864</v>
      </c>
      <c r="AL412" s="46"/>
    </row>
    <row r="413" spans="1:39" x14ac:dyDescent="0.25">
      <c r="A413" s="61">
        <v>502</v>
      </c>
      <c r="B413" s="14">
        <f t="shared" si="6"/>
        <v>407</v>
      </c>
      <c r="C413" s="15">
        <v>43981</v>
      </c>
      <c r="D413" s="16">
        <v>0.35930555555555554</v>
      </c>
      <c r="E413" s="36">
        <v>20.05</v>
      </c>
      <c r="F413" s="36">
        <v>-0.54</v>
      </c>
      <c r="G413" s="36">
        <v>0.22</v>
      </c>
      <c r="H413" s="56" cm="1">
        <f t="array" ref="H413:I413">LINEST(E404:E413,D404:D413)</f>
        <v>7.8545454545454838</v>
      </c>
      <c r="I413" s="56">
        <v>17.250909090909083</v>
      </c>
      <c r="J413" s="56" cm="1">
        <f t="array" ref="J413:K413">LINEST(E399:E413,D399:D413)</f>
        <v>14.245714285714314</v>
      </c>
      <c r="K413" s="56">
        <v>14.987935714285706</v>
      </c>
      <c r="L413" s="56" cm="1">
        <f t="array" ref="L413:M413">LINEST(E394:E413,D394:D413)</f>
        <v>2.4848120300751741</v>
      </c>
      <c r="M413" s="56">
        <v>19.111478947368425</v>
      </c>
      <c r="N413" s="56" cm="1">
        <f t="array" ref="N413:O413">LINEST(E389:E413,D389:D413)</f>
        <v>-10.019076923076916</v>
      </c>
      <c r="O413" s="56">
        <v>23.487325384615385</v>
      </c>
      <c r="P413" s="56" cm="1">
        <f t="array" ref="P413:Q413">LINEST(E384:E413,D384:D413)</f>
        <v>-9.0484538375973163</v>
      </c>
      <c r="Q413" s="56">
        <v>23.15126725991842</v>
      </c>
      <c r="R413" s="56" cm="1">
        <f t="array" ref="R413:S413">LINEST(F404:F413,D404:D413)</f>
        <v>-23.345454545454633</v>
      </c>
      <c r="S413" s="56">
        <v>8.4512424242424551</v>
      </c>
      <c r="T413" s="56" cm="1">
        <f t="array" ref="T413:U413">LINEST(F399:F413,D399:D413)</f>
        <v>-0.51428571428567726</v>
      </c>
      <c r="U413" s="56">
        <v>0.35578571428570144</v>
      </c>
      <c r="V413" s="56" cm="1">
        <f t="array" ref="V413:W413">LINEST(F394:F413,D394:D413)</f>
        <v>12.721804511278227</v>
      </c>
      <c r="W413" s="56">
        <v>-4.3351578947368541</v>
      </c>
      <c r="X413" s="56" cm="1">
        <f t="array" ref="X413:Y413">LINEST(F389:F413,D389:D413)</f>
        <v>-21.00738461538462</v>
      </c>
      <c r="Y413" s="56">
        <v>7.463946923076926</v>
      </c>
      <c r="Z413" s="56" cm="1">
        <f t="array" ref="Z413:AA413">LINEST(F384:F413,D384:D413)</f>
        <v>-26.310834260289198</v>
      </c>
      <c r="AA413" s="56">
        <v>9.3050912866147542</v>
      </c>
      <c r="AB413" s="37" cm="1">
        <f t="array" ref="AB413:AC413">LINEST(G404:G413,D404:D413)</f>
        <v>3.2290909090909219</v>
      </c>
      <c r="AC413" s="37">
        <v>-0.8780484848484893</v>
      </c>
      <c r="AD413" s="37" cm="1">
        <f t="array" ref="AD413:AE413">LINEST(G399:G413,D399:D413)</f>
        <v>-1.1057142857142899</v>
      </c>
      <c r="AE413" s="37">
        <v>0.65720595238095392</v>
      </c>
      <c r="AF413" s="37" cm="1">
        <f t="array" ref="AF413:AG413">LINEST(G394:G413,D394:D413)</f>
        <v>-11.839398496240603</v>
      </c>
      <c r="AG413" s="37">
        <v>4.4312473684210536</v>
      </c>
      <c r="AH413" s="37" cm="1">
        <f t="array" ref="AH413:AI413">LINEST(G389:G413,D389:D413)</f>
        <v>-13.120615384615387</v>
      </c>
      <c r="AI413" s="37">
        <v>4.8816330769230785</v>
      </c>
      <c r="AJ413" s="37" cm="1">
        <f t="array" ref="AJ413:AK413">LINEST(G384:G413,D384:D413)</f>
        <v>-7.6885428253615027</v>
      </c>
      <c r="AK413" s="37">
        <v>2.9956974416017763</v>
      </c>
      <c r="AL413" s="46"/>
    </row>
    <row r="414" spans="1:39" x14ac:dyDescent="0.25">
      <c r="A414" s="61">
        <v>502</v>
      </c>
      <c r="B414" s="14">
        <f t="shared" si="6"/>
        <v>408</v>
      </c>
      <c r="C414" s="15">
        <v>43981</v>
      </c>
      <c r="D414" s="16">
        <v>0.36069444444444443</v>
      </c>
      <c r="E414" s="36">
        <v>20.05</v>
      </c>
      <c r="F414" s="36">
        <v>0.16</v>
      </c>
      <c r="G414" s="36">
        <v>0.21</v>
      </c>
      <c r="H414" s="56" cm="1">
        <f t="array" ref="H414:I414">LINEST(E405:E414,D405:D414)</f>
        <v>6.7636363636364534</v>
      </c>
      <c r="I414" s="56">
        <v>17.633666666666638</v>
      </c>
      <c r="J414" s="56" cm="1">
        <f t="array" ref="J414:K414">LINEST(E400:E414,D400:D414)</f>
        <v>13.705714285714363</v>
      </c>
      <c r="K414" s="56">
        <v>15.169674999999977</v>
      </c>
      <c r="L414" s="56" cm="1">
        <f t="array" ref="L414:M414">LINEST(E395:E414,D395:D414)</f>
        <v>9.3004511278195316</v>
      </c>
      <c r="M414" s="56">
        <v>16.717093233082711</v>
      </c>
      <c r="N414" s="56" cm="1">
        <f t="array" ref="N414:O414">LINEST(E390:E414,D390:D414)</f>
        <v>-8.063999999999993</v>
      </c>
      <c r="O414" s="56">
        <v>22.817439999999998</v>
      </c>
      <c r="P414" s="56" cm="1">
        <f t="array" ref="P414:Q414">LINEST(E385:E414,D385:D414)</f>
        <v>-8.8626473859844257</v>
      </c>
      <c r="Q414" s="56">
        <v>23.097223804226914</v>
      </c>
      <c r="R414" s="56" cm="1">
        <f t="array" ref="R414:S414">LINEST(F405:F414,D405:D414)</f>
        <v>-30.021818181818279</v>
      </c>
      <c r="S414" s="56">
        <v>10.855066666666703</v>
      </c>
      <c r="T414" s="56" cm="1">
        <f t="array" ref="T414:U414">LINEST(F400:F414,D400:D414)</f>
        <v>-2.1599999999999677</v>
      </c>
      <c r="U414" s="56">
        <v>0.93743333333332202</v>
      </c>
      <c r="V414" s="56" cm="1">
        <f t="array" ref="V414:W414">LINEST(F395:F414,D395:D414)</f>
        <v>28.356090225563928</v>
      </c>
      <c r="W414" s="56">
        <v>-9.8457413533834668</v>
      </c>
      <c r="X414" s="56" cm="1">
        <f t="array" ref="X414:Y414">LINEST(F390:F414,D390:D414)</f>
        <v>-13.547076923076926</v>
      </c>
      <c r="Y414" s="56">
        <v>4.8769707692307716</v>
      </c>
      <c r="Z414" s="56" cm="1">
        <f t="array" ref="Z414:AA414">LINEST(F385:F414,D385:D414)</f>
        <v>-24.266963292547288</v>
      </c>
      <c r="AA414" s="56">
        <v>8.6175824990730501</v>
      </c>
      <c r="AB414" s="37" cm="1">
        <f t="array" ref="AB414:AC414">LINEST(G405:G414,D405:D414)</f>
        <v>0.61090909090909407</v>
      </c>
      <c r="AC414" s="37">
        <v>4.1466666666665569E-2</v>
      </c>
      <c r="AD414" s="37" cm="1">
        <f t="array" ref="AD414:AE414">LINEST(G400:G414,D400:D414)</f>
        <v>-1.1828571428571459</v>
      </c>
      <c r="AE414" s="37">
        <v>0.67848333333333444</v>
      </c>
      <c r="AF414" s="37" cm="1">
        <f t="array" ref="AF414:AG414">LINEST(G395:G414,D395:D414)</f>
        <v>-8.715789473684211</v>
      </c>
      <c r="AG414" s="37">
        <v>3.3367368421052634</v>
      </c>
      <c r="AH414" s="37" cm="1">
        <f t="array" ref="AH414:AI414">LINEST(G390:G414,D390:D414)</f>
        <v>-13.181538461538462</v>
      </c>
      <c r="AI414" s="37">
        <v>4.9076153846153856</v>
      </c>
      <c r="AJ414" s="37" cm="1">
        <f t="array" ref="AJ414:AK414">LINEST(G385:G414,D385:D414)</f>
        <v>-9.0020022246941025</v>
      </c>
      <c r="AK414" s="37">
        <v>3.4510152020763813</v>
      </c>
      <c r="AL414" s="46"/>
    </row>
    <row r="415" spans="1:39" x14ac:dyDescent="0.25">
      <c r="A415" s="61">
        <v>502</v>
      </c>
      <c r="B415" s="14">
        <f t="shared" si="6"/>
        <v>409</v>
      </c>
      <c r="C415" s="15">
        <v>43981</v>
      </c>
      <c r="D415" s="16">
        <v>0.36208333333333331</v>
      </c>
      <c r="E415" s="36">
        <v>20.059999999999999</v>
      </c>
      <c r="F415" s="36">
        <v>0.37</v>
      </c>
      <c r="G415" s="36">
        <v>0.22</v>
      </c>
      <c r="H415" s="56" cm="1">
        <f t="array" ref="H415:I415">LINEST(E406:E415,D406:D415)</f>
        <v>5.4545454545455199</v>
      </c>
      <c r="I415" s="56">
        <v>18.098090909090889</v>
      </c>
      <c r="J415" s="56" cm="1">
        <f t="array" ref="J415:K415">LINEST(E401:E415,D401:D415)</f>
        <v>10.208571428571458</v>
      </c>
      <c r="K415" s="56">
        <v>16.404229761904752</v>
      </c>
      <c r="L415" s="56" cm="1">
        <f t="array" ref="L415:M415">LINEST(E396:E415,D396:D415)</f>
        <v>16.819849624060144</v>
      </c>
      <c r="M415" s="56">
        <v>14.058241353383458</v>
      </c>
      <c r="N415" s="56" cm="1">
        <f t="array" ref="N415:O415">LINEST(E391:E415,D391:D415)</f>
        <v>-5.8873846153846294</v>
      </c>
      <c r="O415" s="56">
        <v>22.066000769230776</v>
      </c>
      <c r="P415" s="56" cm="1">
        <f t="array" ref="P415:Q415">LINEST(E386:E415,D386:D415)</f>
        <v>-8.3997330367074472</v>
      </c>
      <c r="Q415" s="56">
        <v>22.946908713385238</v>
      </c>
      <c r="R415" s="56" cm="1">
        <f t="array" ref="R415:S415">LINEST(F406:F415,D406:D415)</f>
        <v>-36.087272727272854</v>
      </c>
      <c r="S415" s="56">
        <v>13.096054545454592</v>
      </c>
      <c r="T415" s="56" cm="1">
        <f t="array" ref="T415:U415">LINEST(F401:F415,D401:D415)</f>
        <v>-0.15428571428568835</v>
      </c>
      <c r="U415" s="56">
        <v>0.25103095238094331</v>
      </c>
      <c r="V415" s="56" cm="1">
        <f t="array" ref="V415:W415">LINEST(F396:F415,D396:D415)</f>
        <v>34.830676691729359</v>
      </c>
      <c r="W415" s="56">
        <v>-12.138036090225578</v>
      </c>
      <c r="X415" s="56" cm="1">
        <f t="array" ref="X415:Y415">LINEST(F391:F415,D391:D415)</f>
        <v>-12.356307692307695</v>
      </c>
      <c r="Y415" s="56">
        <v>4.4896746153846152</v>
      </c>
      <c r="Z415" s="56" cm="1">
        <f t="array" ref="Z415:AA415">LINEST(F386:F415,D386:D415)</f>
        <v>-20.730233592880985</v>
      </c>
      <c r="AA415" s="56">
        <v>7.4192548757879155</v>
      </c>
      <c r="AB415" s="37" cm="1">
        <f t="array" ref="AB415:AC415">LINEST(G406:G415,D406:D415)</f>
        <v>-2.2254545454545527</v>
      </c>
      <c r="AC415" s="37">
        <v>1.0488909090909115</v>
      </c>
      <c r="AD415" s="37" cm="1">
        <f t="array" ref="AD415:AE415">LINEST(G401:G415,D401:D415)</f>
        <v>-1.2085714285714311</v>
      </c>
      <c r="AE415" s="37">
        <v>0.68385357142857228</v>
      </c>
      <c r="AF415" s="37" cm="1">
        <f t="array" ref="AF415:AG415">LINEST(G396:G415,D396:D415)</f>
        <v>-5.3918796992481228</v>
      </c>
      <c r="AG415" s="37">
        <v>2.1661669172932343</v>
      </c>
      <c r="AH415" s="37" cm="1">
        <f t="array" ref="AH415:AI415">LINEST(G391:G415,D391:D415)</f>
        <v>-13.137230769230779</v>
      </c>
      <c r="AI415" s="37">
        <v>4.8986184615384651</v>
      </c>
      <c r="AJ415" s="37" cm="1">
        <f t="array" ref="AJ415:AK415">LINEST(G386:G415,D386:D415)</f>
        <v>-9.94545050055617</v>
      </c>
      <c r="AK415" s="37">
        <v>3.7817915461624021</v>
      </c>
      <c r="AL415" s="46"/>
    </row>
    <row r="416" spans="1:39" x14ac:dyDescent="0.25">
      <c r="A416" s="61">
        <v>502</v>
      </c>
      <c r="B416" s="14">
        <f t="shared" si="6"/>
        <v>410</v>
      </c>
      <c r="C416" s="15">
        <v>43981</v>
      </c>
      <c r="D416" s="16">
        <v>0.3634722222222222</v>
      </c>
      <c r="E416" s="36">
        <v>20.059999999999999</v>
      </c>
      <c r="F416" s="36">
        <v>0</v>
      </c>
      <c r="G416" s="36">
        <v>0.21</v>
      </c>
      <c r="H416" s="56" cm="1">
        <f t="array" ref="H416:I416">LINEST(E407:E416,D407:D416)</f>
        <v>3.9272727272726882</v>
      </c>
      <c r="I416" s="56">
        <v>18.643090909090926</v>
      </c>
      <c r="J416" s="56" cm="1">
        <f t="array" ref="J416:K416">LINEST(E402:E416,D402:D416)</f>
        <v>5.4771428571428462</v>
      </c>
      <c r="K416" s="56">
        <v>18.086460714285717</v>
      </c>
      <c r="L416" s="56" cm="1">
        <f t="array" ref="L416:M416">LINEST(E397:E416,D397:D416)</f>
        <v>15.73172932330827</v>
      </c>
      <c r="M416" s="56">
        <v>14.433524812030077</v>
      </c>
      <c r="N416" s="56" cm="1">
        <f t="array" ref="N416:O416">LINEST(E392:E416,D392:D416)</f>
        <v>-3.1292307692307832</v>
      </c>
      <c r="O416" s="56">
        <v>21.104434615384623</v>
      </c>
      <c r="P416" s="56" cm="1">
        <f t="array" ref="P416:Q416">LINEST(E387:E416,D387:D416)</f>
        <v>-7.6468965517241534</v>
      </c>
      <c r="Q416" s="56">
        <v>22.694101149425286</v>
      </c>
      <c r="R416" s="56" cm="1">
        <f t="array" ref="R416:S416">LINEST(F407:F416,D407:D416)</f>
        <v>-36.261818181818278</v>
      </c>
      <c r="S416" s="56">
        <v>13.162527272727306</v>
      </c>
      <c r="T416" s="56" cm="1">
        <f t="array" ref="T416:U416">LINEST(F402:F416,D402:D416)</f>
        <v>-5.4771428571428409</v>
      </c>
      <c r="U416" s="56">
        <v>2.1268726190476133</v>
      </c>
      <c r="V416" s="56" cm="1">
        <f t="array" ref="V416:W416">LINEST(F397:F416,D397:D416)</f>
        <v>17.474887218045133</v>
      </c>
      <c r="W416" s="56">
        <v>-6.0320646616541422</v>
      </c>
      <c r="X416" s="56" cm="1">
        <f t="array" ref="X416:Y416">LINEST(F392:F416,D392:D416)</f>
        <v>-3.6886153846153635</v>
      </c>
      <c r="Y416" s="56">
        <v>1.4356323076923008</v>
      </c>
      <c r="Z416" s="56" cm="1">
        <f t="array" ref="Z416:AA416">LINEST(F387:F416,D387:D416)</f>
        <v>-15.864026696329269</v>
      </c>
      <c r="AA416" s="56">
        <v>5.7233158324063824</v>
      </c>
      <c r="AB416" s="37" cm="1">
        <f t="array" ref="AB416:AC416">LINEST(G407:G416,D407:D416)</f>
        <v>-4.8872727272727436</v>
      </c>
      <c r="AC416" s="37">
        <v>1.99984242424243</v>
      </c>
      <c r="AD416" s="37" cm="1">
        <f t="array" ref="AD416:AE416">LINEST(G402:G416,D402:D416)</f>
        <v>-1.4142857142857168</v>
      </c>
      <c r="AE416" s="37">
        <v>0.752970238095239</v>
      </c>
      <c r="AF416" s="37" cm="1">
        <f t="array" ref="AF416:AG416">LINEST(G397:G416,D397:D416)</f>
        <v>-3.6054135338345907</v>
      </c>
      <c r="AG416" s="37">
        <v>1.5328962406015054</v>
      </c>
      <c r="AH416" s="37" cm="1">
        <f t="array" ref="AH416:AI416">LINEST(G392:G416,D392:D416)</f>
        <v>-12.345230769230787</v>
      </c>
      <c r="AI416" s="37">
        <v>4.6261946153846223</v>
      </c>
      <c r="AJ416" s="37" cm="1">
        <f t="array" ref="AJ416:AK416">LINEST(G387:G416,D387:D416)</f>
        <v>-10.397152391546165</v>
      </c>
      <c r="AK416" s="37">
        <v>3.9426889877641838</v>
      </c>
    </row>
    <row r="417" spans="1:37" x14ac:dyDescent="0.25">
      <c r="A417" s="61">
        <v>502</v>
      </c>
      <c r="B417" s="14">
        <f t="shared" si="6"/>
        <v>411</v>
      </c>
      <c r="C417" s="15">
        <v>43981</v>
      </c>
      <c r="D417" s="16">
        <v>0.36486111111111108</v>
      </c>
      <c r="E417" s="36">
        <v>20.059999999999999</v>
      </c>
      <c r="F417" s="36">
        <v>-0.15</v>
      </c>
      <c r="G417" s="36">
        <v>0.18</v>
      </c>
      <c r="H417" s="56" cm="1">
        <f t="array" ref="H417:I417">LINEST(E408:E417,D408:D417)</f>
        <v>1.7890909090907605</v>
      </c>
      <c r="I417" s="56">
        <v>19.411412121212177</v>
      </c>
      <c r="J417" s="56" cm="1">
        <f t="array" ref="J417:K417">LINEST(E403:E417,D403:D417)</f>
        <v>5.2199999999999909</v>
      </c>
      <c r="K417" s="56">
        <v>18.175508333333337</v>
      </c>
      <c r="L417" s="56" cm="1">
        <f t="array" ref="L417:M417">LINEST(E398:E417,D398:D417)</f>
        <v>12.900451127819538</v>
      </c>
      <c r="M417" s="56">
        <v>15.430841353383464</v>
      </c>
      <c r="N417" s="56" cm="1">
        <f t="array" ref="N417:O417">LINEST(E393:E417,D393:D417)</f>
        <v>9.9692307692286541E-2</v>
      </c>
      <c r="O417" s="56">
        <v>19.969687692307701</v>
      </c>
      <c r="P417" s="56" cm="1">
        <f t="array" ref="P417:Q417">LINEST(E388:E417,D388:D417)</f>
        <v>-6.7867408231368316</v>
      </c>
      <c r="Q417" s="56">
        <v>22.401873711531326</v>
      </c>
      <c r="R417" s="56" cm="1">
        <f t="array" ref="R417:S417">LINEST(F408:F417,D408:D417)</f>
        <v>-69.512727272727517</v>
      </c>
      <c r="S417" s="56">
        <v>25.141036363636452</v>
      </c>
      <c r="T417" s="56" cm="1">
        <f t="array" ref="T417:U417">LINEST(F403:F417,D403:D417)</f>
        <v>-13.21714285714287</v>
      </c>
      <c r="U417" s="56">
        <v>4.8659214285714336</v>
      </c>
      <c r="V417" s="56" cm="1">
        <f t="array" ref="V417:W417">LINEST(F398:F417,D398:D417)</f>
        <v>-3.0478195488721647</v>
      </c>
      <c r="W417" s="56">
        <v>1.2283165413533783</v>
      </c>
      <c r="X417" s="56" cm="1">
        <f t="array" ref="X417:Y417">LINEST(F393:F417,D393:D417)</f>
        <v>1.6449230769230965</v>
      </c>
      <c r="Y417" s="56">
        <v>-0.46955307692308368</v>
      </c>
      <c r="Z417" s="56" cm="1">
        <f t="array" ref="Z417:AA417">LINEST(F388:F417,D388:D417)</f>
        <v>-18.524582869855408</v>
      </c>
      <c r="AA417" s="56">
        <v>6.6528353726362663</v>
      </c>
      <c r="AB417" s="37" cm="1">
        <f t="array" ref="AB417:AC417">LINEST(G408:G417,D408:D417)</f>
        <v>-9.9054545454545799</v>
      </c>
      <c r="AC417" s="37">
        <v>3.8032060606060729</v>
      </c>
      <c r="AD417" s="37" cm="1">
        <f t="array" ref="AD417:AE417">LINEST(G403:G417,D403:D417)</f>
        <v>-2.365714285714291</v>
      </c>
      <c r="AE417" s="37">
        <v>1.0868238095238114</v>
      </c>
      <c r="AF417" s="37" cm="1">
        <f t="array" ref="AF417:AG417">LINEST(G398:G417,D398:D417)</f>
        <v>-3.5079699248120351</v>
      </c>
      <c r="AG417" s="37">
        <v>1.4946360902255658</v>
      </c>
      <c r="AH417" s="37" cm="1">
        <f t="array" ref="AH417:AI417">LINEST(G393:G417,D393:D417)</f>
        <v>-11.243076923076936</v>
      </c>
      <c r="AI417" s="37">
        <v>4.2407769230769281</v>
      </c>
      <c r="AJ417" s="37" cm="1">
        <f t="array" ref="AJ417:AK417">LINEST(G388:G417,D388:D417)</f>
        <v>-11.010634037819806</v>
      </c>
      <c r="AK417" s="37">
        <v>4.1602769002595492</v>
      </c>
    </row>
    <row r="418" spans="1:37" x14ac:dyDescent="0.25">
      <c r="A418" s="61">
        <v>502</v>
      </c>
      <c r="B418" s="14">
        <f t="shared" si="6"/>
        <v>412</v>
      </c>
      <c r="C418" s="15">
        <v>43981</v>
      </c>
      <c r="D418" s="16">
        <v>0.36624999999999996</v>
      </c>
      <c r="E418" s="36">
        <v>20.079999999999998</v>
      </c>
      <c r="F418" s="36">
        <v>0.71</v>
      </c>
      <c r="G418" s="36">
        <v>0.22</v>
      </c>
      <c r="H418" s="56" cm="1">
        <f t="array" ref="H418:I418">LINEST(E409:E418,D409:D418)</f>
        <v>1.7454545454544057</v>
      </c>
      <c r="I418" s="56">
        <v>19.429636363636412</v>
      </c>
      <c r="J418" s="56" cm="1">
        <f t="array" ref="J418:K418">LINEST(E404:E418,D404:D418)</f>
        <v>4.9114285714285248</v>
      </c>
      <c r="K418" s="56">
        <v>18.285605952380969</v>
      </c>
      <c r="L418" s="56" cm="1">
        <f t="array" ref="L418:M418">LINEST(E399:E418,D399:D418)</f>
        <v>9.8796992481202945</v>
      </c>
      <c r="M418" s="56">
        <v>16.503417293233085</v>
      </c>
      <c r="N418" s="56" cm="1">
        <f t="array" ref="N418:O418">LINEST(E394:E418,D394:D418)</f>
        <v>3.8104615384615026</v>
      </c>
      <c r="O418" s="56">
        <v>18.657526153846167</v>
      </c>
      <c r="P418" s="56" cm="1">
        <f t="array" ref="P418:Q418">LINEST(E389:E418,D389:D418)</f>
        <v>-5.6238487208009076</v>
      </c>
      <c r="Q418" s="56">
        <v>22.002143196143862</v>
      </c>
      <c r="R418" s="56" cm="1">
        <f t="array" ref="R418:S418">LINEST(F409:F418,D409:D418)</f>
        <v>-3.0981818181818186</v>
      </c>
      <c r="S418" s="56">
        <v>1.2803454545454549</v>
      </c>
      <c r="T418" s="56" cm="1">
        <f t="array" ref="T418:U418">LINEST(F404:F418,D404:D418)</f>
        <v>-4.8085714285714474</v>
      </c>
      <c r="U418" s="56">
        <v>1.9263892857142926</v>
      </c>
      <c r="V418" s="56" cm="1">
        <f t="array" ref="V418:W418">LINEST(F399:F418,D399:D418)</f>
        <v>2.1166917293233221</v>
      </c>
      <c r="W418" s="56">
        <v>-0.56080977443609514</v>
      </c>
      <c r="X418" s="56" cm="1">
        <f t="array" ref="X418:Y418">LINEST(F394:F418,D394:D418)</f>
        <v>10.982769230769261</v>
      </c>
      <c r="Y418" s="56">
        <v>-3.7413930769230883</v>
      </c>
      <c r="Z418" s="56" cm="1">
        <f t="array" ref="Z418:AA418">LINEST(F389:F418,D389:D418)</f>
        <v>-12.926362625139063</v>
      </c>
      <c r="AA418" s="56">
        <v>4.7319577308120202</v>
      </c>
      <c r="AB418" s="37" cm="1">
        <f t="array" ref="AB418:AC418">LINEST(G409:G418,D409:D418)</f>
        <v>-9.2509090909091256</v>
      </c>
      <c r="AC418" s="37">
        <v>3.5743272727272859</v>
      </c>
      <c r="AD418" s="37" cm="1">
        <f t="array" ref="AD418:AE418">LINEST(G404:G418,D404:D418)</f>
        <v>-2.5714285714285809</v>
      </c>
      <c r="AE418" s="37">
        <v>1.1607857142857179</v>
      </c>
      <c r="AF418" s="37" cm="1">
        <f t="array" ref="AF418:AG418">LINEST(G399:G418,D399:D418)</f>
        <v>-3.031578947368426</v>
      </c>
      <c r="AG418" s="37">
        <v>1.325315789473686</v>
      </c>
      <c r="AH418" s="37" cm="1">
        <f t="array" ref="AH418:AI418">LINEST(G394:G418,D394:D418)</f>
        <v>-9.5427692307692435</v>
      </c>
      <c r="AI418" s="37">
        <v>3.6443930769230821</v>
      </c>
      <c r="AJ418" s="37" cm="1">
        <f t="array" ref="AJ418:AK418">LINEST(G389:G418,D389:D418)</f>
        <v>-11.159599555061185</v>
      </c>
      <c r="AK418" s="37">
        <v>4.2187947348906212</v>
      </c>
    </row>
    <row r="419" spans="1:37" x14ac:dyDescent="0.25">
      <c r="A419" s="61">
        <v>502</v>
      </c>
      <c r="B419" s="14">
        <f t="shared" si="6"/>
        <v>413</v>
      </c>
      <c r="C419" s="15">
        <v>43981</v>
      </c>
      <c r="D419" s="16">
        <v>0.3676388888888889</v>
      </c>
      <c r="E419" s="36">
        <v>20.11</v>
      </c>
      <c r="F419" s="36">
        <v>0.81</v>
      </c>
      <c r="G419" s="36">
        <v>0.27</v>
      </c>
      <c r="H419" s="56" cm="1">
        <f t="array" ref="H419:I419">LINEST(E410:E419,D410:D419)</f>
        <v>2.4436363636363092</v>
      </c>
      <c r="I419" s="56">
        <v>19.182896969696991</v>
      </c>
      <c r="J419" s="56" cm="1">
        <f t="array" ref="J419:K419">LINEST(E405:E419,D405:D419)</f>
        <v>5.065714285714253</v>
      </c>
      <c r="K419" s="56">
        <v>18.232229761904776</v>
      </c>
      <c r="L419" s="56" cm="1">
        <f t="array" ref="L419:M419">LINEST(E400:E419,D400:D419)</f>
        <v>9.7172932330827066</v>
      </c>
      <c r="M419" s="56">
        <v>16.559259398496245</v>
      </c>
      <c r="N419" s="56" cm="1">
        <f t="array" ref="N419:O419">LINEST(E395:E419,D395:D419)</f>
        <v>8.2855384615384366</v>
      </c>
      <c r="O419" s="56">
        <v>17.066006153846164</v>
      </c>
      <c r="P419" s="56" cm="1">
        <f t="array" ref="P419:Q419">LINEST(E390:E419,D390:D419)</f>
        <v>-4.0092547274749961</v>
      </c>
      <c r="Q419" s="56">
        <v>21.441549351130895</v>
      </c>
      <c r="R419" s="56" cm="1">
        <f t="array" ref="R419:S419">LINEST(F410:F419,D410:D419)</f>
        <v>19.112727272727451</v>
      </c>
      <c r="S419" s="56">
        <v>-6.671127272727337</v>
      </c>
      <c r="T419" s="56" cm="1">
        <f t="array" ref="T419:U419">LINEST(F405:F419,D405:D419)</f>
        <v>3.8571428571429189</v>
      </c>
      <c r="U419" s="56">
        <v>-1.1218690476190702</v>
      </c>
      <c r="V419" s="56" cm="1">
        <f t="array" ref="V419:W419">LINEST(F400:F419,D400:D419)</f>
        <v>7.6601503759398861</v>
      </c>
      <c r="W419" s="56">
        <v>-2.4935977443609154</v>
      </c>
      <c r="X419" s="56" cm="1">
        <f t="array" ref="X419:Y419">LINEST(F395:F419,D395:D419)</f>
        <v>24.80123076923082</v>
      </c>
      <c r="Y419" s="56">
        <v>-8.6285430769230942</v>
      </c>
      <c r="Z419" s="56" cm="1">
        <f t="array" ref="Z419:AA419">LINEST(F390:F419,D390:D419)</f>
        <v>-4.6916129032258</v>
      </c>
      <c r="AA419" s="56">
        <v>1.8686688172042991</v>
      </c>
      <c r="AB419" s="37" cm="1">
        <f t="array" ref="AB419:AC419">LINEST(G410:G419,D410:D419)</f>
        <v>-6.9818181818181655</v>
      </c>
      <c r="AC419" s="37">
        <v>2.7671515151515091</v>
      </c>
      <c r="AD419" s="37" cm="1">
        <f t="array" ref="AD419:AE419">LINEST(G405:G419,D405:D419)</f>
        <v>-1.9800000000000006</v>
      </c>
      <c r="AE419" s="37">
        <v>0.95400833333333379</v>
      </c>
      <c r="AF419" s="37" cm="1">
        <f t="array" ref="AF419:AG419">LINEST(G400:G419,D400:D419)</f>
        <v>-2.1383458646616536</v>
      </c>
      <c r="AG419" s="37">
        <v>1.0104248120300752</v>
      </c>
      <c r="AH419" s="37" cm="1">
        <f t="array" ref="AH419:AI419">LINEST(G395:G419,D395:D419)</f>
        <v>-6.8344615384615421</v>
      </c>
      <c r="AI419" s="37">
        <v>2.6891061538461551</v>
      </c>
      <c r="AJ419" s="37" cm="1">
        <f t="array" ref="AJ419:AK419">LINEST(G390:G419,D390:D419)</f>
        <v>-10.648631813125704</v>
      </c>
      <c r="AK419" s="37">
        <v>4.0477328883945161</v>
      </c>
    </row>
    <row r="420" spans="1:37" x14ac:dyDescent="0.25">
      <c r="A420" s="61">
        <v>502</v>
      </c>
      <c r="B420" s="14">
        <f t="shared" si="6"/>
        <v>414</v>
      </c>
      <c r="C420" s="15">
        <v>43981</v>
      </c>
      <c r="D420" s="16">
        <v>0.36902777777777779</v>
      </c>
      <c r="E420" s="36">
        <v>20.11</v>
      </c>
      <c r="F420" s="36">
        <v>0.16</v>
      </c>
      <c r="G420" s="36">
        <v>0.26</v>
      </c>
      <c r="H420" s="56" cm="1">
        <f t="array" ref="H420:I420">LINEST(E411:E420,D411:D420)</f>
        <v>3.8836363636362838</v>
      </c>
      <c r="I420" s="56">
        <v>18.662103030303065</v>
      </c>
      <c r="J420" s="56" cm="1">
        <f t="array" ref="J420:K420">LINEST(E406:E420,D406:D420)</f>
        <v>4.8857142857142648</v>
      </c>
      <c r="K420" s="56">
        <v>18.298535714285727</v>
      </c>
      <c r="L420" s="56" cm="1">
        <f t="array" ref="L420:M420">LINEST(E401:E420,D401:D420)</f>
        <v>7.8171428571428443</v>
      </c>
      <c r="M420" s="56">
        <v>17.240400000000008</v>
      </c>
      <c r="N420" s="56" cm="1">
        <f t="array" ref="N420:O420">LINEST(E396:E420,D396:D420)</f>
        <v>13.04861538461536</v>
      </c>
      <c r="O420" s="56">
        <v>15.360175384615392</v>
      </c>
      <c r="P420" s="56" cm="1">
        <f t="array" ref="P420:Q420">LINEST(E391:E420,D391:D420)</f>
        <v>-2.3241824249166045</v>
      </c>
      <c r="Q420" s="56">
        <v>20.851881423804237</v>
      </c>
      <c r="R420" s="56" cm="1">
        <f t="array" ref="R420:S420">LINEST(F411:F420,D411:D420)</f>
        <v>47.520000000000024</v>
      </c>
      <c r="S420" s="56">
        <v>-17.076200000000007</v>
      </c>
      <c r="T420" s="56" cm="1">
        <f t="array" ref="T420:U420">LINEST(F406:F420,D406:D420)</f>
        <v>-4.0628571428570899</v>
      </c>
      <c r="U420" s="56">
        <v>1.731807142857124</v>
      </c>
      <c r="V420" s="56" cm="1">
        <f t="array" ref="V420:W420">LINEST(F401:F420,D401:D420)</f>
        <v>5.7600000000000291</v>
      </c>
      <c r="W420" s="56">
        <v>-1.8256000000000105</v>
      </c>
      <c r="X420" s="56" cm="1">
        <f t="array" ref="X420:Y420">LINEST(F396:F420,D396:D420)</f>
        <v>26.612307692307727</v>
      </c>
      <c r="Y420" s="56">
        <v>-9.3047423076923188</v>
      </c>
      <c r="Z420" s="56" cm="1">
        <f t="array" ref="Z420:AA420">LINEST(F391:F420,D391:D420)</f>
        <v>-5.0472080088987754</v>
      </c>
      <c r="AA420" s="56">
        <v>1.9965814608824617</v>
      </c>
      <c r="AB420" s="37" cm="1">
        <f t="array" ref="AB420:AC420">LINEST(G411:G420,D411:D420)</f>
        <v>-2.7054545454545149</v>
      </c>
      <c r="AC420" s="37">
        <v>1.2194787878787767</v>
      </c>
      <c r="AD420" s="37" cm="1">
        <f t="array" ref="AD420:AE420">LINEST(G406:G420,D406:D420)</f>
        <v>-2.0314285714285667</v>
      </c>
      <c r="AE420" s="37">
        <v>0.97723690476190328</v>
      </c>
      <c r="AF420" s="37" cm="1">
        <f t="array" ref="AF420:AG420">LINEST(G401:G420,D401:D420)</f>
        <v>-1.5212030075187963</v>
      </c>
      <c r="AG420" s="37">
        <v>0.791794736842105</v>
      </c>
      <c r="AH420" s="37" cm="1">
        <f t="array" ref="AH420:AI420">LINEST(G396:G420,D396:D420)</f>
        <v>-4.2313846153846155</v>
      </c>
      <c r="AI420" s="37">
        <v>1.7645753846153847</v>
      </c>
      <c r="AJ420" s="37" cm="1">
        <f t="array" ref="AJ420:AK420">LINEST(G391:G420,D391:D420)</f>
        <v>-10.196929922135714</v>
      </c>
      <c r="AK420" s="37">
        <v>3.8962622172784607</v>
      </c>
    </row>
    <row r="421" spans="1:37" x14ac:dyDescent="0.25">
      <c r="A421" s="61">
        <v>502</v>
      </c>
      <c r="B421" s="14">
        <f t="shared" si="6"/>
        <v>415</v>
      </c>
      <c r="C421" s="15">
        <v>43981</v>
      </c>
      <c r="D421" s="16">
        <v>0.37041666666666667</v>
      </c>
      <c r="E421" s="36">
        <v>20.13</v>
      </c>
      <c r="F421" s="36">
        <v>0.4</v>
      </c>
      <c r="G421" s="36">
        <v>0.27</v>
      </c>
      <c r="H421" s="56" cm="1">
        <f t="array" ref="H421:I421">LINEST(E412:E421,D412:D421)</f>
        <v>6.1527272727272093</v>
      </c>
      <c r="I421" s="56">
        <v>17.836381818181845</v>
      </c>
      <c r="J421" s="56" cm="1">
        <f t="array" ref="J421:K421">LINEST(E407:E421,D407:D421)</f>
        <v>4.9371428571428053</v>
      </c>
      <c r="K421" s="56">
        <v>18.282533333333355</v>
      </c>
      <c r="L421" s="56" cm="1">
        <f t="array" ref="L421:M421">LINEST(E402:E421,D402:D421)</f>
        <v>5.4947368421052332</v>
      </c>
      <c r="M421" s="56">
        <v>18.079657894736854</v>
      </c>
      <c r="N421" s="56" cm="1">
        <f t="array" ref="N421:O421">LINEST(E397:E421,D397:D421)</f>
        <v>12.406153846153826</v>
      </c>
      <c r="O421" s="56">
        <v>15.586123076923087</v>
      </c>
      <c r="P421" s="56" cm="1">
        <f t="array" ref="P421:Q421">LINEST(E392:E421,D392:D421)</f>
        <v>-0.1777975528365083</v>
      </c>
      <c r="Q421" s="56">
        <v>20.094611865035237</v>
      </c>
      <c r="R421" s="56" cm="1">
        <f t="array" ref="R421:S421">LINEST(F412:F421,D412:D421)</f>
        <v>58.603636363636269</v>
      </c>
      <c r="S421" s="56">
        <v>-21.158490909090872</v>
      </c>
      <c r="T421" s="56" cm="1">
        <f t="array" ref="T421:U421">LINEST(F407:F421,D407:D421)</f>
        <v>2.1085714285714956</v>
      </c>
      <c r="U421" s="56">
        <v>-0.49255000000002425</v>
      </c>
      <c r="V421" s="56" cm="1">
        <f t="array" ref="V421:W421">LINEST(F402:F421,D402:D421)</f>
        <v>6.2742857142857451</v>
      </c>
      <c r="W421" s="56">
        <v>-2.0028142857142965</v>
      </c>
      <c r="X421" s="56" cm="1">
        <f t="array" ref="X421:Y421">LINEST(F397:F421,D397:D421)</f>
        <v>17.468307692307711</v>
      </c>
      <c r="Y421" s="56">
        <v>-6.0310138461538534</v>
      </c>
      <c r="Z421" s="56" cm="1">
        <f t="array" ref="Z421:AA421">LINEST(F392:F421,D392:D421)</f>
        <v>2.6397330367074723</v>
      </c>
      <c r="AA421" s="56">
        <v>-0.72997315535781193</v>
      </c>
      <c r="AB421" s="37" cm="1">
        <f t="array" ref="AB421:AC421">LINEST(G412:G421,D412:D421)</f>
        <v>2.0072727272727477</v>
      </c>
      <c r="AC421" s="37">
        <v>-0.49698181818182563</v>
      </c>
      <c r="AD421" s="37" cm="1">
        <f t="array" ref="AD421:AE421">LINEST(G407:G421,D407:D421)</f>
        <v>-1.7742857142857056</v>
      </c>
      <c r="AE421" s="37">
        <v>0.88930833333333037</v>
      </c>
      <c r="AF421" s="37" cm="1">
        <f t="array" ref="AF421:AG421">LINEST(G402:G421,D402:D421)</f>
        <v>-0.87157894736841923</v>
      </c>
      <c r="AG421" s="37">
        <v>0.56084736842105198</v>
      </c>
      <c r="AH421" s="37" cm="1">
        <f t="array" ref="AH421:AI421">LINEST(G397:G421,D397:D421)</f>
        <v>-2.5532307692307685</v>
      </c>
      <c r="AI421" s="37">
        <v>1.1672053846153843</v>
      </c>
      <c r="AJ421" s="37" cm="1">
        <f t="array" ref="AJ421:AK421">LINEST(G392:G421,D392:D421)</f>
        <v>-9.168587319243608</v>
      </c>
      <c r="AK421" s="37">
        <v>3.5388857248794974</v>
      </c>
    </row>
    <row r="422" spans="1:37" x14ac:dyDescent="0.25">
      <c r="A422" s="61">
        <v>502</v>
      </c>
      <c r="B422" s="14">
        <f t="shared" si="6"/>
        <v>416</v>
      </c>
      <c r="C422" s="15">
        <v>43981</v>
      </c>
      <c r="D422" s="16">
        <v>0.37180555555555556</v>
      </c>
      <c r="E422" s="36">
        <v>20.12</v>
      </c>
      <c r="F422" s="36">
        <v>-0.26</v>
      </c>
      <c r="G422" s="36">
        <v>0.23</v>
      </c>
      <c r="H422" s="56" cm="1">
        <f t="array" ref="H422:I422">LINEST(E413:E422,D413:D422)</f>
        <v>7.0254545454545188</v>
      </c>
      <c r="I422" s="56">
        <v>17.51480606060607</v>
      </c>
      <c r="J422" s="56" cm="1">
        <f t="array" ref="J422:K422">LINEST(E408:E422,D408:D422)</f>
        <v>4.4485714285713822</v>
      </c>
      <c r="K422" s="56">
        <v>18.461246428571449</v>
      </c>
      <c r="L422" s="56" cm="1">
        <f t="array" ref="L422:M422">LINEST(E403:E422,D403:D422)</f>
        <v>5.5813533834586417</v>
      </c>
      <c r="M422" s="56">
        <v>18.047964661654138</v>
      </c>
      <c r="N422" s="56" cm="1">
        <f t="array" ref="N422:O422">LINEST(E398:E422,D398:D422)</f>
        <v>10.600615384615374</v>
      </c>
      <c r="O422" s="56">
        <v>16.231309230769234</v>
      </c>
      <c r="P422" s="56" cm="1">
        <f t="array" ref="P422:Q422">LINEST(E393:E422,D393:D422)</f>
        <v>2.2040489432702817</v>
      </c>
      <c r="Q422" s="56">
        <v>19.246909454949954</v>
      </c>
      <c r="R422" s="56" cm="1">
        <f t="array" ref="R422:S422">LINEST(F413:F422,D413:D422)</f>
        <v>28.101818181818114</v>
      </c>
      <c r="S422" s="56">
        <v>-10.106775757575733</v>
      </c>
      <c r="T422" s="56" cm="1">
        <f t="array" ref="T422:U422">LINEST(F408:F422,D408:D422)</f>
        <v>-16.817142857142809</v>
      </c>
      <c r="U422" s="56">
        <v>6.3525404761904598</v>
      </c>
      <c r="V422" s="56" cm="1">
        <f t="array" ref="V422:W422">LINEST(F403:F422,D403:D422)</f>
        <v>-0.3139849624060001</v>
      </c>
      <c r="W422" s="56">
        <v>0.33259849624059623</v>
      </c>
      <c r="X422" s="56" cm="1">
        <f t="array" ref="X422:Y422">LINEST(F398:F422,D398:D422)</f>
        <v>2.8855384615384745</v>
      </c>
      <c r="Y422" s="56">
        <v>-0.82676692307692801</v>
      </c>
      <c r="Z422" s="56" cm="1">
        <f t="array" ref="Z422:AA422">LINEST(F393:F422,D393:D422)</f>
        <v>5.4204226918798817</v>
      </c>
      <c r="AA422" s="56">
        <v>-1.7595153133110917</v>
      </c>
      <c r="AB422" s="37" cm="1">
        <f t="array" ref="AB422:AC422">LINEST(G413:G422,D413:D422)</f>
        <v>4.0581818181818266</v>
      </c>
      <c r="AC422" s="37">
        <v>-1.2544909090909122</v>
      </c>
      <c r="AD422" s="37" cm="1">
        <f t="array" ref="AD422:AE422">LINEST(G408:G422,D408:D422)</f>
        <v>-2.9314285714285599</v>
      </c>
      <c r="AE422" s="37">
        <v>1.3120880952380913</v>
      </c>
      <c r="AF422" s="37" cm="1">
        <f t="array" ref="AF422:AG422">LINEST(G403:G422,D403:D422)</f>
        <v>-0.83909774436089923</v>
      </c>
      <c r="AG422" s="37">
        <v>0.54840977443608918</v>
      </c>
      <c r="AH422" s="37" cm="1">
        <f t="array" ref="AH422:AI422">LINEST(G398:G422,D398:D422)</f>
        <v>-2.0880000000000001</v>
      </c>
      <c r="AI422" s="37">
        <v>1.0003300000000002</v>
      </c>
      <c r="AJ422" s="37" cm="1">
        <f t="array" ref="AJ422:AK422">LINEST(G393:G422,D393:D422)</f>
        <v>-8.0185094549499443</v>
      </c>
      <c r="AK422" s="37">
        <v>3.1331758249907309</v>
      </c>
    </row>
    <row r="423" spans="1:37" x14ac:dyDescent="0.25">
      <c r="A423" s="61">
        <v>502</v>
      </c>
      <c r="B423" s="14">
        <f t="shared" si="6"/>
        <v>417</v>
      </c>
      <c r="C423" s="15">
        <v>43981</v>
      </c>
      <c r="D423" s="16">
        <v>0.37319444444444444</v>
      </c>
      <c r="E423" s="36">
        <v>20.13</v>
      </c>
      <c r="F423" s="36">
        <v>0.36</v>
      </c>
      <c r="G423" s="36">
        <v>0.24</v>
      </c>
      <c r="H423" s="56" cm="1">
        <f t="array" ref="H423:I423">LINEST(E414:E423,D414:D423)</f>
        <v>7.2872727272727378</v>
      </c>
      <c r="I423" s="56">
        <v>17.416975757575756</v>
      </c>
      <c r="J423" s="56" cm="1">
        <f t="array" ref="J423:K423">LINEST(E409:E423,D409:D423)</f>
        <v>4.6285714285713988</v>
      </c>
      <c r="K423" s="56">
        <v>18.396309523809535</v>
      </c>
      <c r="L423" s="56" cm="1">
        <f t="array" ref="L423:M423">LINEST(E404:E423,D404:D423)</f>
        <v>5.5055639097744198</v>
      </c>
      <c r="M423" s="56">
        <v>18.075496992481209</v>
      </c>
      <c r="N423" s="56" cm="1">
        <f t="array" ref="N423:O423">LINEST(E399:E423,D399:D423)</f>
        <v>8.6399999999999917</v>
      </c>
      <c r="O423" s="56">
        <v>16.936800000000005</v>
      </c>
      <c r="P423" s="56" cm="1">
        <f t="array" ref="P423:Q423">LINEST(E394:E423,D394:D423)</f>
        <v>4.8309677419354591</v>
      </c>
      <c r="Q423" s="56">
        <v>18.305733333333336</v>
      </c>
      <c r="R423" s="56" cm="1">
        <f t="array" ref="R423:S423">LINEST(F414:F423,D414:D423)</f>
        <v>1.8327272727273236</v>
      </c>
      <c r="S423" s="56">
        <v>-0.41650909090910959</v>
      </c>
      <c r="T423" s="56" cm="1">
        <f t="array" ref="T423:U423">LINEST(F409:F423,D409:D423)</f>
        <v>3.9857142857143124</v>
      </c>
      <c r="U423" s="56">
        <v>-1.2406964285714386</v>
      </c>
      <c r="V423" s="56" cm="1">
        <f t="array" ref="V423:W423">LINEST(F404:F423,D404:D423)</f>
        <v>-0.12451127819547306</v>
      </c>
      <c r="W423" s="56">
        <v>0.27732406015037037</v>
      </c>
      <c r="X423" s="56" cm="1">
        <f t="array" ref="X423:Y423">LINEST(F399:F423,D399:D423)</f>
        <v>3.328615384615397</v>
      </c>
      <c r="Y423" s="56">
        <v>-0.97874384615385057</v>
      </c>
      <c r="Z423" s="56" cm="1">
        <f t="array" ref="Z423:AA423">LINEST(F394:F423,D394:D423)</f>
        <v>9.8541490545050205</v>
      </c>
      <c r="AA423" s="56">
        <v>-3.3483954022988569</v>
      </c>
      <c r="AB423" s="37" cm="1">
        <f t="array" ref="AB423:AC423">LINEST(G414:G423,D414:D423)</f>
        <v>4.0581818181818257</v>
      </c>
      <c r="AC423" s="37">
        <v>-1.2581272727272754</v>
      </c>
      <c r="AD423" s="37" cm="1">
        <f t="array" ref="AD423:AE423">LINEST(G409:G423,D409:D423)</f>
        <v>-2.314285714285703</v>
      </c>
      <c r="AE423" s="37">
        <v>1.088511904761901</v>
      </c>
      <c r="AF423" s="37" cm="1">
        <f t="array" ref="AF423:AG423">LINEST(G404:G423,D404:D423)</f>
        <v>-0.77413533834586212</v>
      </c>
      <c r="AG423" s="37">
        <v>0.52518872180451048</v>
      </c>
      <c r="AH423" s="37" cm="1">
        <f t="array" ref="AH423:AI423">LINEST(G399:G423,D399:D423)</f>
        <v>-1.6283076923076913</v>
      </c>
      <c r="AI423" s="37">
        <v>0.83533692307692275</v>
      </c>
      <c r="AJ423" s="37" cm="1">
        <f t="array" ref="AJ423:AK423">LINEST(G394:G423,D394:D423)</f>
        <v>-6.6377753058954383</v>
      </c>
      <c r="AK423" s="37">
        <v>2.6428367816091956</v>
      </c>
    </row>
    <row r="424" spans="1:37" x14ac:dyDescent="0.25">
      <c r="A424" s="61">
        <v>502</v>
      </c>
      <c r="B424" s="14">
        <f t="shared" si="6"/>
        <v>418</v>
      </c>
      <c r="C424" s="15">
        <v>43981</v>
      </c>
      <c r="D424" s="16">
        <v>0.37458333333333332</v>
      </c>
      <c r="E424" s="36">
        <v>20.16</v>
      </c>
      <c r="F424" s="36">
        <v>0.89</v>
      </c>
      <c r="G424" s="36">
        <v>0.28999999999999998</v>
      </c>
      <c r="H424" s="56" cm="1">
        <f t="array" ref="H424:I424">LINEST(E415:E424,D415:D424)</f>
        <v>8.0290909090910194</v>
      </c>
      <c r="I424" s="56">
        <v>17.144618181818139</v>
      </c>
      <c r="J424" s="56" cm="1">
        <f t="array" ref="J424:K424">LINEST(E410:E424,D410:D424)</f>
        <v>5.091428571428585</v>
      </c>
      <c r="K424" s="56">
        <v>18.229669047619048</v>
      </c>
      <c r="L424" s="56" cm="1">
        <f t="array" ref="L424:M424">LINEST(E405:E424,D405:D424)</f>
        <v>5.6787969924811996</v>
      </c>
      <c r="M424" s="56">
        <v>18.014245864661657</v>
      </c>
      <c r="N424" s="56" cm="1">
        <f t="array" ref="N424:O424">LINEST(E400:E424,D400:D424)</f>
        <v>8.5292307692307823</v>
      </c>
      <c r="O424" s="56">
        <v>16.976046153846152</v>
      </c>
      <c r="P424" s="56" cm="1">
        <f t="array" ref="P424:Q424">LINEST(E395:E424,D395:D424)</f>
        <v>7.9480311457174411</v>
      </c>
      <c r="Q424" s="56">
        <v>17.182864516129037</v>
      </c>
      <c r="R424" s="56" cm="1">
        <f t="array" ref="R424:S424">LINEST(F415:F424,D415:D424)</f>
        <v>22.123636363636308</v>
      </c>
      <c r="S424" s="56">
        <v>-7.8198727272727071</v>
      </c>
      <c r="T424" s="56" cm="1">
        <f t="array" ref="T424:U424">LINEST(F410:F424,D410:D424)</f>
        <v>14.040000000000022</v>
      </c>
      <c r="U424" s="56">
        <v>-4.8619833333333418</v>
      </c>
      <c r="V424" s="56" cm="1">
        <f t="array" ref="V424:W424">LINEST(F405:F424,D405:D424)</f>
        <v>5.2457142857143104</v>
      </c>
      <c r="W424" s="56">
        <v>-1.6242428571428664</v>
      </c>
      <c r="X424" s="56" cm="1">
        <f t="array" ref="X424:Y424">LINEST(F400:F424,D400:D424)</f>
        <v>7.1556923076923225</v>
      </c>
      <c r="Y424" s="56">
        <v>-2.3219415384615441</v>
      </c>
      <c r="Z424" s="56" cm="1">
        <f t="array" ref="Z424:AA424">LINEST(F395:F424,D395:D424)</f>
        <v>19.4856507230256</v>
      </c>
      <c r="AA424" s="56">
        <v>-6.7915806451612957</v>
      </c>
      <c r="AB424" s="37" cm="1">
        <f t="array" ref="AB424:AC424">LINEST(G415:G424,D415:D424)</f>
        <v>5.367272727272729</v>
      </c>
      <c r="AC424" s="37">
        <v>-1.7379454545454551</v>
      </c>
      <c r="AD424" s="37" cm="1">
        <f t="array" ref="AD424:AE424">LINEST(G410:G424,D410:D424)</f>
        <v>-1.0799999999999883</v>
      </c>
      <c r="AE424" s="37">
        <v>0.64271666666666238</v>
      </c>
      <c r="AF424" s="37" cm="1">
        <f t="array" ref="AF424:AG424">LINEST(G405:G424,D405:D424)</f>
        <v>-0.28691729323307918</v>
      </c>
      <c r="AG424" s="37">
        <v>0.35218872180451011</v>
      </c>
      <c r="AH424" s="37" cm="1">
        <f t="array" ref="AH424:AI424">LINEST(G400:G424,D400:D424)</f>
        <v>-0.92492307692307651</v>
      </c>
      <c r="AI424" s="37">
        <v>0.58464538461538451</v>
      </c>
      <c r="AJ424" s="37" cm="1">
        <f t="array" ref="AJ424:AK424">LINEST(G395:G424,D395:D424)</f>
        <v>-4.592302558398222</v>
      </c>
      <c r="AK424" s="37">
        <v>1.9127161290322587</v>
      </c>
    </row>
    <row r="425" spans="1:37" x14ac:dyDescent="0.25">
      <c r="A425" s="61">
        <v>502</v>
      </c>
      <c r="B425" s="14">
        <f t="shared" si="6"/>
        <v>419</v>
      </c>
      <c r="C425" s="15">
        <v>43981</v>
      </c>
      <c r="D425" s="16">
        <v>0.37597222222222221</v>
      </c>
      <c r="E425" s="36">
        <v>20.170000000000002</v>
      </c>
      <c r="F425" s="36">
        <v>0.32</v>
      </c>
      <c r="G425" s="36">
        <v>0.28999999999999998</v>
      </c>
      <c r="H425" s="56" cm="1">
        <f t="array" ref="H425:I425">LINEST(E416:E425,D416:D425)</f>
        <v>8.6836363636365501</v>
      </c>
      <c r="I425" s="56">
        <v>16.902466666666598</v>
      </c>
      <c r="J425" s="56" cm="1">
        <f t="array" ref="J425:K425">LINEST(E411:E425,D411:D425)</f>
        <v>6.0171428571428942</v>
      </c>
      <c r="K425" s="56">
        <v>17.890888095238086</v>
      </c>
      <c r="L425" s="56" cm="1">
        <f t="array" ref="L425:M425">LINEST(E406:E425,D406:D425)</f>
        <v>5.76000000000003</v>
      </c>
      <c r="M425" s="56">
        <v>17.986399999999993</v>
      </c>
      <c r="N425" s="56" cm="1">
        <f t="array" ref="N425:O425">LINEST(E401:E425,D401:D425)</f>
        <v>7.3883076923077065</v>
      </c>
      <c r="O425" s="56">
        <v>17.39134</v>
      </c>
      <c r="P425" s="56" cm="1">
        <f t="array" ref="P425:Q425">LINEST(E396:E425,D396:D425)</f>
        <v>11.270122358175751</v>
      </c>
      <c r="Q425" s="56">
        <v>15.978381460882463</v>
      </c>
      <c r="R425" s="56" cm="1">
        <f t="array" ref="R425:S425">LINEST(F416:F425,D416:D425)</f>
        <v>23.738181818181811</v>
      </c>
      <c r="S425" s="56">
        <v>-8.4525333333333315</v>
      </c>
      <c r="T425" s="56" cm="1">
        <f t="array" ref="T425:U425">LINEST(F411:F425,D411:D425)</f>
        <v>28.054285714285712</v>
      </c>
      <c r="U425" s="56">
        <v>-10.052215476190476</v>
      </c>
      <c r="V425" s="56" cm="1">
        <f t="array" ref="V425:W425">LINEST(F406:F425,D406:D425)</f>
        <v>2.2033082706767151</v>
      </c>
      <c r="W425" s="56">
        <v>-0.50981127819549721</v>
      </c>
      <c r="X425" s="56" cm="1">
        <f t="array" ref="X425:Y425">LINEST(F401:F425,D401:D425)</f>
        <v>6.7624615384615518</v>
      </c>
      <c r="Y425" s="56">
        <v>-2.1821900000000047</v>
      </c>
      <c r="Z425" s="56" cm="1">
        <f t="array" ref="Z425:AA425">LINEST(F396:F425,D396:D425)</f>
        <v>21.108253615127925</v>
      </c>
      <c r="AA425" s="56">
        <v>-7.3936869113830186</v>
      </c>
      <c r="AB425" s="37" cm="1">
        <f t="array" ref="AB425:AC425">LINEST(G416:G425,D416:D425)</f>
        <v>6.4581818181818171</v>
      </c>
      <c r="AC425" s="37">
        <v>-2.1417333333333328</v>
      </c>
      <c r="AD425" s="37" cm="1">
        <f t="array" ref="AD425:AE425">LINEST(G411:G425,D411:D425)</f>
        <v>1.1314285714285786</v>
      </c>
      <c r="AE425" s="37">
        <v>-0.16771904761905024</v>
      </c>
      <c r="AF425" s="37" cm="1">
        <f t="array" ref="AF425:AG425">LINEST(G406:G425,D406:D425)</f>
        <v>-7.0375939849619998E-2</v>
      </c>
      <c r="AG425" s="37">
        <v>0.27703082706766774</v>
      </c>
      <c r="AH425" s="37" cm="1">
        <f t="array" ref="AH425:AI425">LINEST(G401:G425,D401:D425)</f>
        <v>-0.34892307692307573</v>
      </c>
      <c r="AI425" s="37">
        <v>0.37856999999999952</v>
      </c>
      <c r="AJ425" s="37" cm="1">
        <f t="array" ref="AJ425:AK425">LINEST(G396:G425,D396:D425)</f>
        <v>-2.60769744160178</v>
      </c>
      <c r="AK425" s="37">
        <v>1.1999056729699666</v>
      </c>
    </row>
    <row r="426" spans="1:37" x14ac:dyDescent="0.25">
      <c r="A426" s="61">
        <v>502</v>
      </c>
      <c r="B426" s="14">
        <f t="shared" si="6"/>
        <v>420</v>
      </c>
      <c r="C426" s="15">
        <v>43981</v>
      </c>
      <c r="D426" s="16">
        <v>0.37736111111111109</v>
      </c>
      <c r="E426" s="36">
        <v>19.940000000000001</v>
      </c>
      <c r="F426" s="36">
        <v>0.32</v>
      </c>
      <c r="G426" s="36">
        <v>0.28999999999999998</v>
      </c>
      <c r="H426" s="56" cm="1">
        <f t="array" ref="H426:I426">LINEST(E417:E426,D417:D426)</f>
        <v>-0.65454545454520774</v>
      </c>
      <c r="I426" s="56">
        <v>20.343909090908998</v>
      </c>
      <c r="J426" s="56" cm="1">
        <f t="array" ref="J426:K426">LINEST(E412:E426,D412:D426)</f>
        <v>2.7257142857143704</v>
      </c>
      <c r="K426" s="56">
        <v>19.083921428571404</v>
      </c>
      <c r="L426" s="56" cm="1">
        <f t="array" ref="L426:M426">LINEST(E407:E426,D407:D426)</f>
        <v>3.383458646616571</v>
      </c>
      <c r="M426" s="56">
        <v>18.841357142857134</v>
      </c>
      <c r="N426" s="56" cm="1">
        <f t="array" ref="N426:O426">LINEST(E402:E426,D402:D426)</f>
        <v>4.3366153846154027</v>
      </c>
      <c r="O426" s="56">
        <v>18.490606923076921</v>
      </c>
      <c r="P426" s="56" cm="1">
        <f t="array" ref="P426:Q426">LINEST(E397:E426,D397:D426)</f>
        <v>9.6603337041156916</v>
      </c>
      <c r="Q426" s="56">
        <v>16.545447460140892</v>
      </c>
      <c r="R426" s="56" cm="1">
        <f t="array" ref="R426:S426">LINEST(F417:F426,D417:D426)</f>
        <v>8.0290909090909395</v>
      </c>
      <c r="S426" s="56">
        <v>-2.6236848484848601</v>
      </c>
      <c r="T426" s="56" cm="1">
        <f t="array" ref="T426:U426">LINEST(F412:F426,D412:D426)</f>
        <v>29.339999999999993</v>
      </c>
      <c r="U426" s="56">
        <v>-10.555858333333331</v>
      </c>
      <c r="V426" s="56" cm="1">
        <f t="array" ref="V426:W426">LINEST(F407:F426,D407:D426)</f>
        <v>4.4553383458646962</v>
      </c>
      <c r="W426" s="56">
        <v>-1.339985714285727</v>
      </c>
      <c r="X426" s="56" cm="1">
        <f t="array" ref="X426:Y426">LINEST(F402:F426,D402:D426)</f>
        <v>6.2529230769230963</v>
      </c>
      <c r="Y426" s="56">
        <v>-1.9993946153846227</v>
      </c>
      <c r="Z426" s="56" cm="1">
        <f t="array" ref="Z426:AA426">LINEST(F397:F426,D397:D426)</f>
        <v>14.018776418242496</v>
      </c>
      <c r="AA426" s="56">
        <v>-4.8298184649610691</v>
      </c>
      <c r="AB426" s="37" cm="1">
        <f t="array" ref="AB426:AC426">LINEST(G417:G426,D417:D426)</f>
        <v>6.458181818181826</v>
      </c>
      <c r="AC426" s="37">
        <v>-2.1427030303030334</v>
      </c>
      <c r="AD426" s="37" cm="1">
        <f t="array" ref="AD426:AE426">LINEST(G412:G426,D412:D426)</f>
        <v>3.2142857142857162</v>
      </c>
      <c r="AE426" s="37">
        <v>-0.93636309523809602</v>
      </c>
      <c r="AF426" s="37" cm="1">
        <f t="array" ref="AF426:AG426">LINEST(G407:G426,D407:D426)</f>
        <v>0.19488721804511758</v>
      </c>
      <c r="AG426" s="37">
        <v>0.18302857142856974</v>
      </c>
      <c r="AH426" s="37" cm="1">
        <f t="array" ref="AH426:AI426">LINEST(G402:G426,D402:D426)</f>
        <v>0.16061538461538591</v>
      </c>
      <c r="AI426" s="37">
        <v>0.19526692307692264</v>
      </c>
      <c r="AJ426" s="37" cm="1">
        <f t="array" ref="AJ426:AK426">LINEST(G397:G426,D397:D426)</f>
        <v>-1.3422914349276975</v>
      </c>
      <c r="AK426" s="37">
        <v>0.74416299592139412</v>
      </c>
    </row>
    <row r="427" spans="1:37" x14ac:dyDescent="0.25">
      <c r="A427" s="61">
        <v>502</v>
      </c>
      <c r="B427" s="14">
        <f t="shared" si="6"/>
        <v>421</v>
      </c>
      <c r="C427" s="15">
        <v>43981</v>
      </c>
      <c r="D427" s="16">
        <v>0.37874999999999998</v>
      </c>
      <c r="E427" s="36">
        <v>19.97</v>
      </c>
      <c r="F427" s="36">
        <v>0.32</v>
      </c>
      <c r="G427" s="36">
        <v>0.3</v>
      </c>
      <c r="H427" s="56" cm="1">
        <f t="array" ref="H427:I427">LINEST(E418:E427,D418:D427)</f>
        <v>-7.7672727272725828</v>
      </c>
      <c r="I427" s="56">
        <v>22.985309090909034</v>
      </c>
      <c r="J427" s="56" cm="1">
        <f t="array" ref="J427:K427">LINEST(E413:E427,D413:D427)</f>
        <v>0.10285714285719759</v>
      </c>
      <c r="K427" s="56">
        <v>20.042042857142832</v>
      </c>
      <c r="L427" s="56" cm="1">
        <f t="array" ref="L427:M427">LINEST(E408:E427,D408:D427)</f>
        <v>1.3696240601503824</v>
      </c>
      <c r="M427" s="56">
        <v>19.571826315789473</v>
      </c>
      <c r="N427" s="56" cm="1">
        <f t="array" ref="N427:O427">LINEST(E403:E427,D403:D427)</f>
        <v>3.2344615384615536</v>
      </c>
      <c r="O427" s="56">
        <v>18.883255384615381</v>
      </c>
      <c r="P427" s="56" cm="1">
        <f t="array" ref="P427:Q427">LINEST(E398:E427,D398:D427)</f>
        <v>7.5203559510567359</v>
      </c>
      <c r="Q427" s="56">
        <v>17.312116796440492</v>
      </c>
      <c r="R427" s="56" cm="1">
        <f t="array" ref="R427:S427">LINEST(F418:F427,D418:D427)</f>
        <v>-17.672727272727368</v>
      </c>
      <c r="S427" s="56">
        <v>6.9860909090909438</v>
      </c>
      <c r="T427" s="56" cm="1">
        <f t="array" ref="T427:U427">LINEST(F413:F427,D413:D427)</f>
        <v>24.351428571428578</v>
      </c>
      <c r="U427" s="56">
        <v>-8.7283535714285758</v>
      </c>
      <c r="V427" s="56" cm="1">
        <f t="array" ref="V427:W427">LINEST(F408:F427,D408:D427)</f>
        <v>-0.5305263157894492</v>
      </c>
      <c r="W427" s="56">
        <v>0.50193684210525435</v>
      </c>
      <c r="X427" s="56" cm="1">
        <f t="array" ref="X427:Y427">LINEST(F403:F427,D403:D427)</f>
        <v>5.6270769230769391</v>
      </c>
      <c r="Y427" s="56">
        <v>-1.7730707692307752</v>
      </c>
      <c r="Z427" s="56" cm="1">
        <f t="array" ref="Z427:AA427">LINEST(F398:F427,D398:D427)</f>
        <v>6.3462513904338262</v>
      </c>
      <c r="AA427" s="56">
        <v>-2.0371695958472422</v>
      </c>
      <c r="AB427" s="37" cm="1">
        <f t="array" ref="AB427:AC427">LINEST(G418:G427,D418:D427)</f>
        <v>4.7127272727272818</v>
      </c>
      <c r="AC427" s="37">
        <v>-1.4894909090909125</v>
      </c>
      <c r="AD427" s="37" cm="1">
        <f t="array" ref="AD427:AE427">LINEST(G413:G427,D413:D427)</f>
        <v>4.9114285714285746</v>
      </c>
      <c r="AE427" s="37">
        <v>-1.5657869047619064</v>
      </c>
      <c r="AF427" s="37" cm="1">
        <f t="array" ref="AF427:AG427">LINEST(G408:G427,D408:D427)</f>
        <v>0.16781954887218409</v>
      </c>
      <c r="AG427" s="37">
        <v>0.19715263157894611</v>
      </c>
      <c r="AH427" s="37" cm="1">
        <f t="array" ref="AH427:AI427">LINEST(G403:G427,D403:D427)</f>
        <v>0.59261538461538643</v>
      </c>
      <c r="AI427" s="37">
        <v>3.9823846153845516E-2</v>
      </c>
      <c r="AJ427" s="37" cm="1">
        <f t="array" ref="AJ427:AK427">LINEST(G398:G427,D398:D427)</f>
        <v>-0.70478309232480529</v>
      </c>
      <c r="AK427" s="37">
        <v>0.51540971449758999</v>
      </c>
    </row>
    <row r="428" spans="1:37" x14ac:dyDescent="0.25">
      <c r="A428" s="61">
        <v>502</v>
      </c>
      <c r="B428" s="14">
        <f t="shared" si="6"/>
        <v>422</v>
      </c>
      <c r="C428" s="15">
        <v>43981</v>
      </c>
      <c r="D428" s="16">
        <v>0.38013888888888886</v>
      </c>
      <c r="E428" s="36">
        <v>19.989999999999998</v>
      </c>
      <c r="F428" s="36">
        <v>0.32</v>
      </c>
      <c r="G428" s="36">
        <v>0.3</v>
      </c>
      <c r="H428" s="56" cm="1">
        <f t="array" ref="H428:I428">LINEST(E419:E428,D419:D428)</f>
        <v>-12.349090909090945</v>
      </c>
      <c r="I428" s="56">
        <v>24.700187878787894</v>
      </c>
      <c r="J428" s="56" cm="1">
        <f t="array" ref="J428:K428">LINEST(E414:E428,D414:D428)</f>
        <v>-2.1342857142856588</v>
      </c>
      <c r="K428" s="56">
        <v>20.86657499999998</v>
      </c>
      <c r="L428" s="56" cm="1">
        <f t="array" ref="L428:M428">LINEST(E409:E428,D409:D428)</f>
        <v>3.7894736842112801E-2</v>
      </c>
      <c r="M428" s="56">
        <v>20.056594736842104</v>
      </c>
      <c r="N428" s="56" cm="1">
        <f t="array" ref="N428:O428">LINEST(E404:E428,D404:D428)</f>
        <v>2.1987692307692321</v>
      </c>
      <c r="O428" s="56">
        <v>19.256008461538464</v>
      </c>
      <c r="P428" s="56" cm="1">
        <f t="array" ref="P428:Q428">LINEST(E399:E428,D399:D428)</f>
        <v>5.40120133481647</v>
      </c>
      <c r="Q428" s="56">
        <v>18.077567519466072</v>
      </c>
      <c r="R428" s="56" cm="1">
        <f t="array" ref="R428:S428">LINEST(F419:F428,D419:D428)</f>
        <v>-6.1963636363636612</v>
      </c>
      <c r="S428" s="56">
        <v>2.6807515151515244</v>
      </c>
      <c r="T428" s="56" cm="1">
        <f t="array" ref="T428:U428">LINEST(F414:F428,D414:D428)</f>
        <v>9.0514285714285894</v>
      </c>
      <c r="U428" s="56">
        <v>-3.0374666666666736</v>
      </c>
      <c r="V428" s="56" cm="1">
        <f t="array" ref="V428:W428">LINEST(F409:F428,D409:D428)</f>
        <v>9.6198496240601692</v>
      </c>
      <c r="W428" s="56">
        <v>-3.2654503759398574</v>
      </c>
      <c r="X428" s="56" cm="1">
        <f t="array" ref="X428:Y428">LINEST(F404:F428,D404:D428)</f>
        <v>4.8849230769230916</v>
      </c>
      <c r="Y428" s="56">
        <v>-1.5027338461538517</v>
      </c>
      <c r="Z428" s="56" cm="1">
        <f t="array" ref="Z428:AA428">LINEST(F399:F428,D399:D428)</f>
        <v>6.0851612903225902</v>
      </c>
      <c r="AA428" s="56">
        <v>-1.9449913978494662</v>
      </c>
      <c r="AB428" s="37" cm="1">
        <f t="array" ref="AB428:AC428">LINEST(G419:G428,D419:D428)</f>
        <v>3.8400000000000105</v>
      </c>
      <c r="AC428" s="37">
        <v>-1.1617333333333373</v>
      </c>
      <c r="AD428" s="37" cm="1">
        <f t="array" ref="AD428:AE428">LINEST(G414:G428,D414:D428)</f>
        <v>5.3228571428571465</v>
      </c>
      <c r="AE428" s="37">
        <v>-1.7196750000000014</v>
      </c>
      <c r="AF428" s="37" cm="1">
        <f t="array" ref="AF428:AG428">LINEST(G409:G428,D409:D428)</f>
        <v>0.95278195488722095</v>
      </c>
      <c r="AG428" s="37">
        <v>-9.0618045112783097E-2</v>
      </c>
      <c r="AH428" s="37" cm="1">
        <f t="array" ref="AH428:AI428">LINEST(G404:G428,D404:D428)</f>
        <v>0.9360000000000025</v>
      </c>
      <c r="AI428" s="37">
        <v>-8.4210000000000951E-2</v>
      </c>
      <c r="AJ428" s="37" cm="1">
        <f t="array" ref="AJ428:AK428">LINEST(G399:G428,D399:D428)</f>
        <v>-0.14736373748609533</v>
      </c>
      <c r="AK428" s="37">
        <v>0.31438427882832765</v>
      </c>
    </row>
    <row r="429" spans="1:37" x14ac:dyDescent="0.25">
      <c r="A429" s="61">
        <v>502</v>
      </c>
      <c r="B429" s="14">
        <f t="shared" si="6"/>
        <v>423</v>
      </c>
      <c r="C429" s="15">
        <v>43981</v>
      </c>
      <c r="D429" s="16">
        <v>0.38152777777777774</v>
      </c>
      <c r="E429" s="36">
        <v>19.989999999999998</v>
      </c>
      <c r="F429" s="36">
        <v>0.04</v>
      </c>
      <c r="G429" s="36">
        <v>0.28000000000000003</v>
      </c>
      <c r="H429" s="56" cm="1">
        <f t="array" ref="H429:I429">LINEST(E420:E429,D420:D429)</f>
        <v>-14.705454545454666</v>
      </c>
      <c r="I429" s="56">
        <v>25.589630303030351</v>
      </c>
      <c r="J429" s="56" cm="1">
        <f t="array" ref="J429:K429">LINEST(E415:E429,D415:D429)</f>
        <v>-4.2171428571428002</v>
      </c>
      <c r="K429" s="56">
        <v>21.639957142857124</v>
      </c>
      <c r="L429" s="56" cm="1">
        <f t="array" ref="L429:M429">LINEST(E410:E429,D410:D429)</f>
        <v>-1.2505263157894611</v>
      </c>
      <c r="M429" s="56">
        <v>20.529110526315794</v>
      </c>
      <c r="N429" s="56" cm="1">
        <f t="array" ref="N429:O429">LINEST(E405:E429,D405:D429)</f>
        <v>1.2239999999999973</v>
      </c>
      <c r="O429" s="56">
        <v>19.609010000000005</v>
      </c>
      <c r="P429" s="56" cm="1">
        <f t="array" ref="P429:Q429">LINEST(E400:E429,D400:D429)</f>
        <v>4.4977975528364942</v>
      </c>
      <c r="Q429" s="56">
        <v>18.400545939933263</v>
      </c>
      <c r="R429" s="56" cm="1">
        <f t="array" ref="R429:S429">LINEST(F420:F429,D420:D429)</f>
        <v>2.4872727272727357</v>
      </c>
      <c r="S429" s="56">
        <v>-0.64641818181818489</v>
      </c>
      <c r="T429" s="56" cm="1">
        <f t="array" ref="T429:U429">LINEST(F415:F429,D415:D429)</f>
        <v>0.90000000000003588</v>
      </c>
      <c r="U429" s="56">
        <v>-2.7291666666679981E-2</v>
      </c>
      <c r="V429" s="56" cm="1">
        <f t="array" ref="V429:W429">LINEST(F410:F429,D410:D429)</f>
        <v>5.4406015037594173</v>
      </c>
      <c r="W429" s="56">
        <v>-1.7424548872180521</v>
      </c>
      <c r="X429" s="56" cm="1">
        <f t="array" ref="X429:Y429">LINEST(F405:F429,D405:D429)</f>
        <v>2.1655384615384743</v>
      </c>
      <c r="Y429" s="56">
        <v>-0.52012076923077377</v>
      </c>
      <c r="Z429" s="56" cm="1">
        <f t="array" ref="Z429:AA429">LINEST(F400:F429,D400:D429)</f>
        <v>4.4561512791991218</v>
      </c>
      <c r="AA429" s="56">
        <v>-1.3670702261772383</v>
      </c>
      <c r="AB429" s="37" cm="1">
        <f t="array" ref="AB429:AC429">LINEST(G420:G429,D420:D429)</f>
        <v>3.8836363636363767</v>
      </c>
      <c r="AC429" s="37">
        <v>-1.1824424242424292</v>
      </c>
      <c r="AD429" s="37" cm="1">
        <f t="array" ref="AD429:AE429">LINEST(G415:G429,D415:D429)</f>
        <v>4.9628571428571506</v>
      </c>
      <c r="AE429" s="37">
        <v>-1.5885511904761935</v>
      </c>
      <c r="AF429" s="37" cm="1">
        <f t="array" ref="AF429:AG429">LINEST(G410:G429,D410:D429)</f>
        <v>1.2938345864661684</v>
      </c>
      <c r="AG429" s="37">
        <v>-0.21706240601503873</v>
      </c>
      <c r="AH429" s="37" cm="1">
        <f t="array" ref="AH429:AI429">LINEST(G405:G429,D405:D429)</f>
        <v>1.0523076923076951</v>
      </c>
      <c r="AI429" s="37">
        <v>-0.12674615384615484</v>
      </c>
      <c r="AJ429" s="37" cm="1">
        <f t="array" ref="AJ429:AK429">LINEST(G400:G429,D400:D429)</f>
        <v>0.2306562847608459</v>
      </c>
      <c r="AK429" s="37">
        <v>0.17664338153503875</v>
      </c>
    </row>
    <row r="430" spans="1:37" x14ac:dyDescent="0.25">
      <c r="A430" s="61">
        <v>502</v>
      </c>
      <c r="B430" s="14">
        <f t="shared" si="6"/>
        <v>424</v>
      </c>
      <c r="C430" s="15">
        <v>43981</v>
      </c>
      <c r="D430" s="16">
        <v>0.38291666666666663</v>
      </c>
      <c r="E430" s="36">
        <v>19.98</v>
      </c>
      <c r="F430" s="36">
        <v>-0.16</v>
      </c>
      <c r="G430" s="36">
        <v>0.24</v>
      </c>
      <c r="H430" s="56" cm="1">
        <f t="array" ref="H430:I430">LINEST(E421:E430,D421:D430)</f>
        <v>-16.407272727272836</v>
      </c>
      <c r="I430" s="56">
        <v>26.238072727272769</v>
      </c>
      <c r="J430" s="56" cm="1">
        <f t="array" ref="J430:K430">LINEST(E416:E430,D416:D430)</f>
        <v>-6.1199999999999424</v>
      </c>
      <c r="K430" s="56">
        <v>22.350616666666646</v>
      </c>
      <c r="L430" s="56" cm="1">
        <f t="array" ref="L430:M430">LINEST(E411:E430,D411:D430)</f>
        <v>-2.2574436090225447</v>
      </c>
      <c r="M430" s="56">
        <v>20.89912706766917</v>
      </c>
      <c r="N430" s="56" cm="1">
        <f t="array" ref="N430:O430">LINEST(E406:E430,D406:D430)</f>
        <v>0.17723076923077805</v>
      </c>
      <c r="O430" s="56">
        <v>19.990689230769235</v>
      </c>
      <c r="P430" s="56" cm="1">
        <f t="array" ref="P430:Q430">LINEST(E401:E430,D401:D430)</f>
        <v>2.8639822024471688</v>
      </c>
      <c r="Q430" s="56">
        <v>18.995010901001116</v>
      </c>
      <c r="R430" s="56" cm="1">
        <f t="array" ref="R430:S430">LINEST(F421:F430,D421:D430)</f>
        <v>-21.163636363636439</v>
      </c>
      <c r="S430" s="56">
        <v>8.2266363636363913</v>
      </c>
      <c r="T430" s="56" cm="1">
        <f t="array" ref="T430:U430">LINEST(F416:F430,D416:D430)</f>
        <v>-6.2228571428571042</v>
      </c>
      <c r="U430" s="56">
        <v>2.5943357142857</v>
      </c>
      <c r="V430" s="56" cm="1">
        <f t="array" ref="V430:W430">LINEST(F411:F430,D411:D430)</f>
        <v>8.2502255639097957</v>
      </c>
      <c r="W430" s="56">
        <v>-2.841291729323316</v>
      </c>
      <c r="X430" s="56" cm="1">
        <f t="array" ref="X430:Y430">LINEST(F406:F430,D406:D430)</f>
        <v>-2.9243076923076807</v>
      </c>
      <c r="Y430" s="56">
        <v>1.3362276923076881</v>
      </c>
      <c r="Z430" s="56" cm="1">
        <f t="array" ref="Z430:AA430">LINEST(F401:F430,D401:D430)</f>
        <v>1.9205339265851038</v>
      </c>
      <c r="AA430" s="56">
        <v>-0.46239369670004049</v>
      </c>
      <c r="AB430" s="37" cm="1">
        <f t="array" ref="AB430:AC430">LINEST(G421:G430,D421:D430)</f>
        <v>1.789090909090914</v>
      </c>
      <c r="AC430" s="37">
        <v>-0.40089090909091085</v>
      </c>
      <c r="AD430" s="37" cm="1">
        <f t="array" ref="AD430:AE430">LINEST(G416:G430,D416:D430)</f>
        <v>3.9085714285714377</v>
      </c>
      <c r="AE430" s="37">
        <v>-1.2006571428571464</v>
      </c>
      <c r="AF430" s="37" cm="1">
        <f t="array" ref="AF430:AG430">LINEST(G411:G430,D411:D430)</f>
        <v>1.7810526315789514</v>
      </c>
      <c r="AG430" s="37">
        <v>-0.40299473684210679</v>
      </c>
      <c r="AH430" s="37" cm="1">
        <f t="array" ref="AH430:AI430">LINEST(G406:G430,D406:D430)</f>
        <v>0.74215384615384838</v>
      </c>
      <c r="AI430" s="37">
        <v>-1.421384615384691E-2</v>
      </c>
      <c r="AJ430" s="37" cm="1">
        <f t="array" ref="AJ430:AK430">LINEST(G401:G430,D401:D430)</f>
        <v>0.33637374860956709</v>
      </c>
      <c r="AK430" s="37">
        <v>0.13597107897664037</v>
      </c>
    </row>
    <row r="431" spans="1:37" x14ac:dyDescent="0.25">
      <c r="A431" s="61">
        <v>502</v>
      </c>
      <c r="B431" s="14">
        <f t="shared" si="6"/>
        <v>425</v>
      </c>
      <c r="C431" s="15">
        <v>43981</v>
      </c>
      <c r="D431" s="16">
        <v>0.38430555555555551</v>
      </c>
      <c r="E431" s="36">
        <v>20.010000000000002</v>
      </c>
      <c r="F431" s="36">
        <v>0.82</v>
      </c>
      <c r="G431" s="36">
        <v>0.28999999999999998</v>
      </c>
      <c r="H431" s="56" cm="1">
        <f t="array" ref="H431:I431">LINEST(E422:E431,D422:D431)</f>
        <v>-14.836363636363711</v>
      </c>
      <c r="I431" s="56">
        <v>25.654969696969722</v>
      </c>
      <c r="J431" s="56" cm="1">
        <f t="array" ref="J431:K431">LINEST(E417:E431,D417:D431)</f>
        <v>-7.2771428571427892</v>
      </c>
      <c r="K431" s="56">
        <v>22.789229761904735</v>
      </c>
      <c r="L431" s="56" cm="1">
        <f t="array" ref="L431:M431">LINEST(E412:E431,D412:D431)</f>
        <v>-2.755488721804471</v>
      </c>
      <c r="M431" s="56">
        <v>21.084092481202998</v>
      </c>
      <c r="N431" s="56" cm="1">
        <f t="array" ref="N431:O431">LINEST(E407:E431,D407:D431)</f>
        <v>-0.59815384615383271</v>
      </c>
      <c r="O431" s="56">
        <v>20.276304615384614</v>
      </c>
      <c r="P431" s="56" cm="1">
        <f t="array" ref="P431:Q431">LINEST(E402:E431,D402:D431)</f>
        <v>1.1933259176863273</v>
      </c>
      <c r="Q431" s="56">
        <v>19.609097144975898</v>
      </c>
      <c r="R431" s="56" cm="1">
        <f t="array" ref="R431:S431">LINEST(F422:F431,D422:D431)</f>
        <v>7.9854545454545578</v>
      </c>
      <c r="S431" s="56">
        <v>-2.7219454545454589</v>
      </c>
      <c r="T431" s="56" cm="1">
        <f t="array" ref="T431:U431">LINEST(F417:F431,D417:D431)</f>
        <v>-1.9542857142857093</v>
      </c>
      <c r="U431" s="56">
        <v>1.0587095238095221</v>
      </c>
      <c r="V431" s="56" cm="1">
        <f t="array" ref="V431:W431">LINEST(F412:F431,D412:D431)</f>
        <v>14.432481203007553</v>
      </c>
      <c r="W431" s="56">
        <v>-5.1160541353383584</v>
      </c>
      <c r="X431" s="56" cm="1">
        <f t="array" ref="X431:Y431">LINEST(F407:F431,D407:D431)</f>
        <v>2.1655384615384805</v>
      </c>
      <c r="Y431" s="56">
        <v>-0.51653615384616081</v>
      </c>
      <c r="Z431" s="56" cm="1">
        <f t="array" ref="Z431:AA431">LINEST(F402:F431,D402:D431)</f>
        <v>4.0236707452725371</v>
      </c>
      <c r="AA431" s="56">
        <v>-1.2072867630700821</v>
      </c>
      <c r="AB431" s="37" cm="1">
        <f t="array" ref="AB431:AC431">LINEST(G422:G431,D422:D431)</f>
        <v>2.312727272727281</v>
      </c>
      <c r="AC431" s="37">
        <v>-0.59933939393939695</v>
      </c>
      <c r="AD431" s="37" cm="1">
        <f t="array" ref="AD431:AE431">LINEST(G417:G431,D417:D431)</f>
        <v>3.4971428571428698</v>
      </c>
      <c r="AE431" s="37">
        <v>-1.0466380952381</v>
      </c>
      <c r="AF431" s="37" cm="1">
        <f t="array" ref="AF431:AG431">LINEST(G412:G431,D412:D431)</f>
        <v>2.7554887218045163</v>
      </c>
      <c r="AG431" s="37">
        <v>-0.76809248120300944</v>
      </c>
      <c r="AH431" s="37" cm="1">
        <f t="array" ref="AH431:AI431">LINEST(G407:G431,D407:D431)</f>
        <v>0.83076923076923304</v>
      </c>
      <c r="AI431" s="37">
        <v>-4.5823076923077743E-2</v>
      </c>
      <c r="AJ431" s="37" cm="1">
        <f t="array" ref="AJ431:AK431">LINEST(G402:G431,D402:D431)</f>
        <v>0.64391546162402757</v>
      </c>
      <c r="AK431" s="37">
        <v>2.3507452725250011E-2</v>
      </c>
    </row>
    <row r="432" spans="1:37" x14ac:dyDescent="0.25">
      <c r="A432" s="61">
        <v>502</v>
      </c>
      <c r="B432" s="14">
        <f t="shared" si="6"/>
        <v>426</v>
      </c>
      <c r="C432" s="15">
        <v>43981</v>
      </c>
      <c r="D432" s="16">
        <v>0.3856944444444444</v>
      </c>
      <c r="E432" s="36">
        <v>20.02</v>
      </c>
      <c r="F432" s="36">
        <v>0.45</v>
      </c>
      <c r="G432" s="36">
        <v>0.3</v>
      </c>
      <c r="H432" s="56" cm="1">
        <f t="array" ref="H432:I432">LINEST(E423:E432,D423:D432)</f>
        <v>-12.305454545454589</v>
      </c>
      <c r="I432" s="56">
        <v>24.705236363636377</v>
      </c>
      <c r="J432" s="56" cm="1">
        <f t="array" ref="J432:K432">LINEST(E418:E432,D418:D432)</f>
        <v>-8.1257142857142544</v>
      </c>
      <c r="K432" s="56">
        <v>23.11570952380951</v>
      </c>
      <c r="L432" s="56" cm="1">
        <f t="array" ref="L432:M432">LINEST(E413:E432,D413:D432)</f>
        <v>-3.1993984962405739</v>
      </c>
      <c r="M432" s="56">
        <v>21.251275939849609</v>
      </c>
      <c r="N432" s="56" cm="1">
        <f t="array" ref="N432:O432">LINEST(E408:E432,D408:D432)</f>
        <v>-1.3181538461538433</v>
      </c>
      <c r="O432" s="56">
        <v>20.544035384615384</v>
      </c>
      <c r="P432" s="56" cm="1">
        <f t="array" ref="P432:Q432">LINEST(E403:E432,D403:D432)</f>
        <v>0.76725250278087964</v>
      </c>
      <c r="Q432" s="56">
        <v>19.764526585094547</v>
      </c>
      <c r="R432" s="56" cm="1">
        <f t="array" ref="R432:S432">LINEST(F423:F432,D423:D432)</f>
        <v>-12.741818181818219</v>
      </c>
      <c r="S432" s="56">
        <v>5.2028121212121352</v>
      </c>
      <c r="T432" s="56" cm="1">
        <f t="array" ref="T432:U432">LINEST(F418:F432,D418:D432)</f>
        <v>-9.5400000000000507</v>
      </c>
      <c r="U432" s="56">
        <v>3.9534416666666856</v>
      </c>
      <c r="V432" s="56" cm="1">
        <f t="array" ref="V432:W432">LINEST(F413:F432,D413:D432)</f>
        <v>12.840902255639129</v>
      </c>
      <c r="W432" s="56">
        <v>-4.5162360902255756</v>
      </c>
      <c r="X432" s="56" cm="1">
        <f t="array" ref="X432:Y432">LINEST(F408:F432,D408:D432)</f>
        <v>-8.3076923076907117E-2</v>
      </c>
      <c r="Y432" s="56">
        <v>0.33585769230768647</v>
      </c>
      <c r="Z432" s="56" cm="1">
        <f t="array" ref="Z432:AA432">LINEST(F403:F432,D403:D432)</f>
        <v>4.180645161290335</v>
      </c>
      <c r="AA432" s="56">
        <v>-1.2589247311828005</v>
      </c>
      <c r="AB432" s="37" cm="1">
        <f t="array" ref="AB432:AC432">LINEST(G423:G432,D423:D432)</f>
        <v>1.1345454545454596</v>
      </c>
      <c r="AC432" s="37">
        <v>-0.14849696969697157</v>
      </c>
      <c r="AD432" s="37" cm="1">
        <f t="array" ref="AD432:AE432">LINEST(G418:G432,D418:D432)</f>
        <v>2.4428571428571502</v>
      </c>
      <c r="AE432" s="37">
        <v>-0.64711309523809801</v>
      </c>
      <c r="AF432" s="37" cm="1">
        <f t="array" ref="AF432:AG432">LINEST(G413:G432,D413:D432)</f>
        <v>3.5133834586466235</v>
      </c>
      <c r="AG432" s="37">
        <v>-1.0532353383458675</v>
      </c>
      <c r="AH432" s="37" cm="1">
        <f t="array" ref="AH432:AI432">LINEST(G408:G432,D408:D432)</f>
        <v>0.74215384615384838</v>
      </c>
      <c r="AI432" s="37">
        <v>-1.0675384615385419E-2</v>
      </c>
      <c r="AJ432" s="37" cm="1">
        <f t="array" ref="AJ432:AK432">LINEST(G403:G432,D403:D432)</f>
        <v>0.89859844271412859</v>
      </c>
      <c r="AK432" s="37">
        <v>-6.9487652947720357E-2</v>
      </c>
    </row>
    <row r="433" spans="1:38" x14ac:dyDescent="0.25">
      <c r="A433" s="61">
        <v>502</v>
      </c>
      <c r="B433" s="14">
        <f t="shared" si="6"/>
        <v>427</v>
      </c>
      <c r="C433" s="15">
        <v>43981</v>
      </c>
      <c r="D433" s="16">
        <v>0.38708333333333328</v>
      </c>
      <c r="E433" s="36">
        <v>20.03</v>
      </c>
      <c r="F433" s="36">
        <v>0.08</v>
      </c>
      <c r="G433" s="36">
        <v>0.28000000000000003</v>
      </c>
      <c r="H433" s="56" cm="1">
        <f t="array" ref="H433:I433">LINEST(E424:E433,D424:D433)</f>
        <v>-8.0290909090909395</v>
      </c>
      <c r="I433" s="56">
        <v>23.083745454545465</v>
      </c>
      <c r="J433" s="56" cm="1">
        <f t="array" ref="J433:K433">LINEST(E419:E433,D419:D433)</f>
        <v>-8.2799999999999923</v>
      </c>
      <c r="K433" s="56">
        <v>23.181883333333332</v>
      </c>
      <c r="L433" s="56" cm="1">
        <f t="array" ref="L433:M433">LINEST(E414:E433,D414:D433)</f>
        <v>-3.610827067669121</v>
      </c>
      <c r="M433" s="56">
        <v>21.408548120300733</v>
      </c>
      <c r="N433" s="56" cm="1">
        <f t="array" ref="N433:O433">LINEST(E409:E433,D409:D433)</f>
        <v>-1.7003076923076708</v>
      </c>
      <c r="O433" s="56">
        <v>20.687422307692302</v>
      </c>
      <c r="P433" s="56" cm="1">
        <f t="array" ref="P433:Q433">LINEST(E404:E433,D404:D433)</f>
        <v>0.32516129032259317</v>
      </c>
      <c r="Q433" s="56">
        <v>19.927683870967741</v>
      </c>
      <c r="R433" s="56" cm="1">
        <f t="array" ref="R433:S433">LINEST(F424:F433,D424:D433)</f>
        <v>-24.436363636363723</v>
      </c>
      <c r="S433" s="56">
        <v>9.6461818181818497</v>
      </c>
      <c r="T433" s="56" cm="1">
        <f t="array" ref="T433:U433">LINEST(F419:F433,D419:D433)</f>
        <v>-7.6371428571428828</v>
      </c>
      <c r="U433" s="56">
        <v>3.2066273809523906</v>
      </c>
      <c r="V433" s="56" cm="1">
        <f t="array" ref="V433:W433">LINEST(F414:F433,D414:D433)</f>
        <v>1.743157894736856</v>
      </c>
      <c r="W433" s="56">
        <v>-0.35374736842105781</v>
      </c>
      <c r="X433" s="56" cm="1">
        <f t="array" ref="X433:Y433">LINEST(F409:F433,D409:D433)</f>
        <v>4.7907692307692438</v>
      </c>
      <c r="Y433" s="56">
        <v>-1.5137807692307743</v>
      </c>
      <c r="Z433" s="56" cm="1">
        <f t="array" ref="Z433:AA433">LINEST(F404:F433,D404:D433)</f>
        <v>2.5099888765294844</v>
      </c>
      <c r="AA433" s="56">
        <v>-0.6526931405265135</v>
      </c>
      <c r="AB433" s="37" cm="1">
        <f t="array" ref="AB433:AC433">LINEST(G424:G433,D424:D433)</f>
        <v>-0.96000000000000107</v>
      </c>
      <c r="AC433" s="37">
        <v>0.65160000000000029</v>
      </c>
      <c r="AD433" s="37" cm="1">
        <f t="array" ref="AD433:AE433">LINEST(G419:G433,D419:D433)</f>
        <v>1.5428571428571478</v>
      </c>
      <c r="AE433" s="37">
        <v>-0.30688095238095425</v>
      </c>
      <c r="AF433" s="37" cm="1">
        <f t="array" ref="AF433:AG433">LINEST(G414:G433,D414:D433)</f>
        <v>3.3618045112782018</v>
      </c>
      <c r="AG433" s="37">
        <v>-0.99844135338346096</v>
      </c>
      <c r="AH433" s="37" cm="1">
        <f t="array" ref="AH433:AI433">LINEST(G409:G433,D409:D433)</f>
        <v>1.0467692307692336</v>
      </c>
      <c r="AI433" s="37">
        <v>-0.1249407692307703</v>
      </c>
      <c r="AJ433" s="37" cm="1">
        <f t="array" ref="AJ433:AK433">LINEST(G404:G433,D404:D433)</f>
        <v>1.0011123470522825</v>
      </c>
      <c r="AK433" s="37">
        <v>-0.10768594734890696</v>
      </c>
    </row>
    <row r="434" spans="1:38" x14ac:dyDescent="0.25">
      <c r="A434" s="61">
        <v>502</v>
      </c>
      <c r="B434" s="14">
        <f t="shared" si="6"/>
        <v>428</v>
      </c>
      <c r="C434" s="15">
        <v>43981</v>
      </c>
      <c r="D434" s="16">
        <v>0.38847222222222227</v>
      </c>
      <c r="E434" s="36">
        <v>20.04</v>
      </c>
      <c r="F434" s="36">
        <v>0.3</v>
      </c>
      <c r="G434" s="36">
        <v>0.28000000000000003</v>
      </c>
      <c r="H434" s="56" cm="1">
        <f t="array" ref="H434:I434">LINEST(E425:E434,D425:D434)</f>
        <v>-1.0472727272727427</v>
      </c>
      <c r="I434" s="56">
        <v>20.414290909090916</v>
      </c>
      <c r="J434" s="56" cm="1">
        <f t="array" ref="J434:K434">LINEST(E420:E434,D420:D434)</f>
        <v>-7.5085714285714147</v>
      </c>
      <c r="K434" s="56">
        <v>22.896538095238093</v>
      </c>
      <c r="L434" s="56" cm="1">
        <f t="array" ref="L434:M434">LINEST(E415:E434,D415:D434)</f>
        <v>-3.8977443609021933</v>
      </c>
      <c r="M434" s="56">
        <v>21.52073684210524</v>
      </c>
      <c r="N434" s="56" cm="1">
        <f t="array" ref="N434:O434">LINEST(E410:E434,D410:D434)</f>
        <v>-2.0159999999999716</v>
      </c>
      <c r="O434" s="56">
        <v>20.807559999999992</v>
      </c>
      <c r="P434" s="56" cm="1">
        <f t="array" ref="P434:Q434">LINEST(E405:E434,D405:D434)</f>
        <v>-4.0044493882078751E-2</v>
      </c>
      <c r="Q434" s="56">
        <v>20.063749721913233</v>
      </c>
      <c r="R434" s="56" cm="1">
        <f t="array" ref="R434:S434">LINEST(F425:F434,D425:D434)</f>
        <v>0.39272727272728147</v>
      </c>
      <c r="S434" s="56">
        <v>0.13089090909090578</v>
      </c>
      <c r="T434" s="56" cm="1">
        <f t="array" ref="T434:U434">LINEST(F420:F434,D420:D434)</f>
        <v>1.902857142857141</v>
      </c>
      <c r="U434" s="56">
        <v>-0.43004047619047558</v>
      </c>
      <c r="V434" s="56" cm="1">
        <f t="array" ref="V434:W434">LINEST(F415:F434,D415:D434)</f>
        <v>0.19488721804512785</v>
      </c>
      <c r="W434" s="56">
        <v>0.23186315789473122</v>
      </c>
      <c r="X434" s="56" cm="1">
        <f t="array" ref="X434:Y434">LINEST(F410:F434,D410:D434)</f>
        <v>3.8935384615384709</v>
      </c>
      <c r="Y434" s="56">
        <v>-1.1788392307692344</v>
      </c>
      <c r="Z434" s="56" cm="1">
        <f t="array" ref="Z434:AA434">LINEST(F405:F434,D405:D434)</f>
        <v>1.8708787541713112</v>
      </c>
      <c r="AA434" s="56">
        <v>-0.41444034111976619</v>
      </c>
      <c r="AB434" s="37" cm="1">
        <f t="array" ref="AB434:AC434">LINEST(G425:G434,D425:D434)</f>
        <v>-1.0036363636363586</v>
      </c>
      <c r="AC434" s="37">
        <v>0.66861212121211921</v>
      </c>
      <c r="AD434" s="37" cm="1">
        <f t="array" ref="AD434:AE434">LINEST(G420:G434,D420:D434)</f>
        <v>1.5171428571428578</v>
      </c>
      <c r="AE434" s="37">
        <v>-0.29861785714285738</v>
      </c>
      <c r="AF434" s="37" cm="1">
        <f t="array" ref="AF434:AG434">LINEST(G415:G434,D415:D434)</f>
        <v>3.0315789473684238</v>
      </c>
      <c r="AG434" s="37">
        <v>-0.87568421052631673</v>
      </c>
      <c r="AH434" s="37" cm="1">
        <f t="array" ref="AH434:AI434">LINEST(G410:G434,D410:D434)</f>
        <v>1.2129230769230792</v>
      </c>
      <c r="AI434" s="37">
        <v>-0.18777153846153927</v>
      </c>
      <c r="AJ434" s="37" cm="1">
        <f t="array" ref="AJ434:AK434">LINEST(G405:G434,D405:D434)</f>
        <v>1.0475639599555087</v>
      </c>
      <c r="AK434" s="37">
        <v>-0.12518605858361231</v>
      </c>
    </row>
    <row r="435" spans="1:38" x14ac:dyDescent="0.25">
      <c r="A435" s="61">
        <v>502</v>
      </c>
      <c r="B435" s="14">
        <f t="shared" si="6"/>
        <v>429</v>
      </c>
      <c r="C435" s="15">
        <v>43981</v>
      </c>
      <c r="D435" s="16">
        <v>0.38986111111111116</v>
      </c>
      <c r="E435" s="36">
        <v>20.07</v>
      </c>
      <c r="F435" s="36">
        <v>1.1299999999999999</v>
      </c>
      <c r="G435" s="36">
        <v>0.35</v>
      </c>
      <c r="H435" s="56" cm="1">
        <f t="array" ref="H435:I435">LINEST(E426:E435,D426:D435)</f>
        <v>8.6400000000000166</v>
      </c>
      <c r="I435" s="56">
        <v>16.689599999999992</v>
      </c>
      <c r="J435" s="56" cm="1">
        <f t="array" ref="J435:K435">LINEST(E421:E435,D421:D435)</f>
        <v>-6.0171428571428205</v>
      </c>
      <c r="K435" s="56">
        <v>22.337349999999986</v>
      </c>
      <c r="L435" s="56" cm="1">
        <f t="array" ref="L435:M435">LINEST(E416:E435,D416:D435)</f>
        <v>-3.7515789473683583</v>
      </c>
      <c r="M435" s="56">
        <v>21.471594736842082</v>
      </c>
      <c r="N435" s="56" cm="1">
        <f t="array" ref="N435:O435">LINEST(E411:E435,D411:D435)</f>
        <v>-1.9218461538461253</v>
      </c>
      <c r="O435" s="56">
        <v>20.775622307692299</v>
      </c>
      <c r="P435" s="56" cm="1">
        <f t="array" ref="P435:Q435">LINEST(E406:E435,D406:D435)</f>
        <v>-0.28511679644046978</v>
      </c>
      <c r="Q435" s="56">
        <v>20.157414015572854</v>
      </c>
      <c r="R435" s="56" cm="1">
        <f t="array" ref="R435:S435">LINEST(F426:F435,D426:D435)</f>
        <v>35.607272727272793</v>
      </c>
      <c r="S435" s="56">
        <v>-13.297345454545479</v>
      </c>
      <c r="T435" s="56" cm="1">
        <f t="array" ref="T435:U435">LINEST(F421:F435,D421:D435)</f>
        <v>14.322857142857227</v>
      </c>
      <c r="U435" s="56">
        <v>-5.0893416666666988</v>
      </c>
      <c r="V435" s="56" cm="1">
        <f t="array" ref="V435:W435">LINEST(F416:F435,D416:D435)</f>
        <v>9.4195488721804992</v>
      </c>
      <c r="W435" s="56">
        <v>-3.2050300751879885</v>
      </c>
      <c r="X435" s="56" cm="1">
        <f t="array" ref="X435:Y435">LINEST(F411:F435,D411:D435)</f>
        <v>14.089846153846178</v>
      </c>
      <c r="Y435" s="56">
        <v>-4.9798523076923171</v>
      </c>
      <c r="Z435" s="56" cm="1">
        <f t="array" ref="Z435:AA435">LINEST(F406:F435,D406:D435)</f>
        <v>4.2815572858732152</v>
      </c>
      <c r="AA435" s="56">
        <v>-1.2693202076381247</v>
      </c>
      <c r="AB435" s="37" cm="1">
        <f t="array" ref="AB435:AC435">LINEST(G426:G435,D426:D435)</f>
        <v>1.7890909090909228</v>
      </c>
      <c r="AC435" s="37">
        <v>-0.39531515151515673</v>
      </c>
      <c r="AD435" s="37" cm="1">
        <f t="array" ref="AD435:AE435">LINEST(G421:G435,D421:D435)</f>
        <v>2.5200000000000036</v>
      </c>
      <c r="AE435" s="37">
        <v>-0.67595000000000138</v>
      </c>
      <c r="AF435" s="37" cm="1">
        <f t="array" ref="AF435:AG435">LINEST(G416:G435,D416:D435)</f>
        <v>3.4592481203007543</v>
      </c>
      <c r="AG435" s="37">
        <v>-1.0344834586466176</v>
      </c>
      <c r="AH435" s="37" cm="1">
        <f t="array" ref="AH435:AI435">LINEST(G411:G435,D411:D435)</f>
        <v>2.198769230769233</v>
      </c>
      <c r="AI435" s="37">
        <v>-0.55616846153846256</v>
      </c>
      <c r="AJ435" s="37" cm="1">
        <f t="array" ref="AJ435:AK435">LINEST(G406:G435,D406:D435)</f>
        <v>1.3102558398220272</v>
      </c>
      <c r="AK435" s="37">
        <v>-0.21976403411197726</v>
      </c>
    </row>
    <row r="436" spans="1:38" x14ac:dyDescent="0.25">
      <c r="A436" s="61">
        <v>502</v>
      </c>
      <c r="B436" s="14">
        <f t="shared" si="6"/>
        <v>430</v>
      </c>
      <c r="C436" s="15">
        <v>43981</v>
      </c>
      <c r="D436" s="16">
        <v>0.39125000000000004</v>
      </c>
      <c r="E436" s="36">
        <v>20.14</v>
      </c>
      <c r="F436" s="36">
        <v>1.87</v>
      </c>
      <c r="G436" s="36">
        <v>0.47</v>
      </c>
      <c r="H436" s="56" cm="1">
        <f t="array" ref="H436:I436">LINEST(E427:E436,D427:D436)</f>
        <v>10.90909090909099</v>
      </c>
      <c r="I436" s="56">
        <v>15.82399999999997</v>
      </c>
      <c r="J436" s="56" cm="1">
        <f t="array" ref="J436:K436">LINEST(E422:E436,D422:D436)</f>
        <v>-2.7514285714285318</v>
      </c>
      <c r="K436" s="56">
        <v>21.100413095238078</v>
      </c>
      <c r="L436" s="56" cm="1">
        <f t="array" ref="L436:M436">LINEST(E417:E436,D417:D436)</f>
        <v>-2.8962406015036937</v>
      </c>
      <c r="M436" s="56">
        <v>21.157439849624037</v>
      </c>
      <c r="N436" s="56" cm="1">
        <f t="array" ref="N436:O436">LINEST(E412:E436,D412:D436)</f>
        <v>-1.2959999999999594</v>
      </c>
      <c r="O436" s="56">
        <v>20.546659999999989</v>
      </c>
      <c r="P436" s="56" cm="1">
        <f t="array" ref="P436:Q436">LINEST(E407:E436,D407:D436)</f>
        <v>-0.184204671857601</v>
      </c>
      <c r="Q436" s="56">
        <v>20.125360400444933</v>
      </c>
      <c r="R436" s="56" cm="1">
        <f t="array" ref="R436:S436">LINEST(F427:F436,D427:D436)</f>
        <v>92.814545454545126</v>
      </c>
      <c r="S436" s="56">
        <v>-35.216599999999865</v>
      </c>
      <c r="T436" s="56" cm="1">
        <f t="array" ref="T436:U436">LINEST(F422:F436,D422:D436)</f>
        <v>42.505714285714397</v>
      </c>
      <c r="U436" s="56">
        <v>-15.763777380952423</v>
      </c>
      <c r="V436" s="56" cm="1">
        <f t="array" ref="V436:W436">LINEST(F417:F436,D417:D436)</f>
        <v>21.226466165413626</v>
      </c>
      <c r="W436" s="56">
        <v>-7.5882834586466528</v>
      </c>
      <c r="X436" s="56" cm="1">
        <f t="array" ref="X436:Y436">LINEST(F412:F436,D412:D436)</f>
        <v>24.103384615384659</v>
      </c>
      <c r="Y436" s="56">
        <v>-8.6835261538461719</v>
      </c>
      <c r="Z436" s="56" cm="1">
        <f t="array" ref="Z436:AA436">LINEST(F407:F436,D407:D436)</f>
        <v>12.237597330367112</v>
      </c>
      <c r="AA436" s="56">
        <v>-4.1808416759362403</v>
      </c>
      <c r="AB436" s="37" cm="1">
        <f t="array" ref="AB436:AC436">LINEST(G427:G436,D427:D436)</f>
        <v>8.7709090909090666</v>
      </c>
      <c r="AC436" s="37">
        <v>-3.0677999999999899</v>
      </c>
      <c r="AD436" s="37" cm="1">
        <f t="array" ref="AD436:AE436">LINEST(G422:G436,D422:D436)</f>
        <v>5.6571428571428637</v>
      </c>
      <c r="AE436" s="37">
        <v>-1.8630238095238119</v>
      </c>
      <c r="AF436" s="37" cm="1">
        <f t="array" ref="AF436:AG436">LINEST(G417:G436,D417:D436)</f>
        <v>4.8667669172932397</v>
      </c>
      <c r="AG436" s="37">
        <v>-1.5584082706766944</v>
      </c>
      <c r="AH436" s="37" cm="1">
        <f t="array" ref="AH436:AI436">LINEST(G412:G436,D412:D436)</f>
        <v>3.8935384615384638</v>
      </c>
      <c r="AI436" s="37">
        <v>-1.1876546153846166</v>
      </c>
      <c r="AJ436" s="37" cm="1">
        <f t="array" ref="AJ436:AK436">LINEST(G407:G436,D407:D436)</f>
        <v>2.1415795328142422</v>
      </c>
      <c r="AK436" s="37">
        <v>-0.52243062662217432</v>
      </c>
    </row>
    <row r="437" spans="1:38" x14ac:dyDescent="0.25">
      <c r="A437" s="61">
        <v>502</v>
      </c>
      <c r="B437" s="14">
        <f t="shared" si="6"/>
        <v>431</v>
      </c>
      <c r="C437" s="15">
        <v>43981</v>
      </c>
      <c r="D437" s="16">
        <v>0.39263888888888893</v>
      </c>
      <c r="E437" s="36">
        <v>20.149999999999999</v>
      </c>
      <c r="F437" s="36">
        <v>0.55000000000000004</v>
      </c>
      <c r="G437" s="36">
        <v>0.47</v>
      </c>
      <c r="H437" s="56" cm="1">
        <f t="array" ref="H437:I437">LINEST(E428:E437,D428:D437)</f>
        <v>13.265454545454485</v>
      </c>
      <c r="I437" s="56">
        <v>14.916375757575778</v>
      </c>
      <c r="J437" s="56" cm="1">
        <f t="array" ref="J437:K437">LINEST(E423:E437,D423:D437)</f>
        <v>0.46285714285716778</v>
      </c>
      <c r="K437" s="56">
        <v>19.875430952380938</v>
      </c>
      <c r="L437" s="56" cm="1">
        <f t="array" ref="L437:M437">LINEST(E418:E437,D418:D437)</f>
        <v>-2.0246616541352958</v>
      </c>
      <c r="M437" s="56">
        <v>20.835246616541333</v>
      </c>
      <c r="N437" s="56" cm="1">
        <f t="array" ref="N437:O437">LINEST(E413:E437,D413:D437)</f>
        <v>-0.71446153846151161</v>
      </c>
      <c r="O437" s="56">
        <v>20.333417692307677</v>
      </c>
      <c r="P437" s="56" cm="1">
        <f t="array" ref="P437:Q437">LINEST(E408:E437,D408:D437)</f>
        <v>-8.4894327030025696E-2</v>
      </c>
      <c r="Q437" s="56">
        <v>20.093956470152019</v>
      </c>
      <c r="R437" s="56" cm="1">
        <f t="array" ref="R437:S437">LINEST(F428:F437,D428:D437)</f>
        <v>84.654545454544945</v>
      </c>
      <c r="S437" s="56">
        <v>-32.169575757575558</v>
      </c>
      <c r="T437" s="56" cm="1">
        <f t="array" ref="T437:U437">LINEST(F423:F437,D423:D437)</f>
        <v>29.571428571428683</v>
      </c>
      <c r="U437" s="56">
        <v>-10.816059523809566</v>
      </c>
      <c r="V437" s="56" cm="1">
        <f t="array" ref="V437:W437">LINEST(F418:F437,D418:D437)</f>
        <v>15.726315789473759</v>
      </c>
      <c r="W437" s="56">
        <v>-5.495763157894765</v>
      </c>
      <c r="X437" s="56" cm="1">
        <f t="array" ref="X437:Y437">LINEST(F413:F437,D413:D437)</f>
        <v>22.331076923076949</v>
      </c>
      <c r="Y437" s="56">
        <v>-8.0250646153846272</v>
      </c>
      <c r="Z437" s="56" cm="1">
        <f t="array" ref="Z437:AA437">LINEST(F408:F437,D408:D437)</f>
        <v>10.382736373748655</v>
      </c>
      <c r="AA437" s="56">
        <v>-3.4822359658880404</v>
      </c>
      <c r="AB437" s="37" cm="1">
        <f t="array" ref="AB437:AC437">LINEST(G428:G437,D428:D437)</f>
        <v>14.661818181818076</v>
      </c>
      <c r="AC437" s="37">
        <v>-5.3391636363635948</v>
      </c>
      <c r="AD437" s="37" cm="1">
        <f t="array" ref="AD437:AE437">LINEST(G423:G437,D423:D437)</f>
        <v>7.4571428571428582</v>
      </c>
      <c r="AE437" s="37">
        <v>-2.5441309523809528</v>
      </c>
      <c r="AF437" s="37" cm="1">
        <f t="array" ref="AF437:AG437">LINEST(G418:G437,D418:D437)</f>
        <v>5.6517293233082766</v>
      </c>
      <c r="AG437" s="37">
        <v>-1.8485172932330851</v>
      </c>
      <c r="AH437" s="37" cm="1">
        <f t="array" ref="AH437:AI437">LINEST(G413:G437,D413:D437)</f>
        <v>5.2836923076923092</v>
      </c>
      <c r="AI437" s="37">
        <v>-1.7081215384615394</v>
      </c>
      <c r="AJ437" s="37" cm="1">
        <f t="array" ref="AJ437:AK437">LINEST(G408:G437,D408:D437)</f>
        <v>2.7502558398220294</v>
      </c>
      <c r="AK437" s="37">
        <v>-0.74347030033370587</v>
      </c>
    </row>
    <row r="438" spans="1:38" x14ac:dyDescent="0.25">
      <c r="A438" s="61">
        <v>502</v>
      </c>
      <c r="B438" s="14">
        <f t="shared" si="6"/>
        <v>432</v>
      </c>
      <c r="C438" s="15">
        <v>43981</v>
      </c>
      <c r="D438" s="16">
        <v>0.39402777777777781</v>
      </c>
      <c r="E438" s="36">
        <v>20.170000000000002</v>
      </c>
      <c r="F438" s="36">
        <v>0.53</v>
      </c>
      <c r="G438" s="36">
        <v>0.48</v>
      </c>
      <c r="H438" s="56" cm="1">
        <f t="array" ref="H438:I438">LINEST(E429:E438,D429:D438)</f>
        <v>15.796363636363546</v>
      </c>
      <c r="I438" s="56">
        <v>13.934521212121243</v>
      </c>
      <c r="J438" s="56" cm="1">
        <f t="array" ref="J438:K438">LINEST(E424:E438,D424:D438)</f>
        <v>4.1657142857143032</v>
      </c>
      <c r="K438" s="56">
        <v>18.454426190476184</v>
      </c>
      <c r="L438" s="56" cm="1">
        <f t="array" ref="L438:M438">LINEST(E419:E438,D419:D438)</f>
        <v>-0.81744360902251034</v>
      </c>
      <c r="M438" s="56">
        <v>20.382809774436073</v>
      </c>
      <c r="N438" s="56" cm="1">
        <f t="array" ref="N438:O438">LINEST(E414:E438,D414:D438)</f>
        <v>-0.12184615384610649</v>
      </c>
      <c r="O438" s="56">
        <v>20.11557999999998</v>
      </c>
      <c r="P438" s="56" cm="1">
        <f t="array" ref="P438:Q438">LINEST(E409:E438,D409:D438)</f>
        <v>0.25468298109012472</v>
      </c>
      <c r="Q438" s="56">
        <v>19.971776863181304</v>
      </c>
      <c r="R438" s="56" cm="1">
        <f t="array" ref="R438:S438">LINEST(F429:F438,D429:D438)</f>
        <v>73.701818181817757</v>
      </c>
      <c r="S438" s="56">
        <v>-28.018927272727105</v>
      </c>
      <c r="T438" s="56" cm="1">
        <f t="array" ref="T438:U438">LINEST(F424:F438,D424:D438)</f>
        <v>26.948571428571508</v>
      </c>
      <c r="U438" s="56">
        <v>-9.8378190476190781</v>
      </c>
      <c r="V438" s="56" cm="1">
        <f t="array" ref="V438:W438">LINEST(F419:F438,D419:D438)</f>
        <v>19.039398496240675</v>
      </c>
      <c r="W438" s="56">
        <v>-6.7883375939849895</v>
      </c>
      <c r="X438" s="56" cm="1">
        <f t="array" ref="X438:Y438">LINEST(F414:F438,D414:D438)</f>
        <v>16.831384615384646</v>
      </c>
      <c r="Y438" s="56">
        <v>-5.937910000000012</v>
      </c>
      <c r="Z438" s="56" cm="1">
        <f t="array" ref="Z438:AA438">LINEST(F409:F438,D409:D438)</f>
        <v>15.050322580645188</v>
      </c>
      <c r="AA438" s="56">
        <v>-5.2638150537634516</v>
      </c>
      <c r="AB438" s="37" cm="1">
        <f t="array" ref="AB438:AC438">LINEST(G429:G438,D429:D438)</f>
        <v>19.461818181818007</v>
      </c>
      <c r="AC438" s="37">
        <v>-7.2028606060605371</v>
      </c>
      <c r="AD438" s="37" cm="1">
        <f t="array" ref="AD438:AE438">LINEST(G424:G438,D424:D438)</f>
        <v>9.0257142857142743</v>
      </c>
      <c r="AE438" s="37">
        <v>-3.1412988095238052</v>
      </c>
      <c r="AF438" s="37" cm="1">
        <f t="array" ref="AF438:AG438">LINEST(G419:G438,D419:D438)</f>
        <v>6.6803007518797051</v>
      </c>
      <c r="AG438" s="37">
        <v>-2.2350812030075207</v>
      </c>
      <c r="AH438" s="37" cm="1">
        <f t="array" ref="AH438:AI438">LINEST(G414:G438,D414:D438)</f>
        <v>6.2030769230769236</v>
      </c>
      <c r="AI438" s="37">
        <v>-2.052</v>
      </c>
      <c r="AJ438" s="37" cm="1">
        <f t="array" ref="AJ438:AK438">LINEST(G409:G438,D409:D438)</f>
        <v>3.7193325917686364</v>
      </c>
      <c r="AK438" s="37">
        <v>-1.1032837968112736</v>
      </c>
    </row>
    <row r="439" spans="1:38" x14ac:dyDescent="0.25">
      <c r="A439" s="61">
        <v>502</v>
      </c>
      <c r="B439" s="14">
        <f t="shared" si="6"/>
        <v>433</v>
      </c>
      <c r="C439" s="15">
        <v>43981</v>
      </c>
      <c r="D439" s="16">
        <v>0.39541666666666669</v>
      </c>
      <c r="E439" s="36">
        <v>20.2</v>
      </c>
      <c r="F439" s="36">
        <v>0.72</v>
      </c>
      <c r="G439" s="36">
        <v>0.5</v>
      </c>
      <c r="H439" s="56" cm="1">
        <f t="array" ref="H439:I439">LINEST(E430:E439,D430:D439)</f>
        <v>17.934545454545241</v>
      </c>
      <c r="I439" s="56">
        <v>13.10147272727281</v>
      </c>
      <c r="J439" s="56" cm="1">
        <f t="array" ref="J439:K439">LINEST(E425:E439,D425:D439)</f>
        <v>8.9228571428571115</v>
      </c>
      <c r="K439" s="56">
        <v>16.616503571428581</v>
      </c>
      <c r="L439" s="56" cm="1">
        <f t="array" ref="L439:M439">LINEST(E420:E439,D420:D439)</f>
        <v>0.94195488721807608</v>
      </c>
      <c r="M439" s="56">
        <v>19.715963909774423</v>
      </c>
      <c r="N439" s="56" cm="1">
        <f t="array" ref="N439:O439">LINEST(E415:E439,D415:D439)</f>
        <v>0.60369230769235815</v>
      </c>
      <c r="O439" s="56">
        <v>19.846951538461518</v>
      </c>
      <c r="P439" s="56" cm="1">
        <f t="array" ref="P439:Q439">LINEST(E410:E439,D410:D439)</f>
        <v>0.68876529477199799</v>
      </c>
      <c r="Q439" s="56">
        <v>19.81418835743418</v>
      </c>
      <c r="R439" s="56" cm="1">
        <f t="array" ref="R439:S439">LINEST(F430:F439,D430:D439)</f>
        <v>54.938181818181661</v>
      </c>
      <c r="S439" s="56">
        <v>-20.751109090909029</v>
      </c>
      <c r="T439" s="56" cm="1">
        <f t="array" ref="T439:U439">LINEST(F425:F439,D425:D439)</f>
        <v>38.211428571428527</v>
      </c>
      <c r="U439" s="56">
        <v>-14.230602380952364</v>
      </c>
      <c r="V439" s="56" cm="1">
        <f t="array" ref="V439:W439">LINEST(F420:F439,D420:D439)</f>
        <v>25.638496240601537</v>
      </c>
      <c r="W439" s="56">
        <v>-9.3416030075188097</v>
      </c>
      <c r="X439" s="56" cm="1">
        <f t="array" ref="X439:Y439">LINEST(F415:F439,D415:D439)</f>
        <v>17.041846153846187</v>
      </c>
      <c r="Y439" s="56">
        <v>-6.0185992307692429</v>
      </c>
      <c r="Z439" s="56" cm="1">
        <f t="array" ref="Z439:AA439">LINEST(F410:F439,D410:D439)</f>
        <v>15.399510567297012</v>
      </c>
      <c r="AA439" s="56">
        <v>-5.395094104560628</v>
      </c>
      <c r="AB439" s="37" cm="1">
        <f t="array" ref="AB439:AC439">LINEST(G430:G439,D430:D439)</f>
        <v>22.516363636363437</v>
      </c>
      <c r="AC439" s="37">
        <v>-8.3966181818181038</v>
      </c>
      <c r="AD439" s="37" cm="1">
        <f t="array" ref="AD439:AE439">LINEST(G425:G439,D425:D439)</f>
        <v>11.365714285714258</v>
      </c>
      <c r="AE439" s="37">
        <v>-4.0423595238095134</v>
      </c>
      <c r="AF439" s="37" cm="1">
        <f t="array" ref="AF439:AG439">LINEST(G420:G439,D420:D439)</f>
        <v>8.201503759398495</v>
      </c>
      <c r="AG439" s="37">
        <v>-2.8142969924812027</v>
      </c>
      <c r="AH439" s="37" cm="1">
        <f t="array" ref="AH439:AI439">LINEST(G415:G439,D415:D439)</f>
        <v>7.0393846153846162</v>
      </c>
      <c r="AI439" s="37">
        <v>-2.3657669230769232</v>
      </c>
      <c r="AJ439" s="37" cm="1">
        <f t="array" ref="AJ439:AK439">LINEST(G410:G439,D410:D439)</f>
        <v>4.6211345939933288</v>
      </c>
      <c r="AK439" s="37">
        <v>-1.4392091212458298</v>
      </c>
    </row>
    <row r="440" spans="1:38" x14ac:dyDescent="0.25">
      <c r="A440" s="61">
        <v>502</v>
      </c>
      <c r="B440" s="14">
        <f t="shared" si="6"/>
        <v>434</v>
      </c>
      <c r="C440" s="15">
        <v>43981</v>
      </c>
      <c r="D440" s="16">
        <v>0.39680555555555558</v>
      </c>
      <c r="E440" s="36">
        <v>20.2</v>
      </c>
      <c r="F440" s="36">
        <v>7.0000000000000007E-2</v>
      </c>
      <c r="G440" s="36">
        <v>0.46</v>
      </c>
      <c r="H440" s="56" cm="1">
        <f t="array" ref="H440:I440">LINEST(E431:E440,D431:D440)</f>
        <v>17.759999999999778</v>
      </c>
      <c r="I440" s="56">
        <v>13.166733333333418</v>
      </c>
      <c r="J440" s="56" cm="1">
        <f t="array" ref="J440:K440">LINEST(E426:E440,D426:D440)</f>
        <v>13.782857142857093</v>
      </c>
      <c r="K440" s="56">
        <v>14.724885714285733</v>
      </c>
      <c r="L440" s="56" cm="1">
        <f t="array" ref="L440:M440">LINEST(E421:E440,D421:D440)</f>
        <v>2.6039097744361026</v>
      </c>
      <c r="M440" s="56">
        <v>19.081611278195481</v>
      </c>
      <c r="N440" s="56" cm="1">
        <f t="array" ref="N440:O440">LINEST(E416:E440,D416:D440)</f>
        <v>1.3181538461538855</v>
      </c>
      <c r="O440" s="56">
        <v>19.580118461538444</v>
      </c>
      <c r="P440" s="56" cm="1">
        <f t="array" ref="P440:Q440">LINEST(E411:E440,D411:D440)</f>
        <v>1.2173526140155941</v>
      </c>
      <c r="Q440" s="56">
        <v>19.618797182054127</v>
      </c>
      <c r="R440" s="56" cm="1">
        <f t="array" ref="R440:S440">LINEST(F431:F440,D431:D440)</f>
        <v>-4.8872727272722303</v>
      </c>
      <c r="S440" s="56">
        <v>2.5607515151513209</v>
      </c>
      <c r="T440" s="56" cm="1">
        <f t="array" ref="T440:U440">LINEST(F426:F440,D426:D440)</f>
        <v>26.48571428571432</v>
      </c>
      <c r="U440" s="56">
        <v>-9.7615119047619174</v>
      </c>
      <c r="V440" s="56" cm="1">
        <f t="array" ref="V440:W440">LINEST(F421:F440,D421:D440)</f>
        <v>18.259849624060188</v>
      </c>
      <c r="W440" s="56">
        <v>-6.5511812030075331</v>
      </c>
      <c r="X440" s="56" cm="1">
        <f t="array" ref="X440:Y440">LINEST(F416:F440,D416:D440)</f>
        <v>14.134153846153877</v>
      </c>
      <c r="Y440" s="56">
        <v>-4.9489415384615505</v>
      </c>
      <c r="Z440" s="56" cm="1">
        <f t="array" ref="Z440:AA440">LINEST(F411:F440,D411:D440)</f>
        <v>16.453481646273648</v>
      </c>
      <c r="AA440" s="56">
        <v>-5.8408114200964079</v>
      </c>
      <c r="AB440" s="37" cm="1">
        <f t="array" ref="AB440:AC440">LINEST(G431:G440,D431:D440)</f>
        <v>20.159999999999872</v>
      </c>
      <c r="AC440" s="37">
        <v>-7.4855999999999501</v>
      </c>
      <c r="AD440" s="37" cm="1">
        <f t="array" ref="AD440:AE440">LINEST(G426:G440,D426:D440)</f>
        <v>12.445714285714242</v>
      </c>
      <c r="AE440" s="37">
        <v>-4.4648619047618867</v>
      </c>
      <c r="AF440" s="37" cm="1">
        <f t="array" ref="AF440:AG440">LINEST(G421:G440,D421:D440)</f>
        <v>8.9485714285714177</v>
      </c>
      <c r="AG440" s="37">
        <v>-3.1022714285714246</v>
      </c>
      <c r="AH440" s="37" cm="1">
        <f t="array" ref="AH440:AI440">LINEST(G416:G440,D416:D440)</f>
        <v>7.5212307692307689</v>
      </c>
      <c r="AI440" s="37">
        <v>-2.5491123076923077</v>
      </c>
      <c r="AJ440" s="37" cm="1">
        <f t="array" ref="AJ440:AK440">LINEST(G411:G440,D411:D440)</f>
        <v>5.5117241379310347</v>
      </c>
      <c r="AK440" s="37">
        <v>-1.7764160919540231</v>
      </c>
    </row>
    <row r="441" spans="1:38" x14ac:dyDescent="0.25">
      <c r="A441" s="61">
        <v>502</v>
      </c>
      <c r="B441" s="14">
        <f t="shared" si="6"/>
        <v>435</v>
      </c>
      <c r="C441" s="15">
        <v>43981</v>
      </c>
      <c r="D441" s="16">
        <v>0.39819444444444446</v>
      </c>
      <c r="E441" s="36">
        <v>20.239999999999998</v>
      </c>
      <c r="F441" s="36">
        <v>1.18</v>
      </c>
      <c r="G441" s="36">
        <v>0.52</v>
      </c>
      <c r="H441" s="56" cm="1">
        <f t="array" ref="H441:I441">LINEST(E432:E441,D432:D441)</f>
        <v>18.676363636363462</v>
      </c>
      <c r="I441" s="56">
        <v>12.805903030303096</v>
      </c>
      <c r="J441" s="56" cm="1">
        <f t="array" ref="J441:K441">LINEST(E427:E441,D427:D441)</f>
        <v>14.554285714285657</v>
      </c>
      <c r="K441" s="56">
        <v>14.426064285714308</v>
      </c>
      <c r="L441" s="56" cm="1">
        <f t="array" ref="L441:M441">LINEST(E422:E441,D422:D441)</f>
        <v>4.8072180451127595</v>
      </c>
      <c r="M441" s="56">
        <v>18.235221052631587</v>
      </c>
      <c r="N441" s="56" cm="1">
        <f t="array" ref="N441:O441">LINEST(E417:E441,D417:D441)</f>
        <v>2.220923076923099</v>
      </c>
      <c r="O441" s="56">
        <v>19.241056153846145</v>
      </c>
      <c r="P441" s="56" cm="1">
        <f t="array" ref="P441:Q441">LINEST(E412:E441,D412:D441)</f>
        <v>1.9365517241379475</v>
      </c>
      <c r="Q441" s="56">
        <v>19.350875862068964</v>
      </c>
      <c r="R441" s="56" cm="1">
        <f t="array" ref="R441:S441">LINEST(F432:F441,D432:D441)</f>
        <v>23.912727272727579</v>
      </c>
      <c r="S441" s="56">
        <v>-8.6844606060607248</v>
      </c>
      <c r="T441" s="56" cm="1">
        <f t="array" ref="T441:U441">LINEST(F427:F441,D427:D441)</f>
        <v>35.382857142857112</v>
      </c>
      <c r="U441" s="56">
        <v>-13.197257142857129</v>
      </c>
      <c r="V441" s="56" cm="1">
        <f t="array" ref="V441:W441">LINEST(F422:F441,D422:D441)</f>
        <v>25.1242105263158</v>
      </c>
      <c r="W441" s="56">
        <v>-9.1803210526315819</v>
      </c>
      <c r="X441" s="56" cm="1">
        <f t="array" ref="X441:Y441">LINEST(F417:F441,D417:D441)</f>
        <v>16.105846153846176</v>
      </c>
      <c r="Y441" s="56">
        <v>-5.6736276923077007</v>
      </c>
      <c r="Z441" s="56" cm="1">
        <f t="array" ref="Z441:AA441">LINEST(F412:F441,D412:D441)</f>
        <v>19.50006674082314</v>
      </c>
      <c r="AA441" s="56">
        <v>-6.9827752317389704</v>
      </c>
      <c r="AB441" s="37" cm="1">
        <f t="array" ref="AB441:AC441">LINEST(G432:G441,D432:D441)</f>
        <v>20.639999999999915</v>
      </c>
      <c r="AC441" s="37">
        <v>-7.6787333333332999</v>
      </c>
      <c r="AD441" s="37" cm="1">
        <f t="array" ref="AD441:AE441">LINEST(G427:G441,D427:D441)</f>
        <v>14.16857142857137</v>
      </c>
      <c r="AE441" s="37">
        <v>-5.1360964285714052</v>
      </c>
      <c r="AF441" s="37" cm="1">
        <f t="array" ref="AF441:AG441">LINEST(G422:G441,D422:D441)</f>
        <v>10.209924812030065</v>
      </c>
      <c r="AG441" s="37">
        <v>-3.5878210526315746</v>
      </c>
      <c r="AH441" s="37" cm="1">
        <f t="array" ref="AH441:AI441">LINEST(G417:G441,D417:D441)</f>
        <v>8.1969230769230741</v>
      </c>
      <c r="AI441" s="37">
        <v>-2.804953846153845</v>
      </c>
      <c r="AJ441" s="37" cm="1">
        <f t="array" ref="AJ441:AK441">LINEST(G412:G441,D412:D441)</f>
        <v>6.586518353726361</v>
      </c>
      <c r="AK441" s="37">
        <v>-2.1834031887282159</v>
      </c>
    </row>
    <row r="442" spans="1:38" x14ac:dyDescent="0.25">
      <c r="A442" s="61">
        <v>502</v>
      </c>
      <c r="B442" s="14">
        <f t="shared" si="6"/>
        <v>436</v>
      </c>
      <c r="C442" s="15">
        <v>43981</v>
      </c>
      <c r="D442" s="16">
        <v>0.39958333333333335</v>
      </c>
      <c r="E442" s="36">
        <v>19.989999999999998</v>
      </c>
      <c r="F442" s="36">
        <v>1.18</v>
      </c>
      <c r="G442" s="36">
        <v>0.56999999999999995</v>
      </c>
      <c r="H442" s="56" cm="1">
        <f t="array" ref="H442:I442">LINEST(E433:E442,D433:D442)</f>
        <v>8.2472727272725983</v>
      </c>
      <c r="I442" s="56">
        <v>16.879072727272778</v>
      </c>
      <c r="J442" s="56" cm="1">
        <f t="array" ref="J442:K442">LINEST(E428:E442,D428:D442)</f>
        <v>10.671428571428512</v>
      </c>
      <c r="K442" s="56">
        <v>15.920958333333353</v>
      </c>
      <c r="L442" s="56" cm="1">
        <f t="array" ref="L442:M442">LINEST(E423:E442,D423:D442)</f>
        <v>4.2063157894736589</v>
      </c>
      <c r="M442" s="56">
        <v>18.454226315789484</v>
      </c>
      <c r="N442" s="56" cm="1">
        <f t="array" ref="N442:O442">LINEST(E418:E442,D418:D442)</f>
        <v>1.3624615384615466</v>
      </c>
      <c r="O442" s="56">
        <v>19.563890769230763</v>
      </c>
      <c r="P442" s="56" cm="1">
        <f t="array" ref="P442:Q442">LINEST(E413:E442,D413:D442)</f>
        <v>1.3903448275862131</v>
      </c>
      <c r="Q442" s="56">
        <v>19.553108045977009</v>
      </c>
      <c r="R442" s="56" cm="1">
        <f t="array" ref="R442:S442">LINEST(F433:F442,D433:D442)</f>
        <v>31.810909090909394</v>
      </c>
      <c r="S442" s="56">
        <v>-11.751290909091031</v>
      </c>
      <c r="T442" s="56" cm="1">
        <f t="array" ref="T442:U442">LINEST(F428:F442,D428:D442)</f>
        <v>42.068571428571374</v>
      </c>
      <c r="U442" s="56">
        <v>-15.795566666666645</v>
      </c>
      <c r="V442" s="56" cm="1">
        <f t="array" ref="V442:W442">LINEST(F423:F442,D423:D442)</f>
        <v>23.640902255639116</v>
      </c>
      <c r="W442" s="56">
        <v>-8.5700819548872236</v>
      </c>
      <c r="X442" s="56" cm="1">
        <f t="array" ref="X442:Y442">LINEST(F418:F442,D418:D442)</f>
        <v>16.344000000000023</v>
      </c>
      <c r="Y442" s="56">
        <v>-5.7339900000000084</v>
      </c>
      <c r="Z442" s="56" cm="1">
        <f t="array" ref="Z442:AA442">LINEST(F413:F442,D413:D442)</f>
        <v>20.792703003337042</v>
      </c>
      <c r="AA442" s="56">
        <v>-7.4580089729328893</v>
      </c>
      <c r="AB442" s="37" cm="1">
        <f t="array" ref="AB442:AC442">LINEST(G433:G442,D433:D442)</f>
        <v>21.556363636363642</v>
      </c>
      <c r="AC442" s="37">
        <v>-8.040836363636366</v>
      </c>
      <c r="AD442" s="37" cm="1">
        <f t="array" ref="AD442:AE442">LINEST(G428:G442,D428:D442)</f>
        <v>16.405714285714222</v>
      </c>
      <c r="AE442" s="37">
        <v>-6.009949999999975</v>
      </c>
      <c r="AF442" s="37" cm="1">
        <f t="array" ref="AF442:AG442">LINEST(G423:G442,D423:D442)</f>
        <v>11.260150375939833</v>
      </c>
      <c r="AG442" s="37">
        <v>-3.9907969924811959</v>
      </c>
      <c r="AH442" s="37" cm="1">
        <f t="array" ref="AH442:AI442">LINEST(G418:G442,D418:D442)</f>
        <v>8.8172307692307665</v>
      </c>
      <c r="AI442" s="37">
        <v>-3.0382646153846138</v>
      </c>
      <c r="AJ442" s="37" cm="1">
        <f t="array" ref="AJ442:AK442">LINEST(G413:G442,D413:D442)</f>
        <v>7.6773303670745241</v>
      </c>
      <c r="AK442" s="37">
        <v>-2.5967870226177228</v>
      </c>
      <c r="AL442" s="40" t="s">
        <v>85</v>
      </c>
    </row>
    <row r="443" spans="1:38" x14ac:dyDescent="0.25">
      <c r="A443" s="61">
        <v>502</v>
      </c>
      <c r="B443" s="14">
        <f t="shared" si="6"/>
        <v>437</v>
      </c>
      <c r="C443" s="15">
        <v>43981</v>
      </c>
      <c r="D443" s="16">
        <v>0.40097222222222223</v>
      </c>
      <c r="E443" s="36">
        <v>20.03</v>
      </c>
      <c r="F443" s="36">
        <v>1.18</v>
      </c>
      <c r="G443" s="36">
        <v>0.62</v>
      </c>
      <c r="H443" s="56" cm="1">
        <f t="array" ref="H443:I443">LINEST(E434:E443,D434:D443)</f>
        <v>0.13090909090906563</v>
      </c>
      <c r="I443" s="56">
        <v>20.071327272727284</v>
      </c>
      <c r="J443" s="56" cm="1">
        <f t="array" ref="J443:K443">LINEST(E429:E443,D429:D443)</f>
        <v>7.8685714285713946</v>
      </c>
      <c r="K443" s="56">
        <v>17.005421428571442</v>
      </c>
      <c r="L443" s="56" cm="1">
        <f t="array" ref="L443:M443">LINEST(E424:E443,D424:D443)</f>
        <v>4.2712781954886996</v>
      </c>
      <c r="M443" s="56">
        <v>18.418193233082714</v>
      </c>
      <c r="N443" s="56" cm="1">
        <f t="array" ref="N443:O443">LINEST(E419:E443,D419:D443)</f>
        <v>0.95261538461539219</v>
      </c>
      <c r="O443" s="56">
        <v>19.717504615384613</v>
      </c>
      <c r="P443" s="56" cm="1">
        <f t="array" ref="P443:Q443">LINEST(E414:E443,D414:D443)</f>
        <v>1.0027141268075823</v>
      </c>
      <c r="Q443" s="56">
        <v>19.698133036707443</v>
      </c>
      <c r="R443" s="56" cm="1">
        <f t="array" ref="R443:S443">LINEST(F434:F443,D434:D443)</f>
        <v>15.578181818181879</v>
      </c>
      <c r="S443" s="56">
        <v>-5.2780545454545704</v>
      </c>
      <c r="T443" s="56" cm="1">
        <f t="array" ref="T443:U443">LINEST(F429:F443,D429:D443)</f>
        <v>46.542857142857073</v>
      </c>
      <c r="U443" s="56">
        <v>-17.547226190476163</v>
      </c>
      <c r="V443" s="56" cm="1">
        <f t="array" ref="V443:W443">LINEST(F424:F443,D424:D443)</f>
        <v>27.64691729323307</v>
      </c>
      <c r="W443" s="56">
        <v>-10.115360150375936</v>
      </c>
      <c r="X443" s="56" cm="1">
        <f t="array" ref="X443:Y443">LINEST(F419:F443,D419:D443)</f>
        <v>22.037538461538478</v>
      </c>
      <c r="Y443" s="56">
        <v>-7.9259484615384688</v>
      </c>
      <c r="Z443" s="56" cm="1">
        <f t="array" ref="Z443:AA443">LINEST(F414:F443,D414:D443)</f>
        <v>19.444004449388206</v>
      </c>
      <c r="AA443" s="56">
        <v>-6.915925027808675</v>
      </c>
      <c r="AB443" s="37" cm="1">
        <f t="array" ref="AB443:AC443">LINEST(G434:G443,D434:D443)</f>
        <v>21.120000000000072</v>
      </c>
      <c r="AC443" s="37">
        <v>-7.8645333333333625</v>
      </c>
      <c r="AD443" s="37" cm="1">
        <f t="array" ref="AD443:AE443">LINEST(G429:G443,D429:D443)</f>
        <v>18.848571428571361</v>
      </c>
      <c r="AE443" s="37">
        <v>-6.9671702380952114</v>
      </c>
      <c r="AF443" s="37" cm="1">
        <f t="array" ref="AF443:AG443">LINEST(G424:G443,D424:D443)</f>
        <v>12.57022556390975</v>
      </c>
      <c r="AG443" s="37">
        <v>-4.4954541353383357</v>
      </c>
      <c r="AH443" s="37" cm="1">
        <f t="array" ref="AH443:AI443">LINEST(G419:G443,D419:D443)</f>
        <v>9.8418461538461486</v>
      </c>
      <c r="AI443" s="37">
        <v>-3.4282761538461517</v>
      </c>
      <c r="AJ443" s="37" cm="1">
        <f t="array" ref="AJ443:AK443">LINEST(G414:G443,D414:D443)</f>
        <v>8.609566184649605</v>
      </c>
      <c r="AK443" s="37">
        <v>-2.9491431219873907</v>
      </c>
    </row>
    <row r="444" spans="1:38" x14ac:dyDescent="0.25">
      <c r="A444" s="61">
        <v>502</v>
      </c>
      <c r="B444" s="14">
        <f t="shared" si="6"/>
        <v>438</v>
      </c>
      <c r="C444" s="15">
        <v>43981</v>
      </c>
      <c r="D444" s="16">
        <v>0.40236111111111111</v>
      </c>
      <c r="E444" s="36">
        <v>20.059999999999999</v>
      </c>
      <c r="F444" s="36">
        <v>1.18</v>
      </c>
      <c r="G444" s="36">
        <v>0.66</v>
      </c>
      <c r="H444" s="56" cm="1">
        <f t="array" ref="H444:I444">LINEST(E435:E444,D435:D444)</f>
        <v>-6.32727272727284</v>
      </c>
      <c r="I444" s="56">
        <v>22.63130303030308</v>
      </c>
      <c r="J444" s="56" cm="1">
        <f t="array" ref="J444:K444">LINEST(E430:E444,D430:D444)</f>
        <v>5.5028571428570761</v>
      </c>
      <c r="K444" s="56">
        <v>17.928030952380976</v>
      </c>
      <c r="L444" s="56" cm="1">
        <f t="array" ref="L444:M444">LINEST(E425:E444,D425:D444)</f>
        <v>5.0941353383458319</v>
      </c>
      <c r="M444" s="56">
        <v>18.087032330827078</v>
      </c>
      <c r="N444" s="56" cm="1">
        <f t="array" ref="N444:O444">LINEST(E420:E444,D420:D444)</f>
        <v>0.98584615384614993</v>
      </c>
      <c r="O444" s="56">
        <v>19.70136461538462</v>
      </c>
      <c r="P444" s="56" cm="1">
        <f t="array" ref="P444:Q444">LINEST(E415:E444,D415:D444)</f>
        <v>0.76084538375975241</v>
      </c>
      <c r="Q444" s="56">
        <v>19.789521319985159</v>
      </c>
      <c r="R444" s="56" cm="1">
        <f t="array" ref="R444:S444">LINEST(F435:F444,D435:D444)</f>
        <v>0.30545454545455997</v>
      </c>
      <c r="S444" s="56">
        <v>0.83800606060605487</v>
      </c>
      <c r="T444" s="56" cm="1">
        <f t="array" ref="T444:U444">LINEST(F430:F444,D430:D444)</f>
        <v>43.045714285714247</v>
      </c>
      <c r="U444" s="56">
        <v>-16.162754761904747</v>
      </c>
      <c r="V444" s="56" cm="1">
        <f t="array" ref="V444:W444">LINEST(F425:F444,D425:D444)</f>
        <v>36.790375939849575</v>
      </c>
      <c r="W444" s="56">
        <v>-13.697587969924793</v>
      </c>
      <c r="X444" s="56" cm="1">
        <f t="array" ref="X444:Y444">LINEST(F420:F444,D420:D444)</f>
        <v>28.190769230769234</v>
      </c>
      <c r="Y444" s="56">
        <v>-10.31502307692308</v>
      </c>
      <c r="Z444" s="56" cm="1">
        <f t="array" ref="Z444:AA444">LINEST(F415:F444,D415:D444)</f>
        <v>21.020155728587316</v>
      </c>
      <c r="AA444" s="56">
        <v>-7.511370634037819</v>
      </c>
      <c r="AB444" s="37" cm="1">
        <f t="array" ref="AB444:AC444">LINEST(G435:G444,D435:D444)</f>
        <v>19.287272727272796</v>
      </c>
      <c r="AC444" s="37">
        <v>-7.1299030303030584</v>
      </c>
      <c r="AD444" s="37" cm="1">
        <f t="array" ref="AD444:AE444">LINEST(G430:G444,D430:D444)</f>
        <v>20.777142857142792</v>
      </c>
      <c r="AE444" s="37">
        <v>-7.7252476190475923</v>
      </c>
      <c r="AF444" s="37" cm="1">
        <f t="array" ref="AF444:AG444">LINEST(G425:G444,D425:D444)</f>
        <v>14.448721804511248</v>
      </c>
      <c r="AG444" s="37">
        <v>-5.2254609022556275</v>
      </c>
      <c r="AH444" s="37" cm="1">
        <f t="array" ref="AH444:AI444">LINEST(G420:G444,D420:D444)</f>
        <v>11.270769230769222</v>
      </c>
      <c r="AI444" s="37">
        <v>-3.9774730769230731</v>
      </c>
      <c r="AJ444" s="37" cm="1">
        <f t="array" ref="AJ444:AK444">LINEST(G415:G444,D415:D444)</f>
        <v>9.5498109010011074</v>
      </c>
      <c r="AK444" s="37">
        <v>-3.3054832777159788</v>
      </c>
    </row>
    <row r="445" spans="1:38" x14ac:dyDescent="0.25">
      <c r="A445" s="61">
        <v>502</v>
      </c>
      <c r="B445" s="14">
        <f t="shared" si="6"/>
        <v>439</v>
      </c>
      <c r="C445" s="15">
        <v>43981</v>
      </c>
      <c r="D445" s="16">
        <v>0.40375</v>
      </c>
      <c r="E445" s="36">
        <v>20.07</v>
      </c>
      <c r="F445" s="36">
        <v>0.27</v>
      </c>
      <c r="G445" s="36">
        <v>0.63</v>
      </c>
      <c r="H445" s="56" cm="1">
        <f t="array" ref="H445:I445">LINEST(E436:E445,D436:D445)</f>
        <v>-11.1272727272728</v>
      </c>
      <c r="I445" s="56">
        <v>24.548090909090938</v>
      </c>
      <c r="J445" s="56" cm="1">
        <f t="array" ref="J445:K445">LINEST(E431:E445,D431:D445)</f>
        <v>2.9314285714285346</v>
      </c>
      <c r="K445" s="56">
        <v>18.939602380952394</v>
      </c>
      <c r="L445" s="56" cm="1">
        <f t="array" ref="L445:M445">LINEST(E426:E445,D426:D445)</f>
        <v>6.2418045112781861</v>
      </c>
      <c r="M445" s="56">
        <v>17.626728571428576</v>
      </c>
      <c r="N445" s="56" cm="1">
        <f t="array" ref="N445:O445">LINEST(E421:E445,D421:D445)</f>
        <v>1.1132307692307648</v>
      </c>
      <c r="O445" s="56">
        <v>19.649086923076922</v>
      </c>
      <c r="P445" s="56" cm="1">
        <f t="array" ref="P445:Q445">LINEST(E416:E445,D416:D445)</f>
        <v>0.6118798665183719</v>
      </c>
      <c r="Q445" s="56">
        <v>19.84594275120503</v>
      </c>
      <c r="R445" s="56" cm="1">
        <f t="array" ref="R445:S445">LINEST(F436:F445,D436:D445)</f>
        <v>-18.545454545454628</v>
      </c>
      <c r="S445" s="56">
        <v>8.2448181818182142</v>
      </c>
      <c r="T445" s="56" cm="1">
        <f t="array" ref="T445:U445">LINEST(F431:F445,D431:D445)</f>
        <v>16.122857142857232</v>
      </c>
      <c r="U445" s="56">
        <v>-5.5855202380952731</v>
      </c>
      <c r="V445" s="56" cm="1">
        <f t="array" ref="V445:W445">LINEST(F426:F445,D426:D445)</f>
        <v>29.779849624060144</v>
      </c>
      <c r="W445" s="56">
        <v>-11.01318571428571</v>
      </c>
      <c r="X445" s="56" cm="1">
        <f t="array" ref="X445:Y445">LINEST(F421:F445,D421:D445)</f>
        <v>23.411076923076926</v>
      </c>
      <c r="Y445" s="56">
        <v>-8.4996376923076937</v>
      </c>
      <c r="Z445" s="56" cm="1">
        <f t="array" ref="Z445:AA445">LINEST(F416:F445,D416:D445)</f>
        <v>19.085205784204675</v>
      </c>
      <c r="AA445" s="56">
        <v>-6.8016303299962946</v>
      </c>
      <c r="AB445" s="37" cm="1">
        <f t="array" ref="AB445:AC445">LINEST(G436:G445,D436:D445)</f>
        <v>16.320000000000061</v>
      </c>
      <c r="AC445" s="37">
        <v>-5.9492000000000242</v>
      </c>
      <c r="AD445" s="37" cm="1">
        <f t="array" ref="AD445:AE445">LINEST(G431:G445,D431:D445)</f>
        <v>20.365714285714258</v>
      </c>
      <c r="AE445" s="37">
        <v>-7.5659904761904651</v>
      </c>
      <c r="AF445" s="37" cm="1">
        <f t="array" ref="AF445:AG445">LINEST(G426:G445,D426:D445)</f>
        <v>15.618045112781921</v>
      </c>
      <c r="AG445" s="37">
        <v>-5.6852142857142711</v>
      </c>
      <c r="AH445" s="37" cm="1">
        <f t="array" ref="AH445:AI445">LINEST(G421:G445,D421:D445)</f>
        <v>12.212307692307681</v>
      </c>
      <c r="AI445" s="37">
        <v>-4.3427807692307647</v>
      </c>
      <c r="AJ445" s="37" cm="1">
        <f t="array" ref="AJ445:AK445">LINEST(G416:G445,D416:D445)</f>
        <v>10.256195773081192</v>
      </c>
      <c r="AK445" s="37">
        <v>-3.5760573229514248</v>
      </c>
    </row>
    <row r="446" spans="1:38" x14ac:dyDescent="0.25">
      <c r="A446" s="61">
        <v>502</v>
      </c>
      <c r="B446" s="14">
        <f t="shared" si="6"/>
        <v>440</v>
      </c>
      <c r="C446" s="15">
        <v>43981</v>
      </c>
      <c r="D446" s="16">
        <v>0.40513888888888888</v>
      </c>
      <c r="E446" s="36">
        <v>20.100000000000001</v>
      </c>
      <c r="F446" s="36">
        <v>0.84</v>
      </c>
      <c r="G446" s="36">
        <v>0.65</v>
      </c>
      <c r="H446" s="56" cm="1">
        <f t="array" ref="H446:I446">LINEST(E437:E446,D437:D446)</f>
        <v>-11.38909090909087</v>
      </c>
      <c r="I446" s="56">
        <v>24.663981818181803</v>
      </c>
      <c r="J446" s="56" cm="1">
        <f t="array" ref="J446:K446">LINEST(E432:E446,D432:D446)</f>
        <v>1.2857142857143111</v>
      </c>
      <c r="K446" s="56">
        <v>19.5922738095238</v>
      </c>
      <c r="L446" s="56" cm="1">
        <f t="array" ref="L446:M446">LINEST(E427:E446,D427:D446)</f>
        <v>5.1915789473684484</v>
      </c>
      <c r="M446" s="56">
        <v>18.037689473684203</v>
      </c>
      <c r="N446" s="56" cm="1">
        <f t="array" ref="N446:O446">LINEST(E422:E446,D422:D446)</f>
        <v>1.6061538461538452</v>
      </c>
      <c r="O446" s="56">
        <v>19.454853846153849</v>
      </c>
      <c r="P446" s="56" cm="1">
        <f t="array" ref="P446:Q446">LINEST(E417:E446,D417:D446)</f>
        <v>0.59906562847610578</v>
      </c>
      <c r="Q446" s="56">
        <v>19.851359733036695</v>
      </c>
      <c r="R446" s="56" cm="1">
        <f t="array" ref="R446:S446">LINEST(F437:F446,D437:D446)</f>
        <v>28.014545454545544</v>
      </c>
      <c r="S446" s="56">
        <v>-10.404690909090945</v>
      </c>
      <c r="T446" s="56" cm="1">
        <f t="array" ref="T446:U446">LINEST(F432:F446,D432:D446)</f>
        <v>18.514285714285855</v>
      </c>
      <c r="U446" s="56">
        <v>-6.5521904761905319</v>
      </c>
      <c r="V446" s="56" cm="1">
        <f t="array" ref="V446:W446">LINEST(F427:F446,D427:D446)</f>
        <v>28.686315789473699</v>
      </c>
      <c r="W446" s="56">
        <v>-10.599942105263162</v>
      </c>
      <c r="X446" s="56" cm="1">
        <f t="array" ref="X446:Y446">LINEST(F422:F446,D422:D446)</f>
        <v>24.086769230769235</v>
      </c>
      <c r="Y446" s="56">
        <v>-8.777040769230771</v>
      </c>
      <c r="Z446" s="56" cm="1">
        <f t="array" ref="Z446:AA446">LINEST(F417:F446,D417:D446)</f>
        <v>17.992791991101235</v>
      </c>
      <c r="AA446" s="56">
        <v>-6.3795582499073094</v>
      </c>
      <c r="AB446" s="37" cm="1">
        <f t="array" ref="AB446:AC446">LINEST(G437:G446,D437:D446)</f>
        <v>17.454545454545514</v>
      </c>
      <c r="AC446" s="37">
        <v>-6.4064242424242659</v>
      </c>
      <c r="AD446" s="37" cm="1">
        <f t="array" ref="AD446:AE446">LINEST(G432:G446,D432:D446)</f>
        <v>20.339999999999993</v>
      </c>
      <c r="AE446" s="37">
        <v>-7.5601083333333303</v>
      </c>
      <c r="AF446" s="37" cm="1">
        <f t="array" ref="AF446:AG446">LINEST(G427:G446,D427:D446)</f>
        <v>16.624962406015001</v>
      </c>
      <c r="AG446" s="37">
        <v>-6.0835616541353223</v>
      </c>
      <c r="AH446" s="37" cm="1">
        <f t="array" ref="AH446:AI446">LINEST(G422:G446,D422:D446)</f>
        <v>13.153846153846137</v>
      </c>
      <c r="AI446" s="37">
        <v>-4.7103038461538391</v>
      </c>
      <c r="AJ446" s="37" cm="1">
        <f t="array" ref="AJ446:AK446">LINEST(G417:G446,D417:D446)</f>
        <v>10.874482758620683</v>
      </c>
      <c r="AK446" s="37">
        <v>-3.8136758620689628</v>
      </c>
    </row>
    <row r="447" spans="1:38" x14ac:dyDescent="0.25">
      <c r="A447" s="61">
        <v>502</v>
      </c>
      <c r="B447" s="14">
        <f t="shared" si="6"/>
        <v>441</v>
      </c>
      <c r="C447" s="15">
        <v>43981</v>
      </c>
      <c r="D447" s="16">
        <v>0.40652777777777777</v>
      </c>
      <c r="E447" s="36">
        <v>20.13</v>
      </c>
      <c r="F447" s="36">
        <v>0.84</v>
      </c>
      <c r="G447" s="36">
        <v>0.66</v>
      </c>
      <c r="H447" s="56" cm="1">
        <f t="array" ref="H447:I447">LINEST(E438:E447,D438:D447)</f>
        <v>-9.6436363636364035</v>
      </c>
      <c r="I447" s="56">
        <v>23.979133333333344</v>
      </c>
      <c r="J447" s="56" cm="1">
        <f t="array" ref="J447:K447">LINEST(E433:E447,D433:D447)</f>
        <v>0.15428571428570934</v>
      </c>
      <c r="K447" s="56">
        <v>20.046778571428579</v>
      </c>
      <c r="L447" s="56" cm="1">
        <f t="array" ref="L447:M447">LINEST(E428:E447,D428:D447)</f>
        <v>4.6177443609022673</v>
      </c>
      <c r="M447" s="56">
        <v>18.264187218045109</v>
      </c>
      <c r="N447" s="56" cm="1">
        <f t="array" ref="N447:O447">LINEST(E423:E447,D423:D447)</f>
        <v>2.2430769230769219</v>
      </c>
      <c r="O447" s="56">
        <v>19.204711538461538</v>
      </c>
      <c r="P447" s="56" cm="1">
        <f t="array" ref="P447:Q447">LINEST(E418:E447,D418:D447)</f>
        <v>0.71279199110123548</v>
      </c>
      <c r="Q447" s="56">
        <v>19.80891842788283</v>
      </c>
      <c r="R447" s="56" cm="1">
        <f t="array" ref="R447:S447">LINEST(F438:F447,D438:D447)</f>
        <v>20.203636363636427</v>
      </c>
      <c r="S447" s="56">
        <v>-7.2880666666666922</v>
      </c>
      <c r="T447" s="56" cm="1">
        <f t="array" ref="T447:U447">LINEST(F433:F447,D433:D447)</f>
        <v>13.242857142857279</v>
      </c>
      <c r="U447" s="56">
        <v>-4.4601726190476736</v>
      </c>
      <c r="V447" s="56" cm="1">
        <f t="array" ref="V447:W447">LINEST(F428:F447,D428:D447)</f>
        <v>27.029774436090264</v>
      </c>
      <c r="W447" s="56">
        <v>-9.9622112781955039</v>
      </c>
      <c r="X447" s="56" cm="1">
        <f t="array" ref="X447:Y447">LINEST(F423:F447,D423:D447)</f>
        <v>19.766769230769249</v>
      </c>
      <c r="Y447" s="56">
        <v>-7.0822946153846207</v>
      </c>
      <c r="Z447" s="56" cm="1">
        <f t="array" ref="Z447:AA447">LINEST(F418:F447,D418:D447)</f>
        <v>15.886451612903238</v>
      </c>
      <c r="AA447" s="56">
        <v>-5.5576817204301117</v>
      </c>
      <c r="AB447" s="37" cm="1">
        <f t="array" ref="AB447:AC447">LINEST(G438:G447,D438:D447)</f>
        <v>17.410909090909154</v>
      </c>
      <c r="AC447" s="37">
        <v>-6.3942000000000245</v>
      </c>
      <c r="AD447" s="37" cm="1">
        <f t="array" ref="AD447:AE447">LINEST(G433:G447,D433:D447)</f>
        <v>19.774285714285753</v>
      </c>
      <c r="AE447" s="37">
        <v>-7.3398797619047773</v>
      </c>
      <c r="AF447" s="37" cm="1">
        <f t="array" ref="AF447:AG447">LINEST(G428:G447,D428:D447)</f>
        <v>17.458646616541326</v>
      </c>
      <c r="AG447" s="37">
        <v>-6.4165676691729212</v>
      </c>
      <c r="AH447" s="37" cm="1">
        <f t="array" ref="AH447:AI447">LINEST(G423:G447,D423:D447)</f>
        <v>13.663384615384599</v>
      </c>
      <c r="AI447" s="37">
        <v>-4.9100223076922997</v>
      </c>
      <c r="AJ447" s="37" cm="1">
        <f t="array" ref="AJ447:AK447">LINEST(G418:G447,D418:D447)</f>
        <v>11.249299221357061</v>
      </c>
      <c r="AK447" s="37">
        <v>-3.9576042269187974</v>
      </c>
    </row>
    <row r="448" spans="1:38" x14ac:dyDescent="0.25">
      <c r="A448" s="61">
        <v>502</v>
      </c>
      <c r="B448" s="14">
        <f t="shared" si="6"/>
        <v>442</v>
      </c>
      <c r="C448" s="15">
        <v>43981</v>
      </c>
      <c r="D448" s="16">
        <v>0.40791666666666665</v>
      </c>
      <c r="E448" s="36">
        <v>20.21</v>
      </c>
      <c r="F448" s="36">
        <v>2.62</v>
      </c>
      <c r="G448" s="36">
        <v>0.82</v>
      </c>
      <c r="H448" s="56" cm="1">
        <f t="array" ref="H448:I448">LINEST(E439:E448,D439:D448)</f>
        <v>-3.6218181818180621</v>
      </c>
      <c r="I448" s="56">
        <v>21.577763636363585</v>
      </c>
      <c r="J448" s="56" cm="1">
        <f t="array" ref="J448:K448">LINEST(E434:E448,D434:D448)</f>
        <v>0.38571428571431021</v>
      </c>
      <c r="K448" s="56">
        <v>19.966410714285704</v>
      </c>
      <c r="L448" s="56" cm="1">
        <f t="array" ref="L448:M448">LINEST(E429:E448,D429:D448)</f>
        <v>4.920902255639108</v>
      </c>
      <c r="M448" s="56">
        <v>18.149110526315784</v>
      </c>
      <c r="N448" s="56" cm="1">
        <f t="array" ref="N448:O448">LINEST(E424:E448,D424:D448)</f>
        <v>3.4781538461538424</v>
      </c>
      <c r="O448" s="56">
        <v>18.721572307692309</v>
      </c>
      <c r="P448" s="56" cm="1">
        <f t="array" ref="P448:Q448">LINEST(E419:E448,D419:D448)</f>
        <v>1.2750166852057927</v>
      </c>
      <c r="Q448" s="56">
        <v>19.594243529847979</v>
      </c>
      <c r="R448" s="56" cm="1">
        <f t="array" ref="R448:S448">LINEST(F439:F448,D439:D448)</f>
        <v>78.807272727273016</v>
      </c>
      <c r="S448" s="56">
        <v>-30.646254545454664</v>
      </c>
      <c r="T448" s="56" cm="1">
        <f t="array" ref="T448:U448">LINEST(F434:F448,D434:D448)</f>
        <v>31.397142857142963</v>
      </c>
      <c r="U448" s="56">
        <v>-11.538167857142898</v>
      </c>
      <c r="V448" s="56" cm="1">
        <f t="array" ref="V448:W448">LINEST(F429:F448,D429:D448)</f>
        <v>43.11879699248118</v>
      </c>
      <c r="W448" s="56">
        <v>-16.235447368421042</v>
      </c>
      <c r="X448" s="56" cm="1">
        <f t="array" ref="X448:Y448">LINEST(F424:F448,D424:D448)</f>
        <v>31.131692307692305</v>
      </c>
      <c r="Y448" s="56">
        <v>-11.465874615384614</v>
      </c>
      <c r="Z448" s="56" cm="1">
        <f t="array" ref="Z448:AA448">LINEST(F419:F448,D419:D448)</f>
        <v>26.001690767519474</v>
      </c>
      <c r="AA448" s="56">
        <v>-9.4385445309603284</v>
      </c>
      <c r="AB448" s="37" cm="1">
        <f t="array" ref="AB448:AC448">LINEST(G439:G448,D439:D448)</f>
        <v>22.472727272727347</v>
      </c>
      <c r="AC448" s="37">
        <v>-8.4175454545454844</v>
      </c>
      <c r="AD448" s="37" cm="1">
        <f t="array" ref="AD448:AE448">LINEST(G434:G448,D434:D448)</f>
        <v>20.751428571428644</v>
      </c>
      <c r="AE448" s="37">
        <v>-7.7204369047619332</v>
      </c>
      <c r="AF448" s="37" cm="1">
        <f t="array" ref="AF448:AG448">LINEST(G429:G448,D429:D448)</f>
        <v>19.548270676691708</v>
      </c>
      <c r="AG448" s="37">
        <v>-7.2396368421052539</v>
      </c>
      <c r="AH448" s="37" cm="1">
        <f t="array" ref="AH448:AI448">LINEST(G424:G448,D424:D448)</f>
        <v>15.070153846153833</v>
      </c>
      <c r="AI448" s="37">
        <v>-5.4561976923076863</v>
      </c>
      <c r="AJ448" s="37" cm="1">
        <f t="array" ref="AJ448:AK448">LINEST(G419:G448,D419:D448)</f>
        <v>12.412191323692991</v>
      </c>
      <c r="AK448" s="37">
        <v>-4.404171968854282</v>
      </c>
    </row>
    <row r="449" spans="1:38" x14ac:dyDescent="0.25">
      <c r="A449" s="61">
        <v>502</v>
      </c>
      <c r="B449" s="14">
        <f t="shared" si="6"/>
        <v>443</v>
      </c>
      <c r="C449" s="15">
        <v>43981</v>
      </c>
      <c r="D449" s="16">
        <v>0.40930555555555559</v>
      </c>
      <c r="E449" s="36">
        <v>20.22</v>
      </c>
      <c r="F449" s="36">
        <v>0.12</v>
      </c>
      <c r="G449" s="36">
        <v>0.76</v>
      </c>
      <c r="H449" s="56" cm="1">
        <f t="array" ref="H449:I449">LINEST(E440:E449,D440:D449)</f>
        <v>3.8836363636364748</v>
      </c>
      <c r="I449" s="56">
        <v>18.559678787878742</v>
      </c>
      <c r="J449" s="56" cm="1">
        <f t="array" ref="J449:K449">LINEST(E435:E449,D435:D449)</f>
        <v>0.54000000000000248</v>
      </c>
      <c r="K449" s="56">
        <v>19.916225000000001</v>
      </c>
      <c r="L449" s="56" cm="1">
        <f t="array" ref="L449:M449">LINEST(E430:E449,D430:D449)</f>
        <v>5.088721804511259</v>
      </c>
      <c r="M449" s="56">
        <v>18.087300751879706</v>
      </c>
      <c r="N449" s="56" cm="1">
        <f t="array" ref="N449:O449">LINEST(E425:E449,D425:D449)</f>
        <v>4.9513846153846028</v>
      </c>
      <c r="O449" s="56">
        <v>18.140693846153845</v>
      </c>
      <c r="P449" s="56" cm="1">
        <f t="array" ref="P449:Q449">LINEST(E420:E449,D420:D449)</f>
        <v>1.9910122358175755</v>
      </c>
      <c r="Q449" s="56">
        <v>19.317497738227662</v>
      </c>
      <c r="R449" s="56" cm="1">
        <f t="array" ref="R449:S449">LINEST(F440:F449,D440:D449)</f>
        <v>30.10909090909059</v>
      </c>
      <c r="S449" s="56">
        <v>-11.187636363636233</v>
      </c>
      <c r="T449" s="56" cm="1">
        <f t="array" ref="T449:U449">LINEST(F435:F449,D435:D449)</f>
        <v>2.5457142857142152</v>
      </c>
      <c r="U449" s="56">
        <v>-6.5224999999971889E-2</v>
      </c>
      <c r="V449" s="56" cm="1">
        <f t="array" ref="V449:W449">LINEST(F430:F449,D430:D449)</f>
        <v>27.82015037593985</v>
      </c>
      <c r="W449" s="56">
        <v>-10.23137067669173</v>
      </c>
      <c r="X449" s="56" cm="1">
        <f t="array" ref="X449:Y449">LINEST(F425:F449,D425:D449)</f>
        <v>28.445538461538444</v>
      </c>
      <c r="Y449" s="56">
        <v>-10.485224615384608</v>
      </c>
      <c r="Z449" s="56" cm="1">
        <f t="array" ref="Z449:AA449">LINEST(F420:F449,D420:D449)</f>
        <v>24.38869855394881</v>
      </c>
      <c r="AA449" s="56">
        <v>-8.8699351872450762</v>
      </c>
      <c r="AB449" s="37" cm="1">
        <f t="array" ref="AB449:AC449">LINEST(G440:G449,D440:D449)</f>
        <v>23.170909090909113</v>
      </c>
      <c r="AC449" s="37">
        <v>-8.7041636363636439</v>
      </c>
      <c r="AD449" s="37" cm="1">
        <f t="array" ref="AD449:AE449">LINEST(G435:G449,D435:D449)</f>
        <v>19.260000000000051</v>
      </c>
      <c r="AE449" s="37">
        <v>-7.1213083333333547</v>
      </c>
      <c r="AF449" s="37" cm="1">
        <f t="array" ref="AF449:AG449">LINEST(G430:G449,D430:D449)</f>
        <v>20.230375939849601</v>
      </c>
      <c r="AG449" s="37">
        <v>-7.5129766917293148</v>
      </c>
      <c r="AH449" s="37" cm="1">
        <f t="array" ref="AH449:AI449">LINEST(G425:G449,D425:D449)</f>
        <v>16.116923076923051</v>
      </c>
      <c r="AI449" s="37">
        <v>-5.8693307692307588</v>
      </c>
      <c r="AJ449" s="37" cm="1">
        <f t="array" ref="AJ449:AK449">LINEST(G420:G449,D420:D449)</f>
        <v>13.352436040044477</v>
      </c>
      <c r="AK449" s="37">
        <v>-4.770989692250641</v>
      </c>
      <c r="AL449" s="47" t="s">
        <v>24</v>
      </c>
    </row>
    <row r="450" spans="1:38" x14ac:dyDescent="0.25">
      <c r="A450" s="61">
        <v>502</v>
      </c>
      <c r="B450" s="14">
        <f t="shared" si="6"/>
        <v>444</v>
      </c>
      <c r="C450" s="15">
        <v>43981</v>
      </c>
      <c r="D450" s="16">
        <v>0.41069444444444447</v>
      </c>
      <c r="E450" s="36">
        <v>20.309999999999999</v>
      </c>
      <c r="F450" s="36">
        <v>2.78</v>
      </c>
      <c r="G450" s="36">
        <v>0.92</v>
      </c>
      <c r="H450" s="56" cm="1">
        <f t="array" ref="H450:I450">LINEST(E441:E450,D441:D450)</f>
        <v>14.749090909090965</v>
      </c>
      <c r="I450" s="56">
        <v>14.170812121212098</v>
      </c>
      <c r="J450" s="56" cm="1">
        <f t="array" ref="J450:K450">LINEST(E436:E450,D436:D450)</f>
        <v>2.4685714285714373</v>
      </c>
      <c r="K450" s="56">
        <v>19.158171428571425</v>
      </c>
      <c r="L450" s="56" cm="1">
        <f t="array" ref="L450:M450">LINEST(E431:E450,D431:D450)</f>
        <v>5.819548872180424</v>
      </c>
      <c r="M450" s="56">
        <v>17.806229323308276</v>
      </c>
      <c r="N450" s="56" cm="1">
        <f t="array" ref="N450:O450">LINEST(E426:E450,D426:D450)</f>
        <v>7.0615384615384515</v>
      </c>
      <c r="O450" s="56">
        <v>17.307957692307696</v>
      </c>
      <c r="P450" s="56" cm="1">
        <f t="array" ref="P450:Q450">LINEST(E421:E450,D421:D450)</f>
        <v>3.0898331479421506</v>
      </c>
      <c r="Q450" s="56">
        <v>18.892248498331483</v>
      </c>
      <c r="R450" s="56" cm="1">
        <f t="array" ref="R450:S450">LINEST(F441:F450,D441:D450)</f>
        <v>59.912727272727196</v>
      </c>
      <c r="S450" s="56">
        <v>-23.012369696969664</v>
      </c>
      <c r="T450" s="56" cm="1">
        <f t="array" ref="T450:U450">LINEST(F436:F450,D436:D450)</f>
        <v>39.111428571428654</v>
      </c>
      <c r="U450" s="56">
        <v>-14.620596428571462</v>
      </c>
      <c r="V450" s="56" cm="1">
        <f t="array" ref="V450:W450">LINEST(F431:F450,D431:D450)</f>
        <v>37.521203007518793</v>
      </c>
      <c r="W450" s="56">
        <v>-13.979178195488721</v>
      </c>
      <c r="X450" s="56" cm="1">
        <f t="array" ref="X450:Y450">LINEST(F426:F450,D426:D450)</f>
        <v>39.760615384615356</v>
      </c>
      <c r="Y450" s="56">
        <v>-14.884786923076909</v>
      </c>
      <c r="Z450" s="56" cm="1">
        <f t="array" ref="Z450:AA450">LINEST(F421:F450,D421:D450)</f>
        <v>32.125294771968846</v>
      </c>
      <c r="AA450" s="56">
        <v>-11.83804568038561</v>
      </c>
      <c r="AB450" s="37" cm="1">
        <f t="array" ref="AB450:AC450">LINEST(G441:G450,D441:D450)</f>
        <v>25.963636363636372</v>
      </c>
      <c r="AC450" s="37">
        <v>-9.8198484848484888</v>
      </c>
      <c r="AD450" s="37" cm="1">
        <f t="array" ref="AD450:AE450">LINEST(G436:G450,D436:D450)</f>
        <v>20.854285714285762</v>
      </c>
      <c r="AE450" s="37">
        <v>-7.7493226190476383</v>
      </c>
      <c r="AF450" s="37" cm="1">
        <f t="array" ref="AF450:AG450">LINEST(G431:G450,D431:D450)</f>
        <v>21.583759398496227</v>
      </c>
      <c r="AG450" s="37">
        <v>-8.0450443609022511</v>
      </c>
      <c r="AH450" s="37" cm="1">
        <f t="array" ref="AH450:AI450">LINEST(G426:G450,D426:D450)</f>
        <v>17.966769230769202</v>
      </c>
      <c r="AI450" s="37">
        <v>-6.5954061538461408</v>
      </c>
      <c r="AJ450" s="37" cm="1">
        <f t="array" ref="AJ450:AK450">LINEST(G421:G450,D421:D450)</f>
        <v>14.829276974416008</v>
      </c>
      <c r="AK450" s="37">
        <v>-5.3443231738969175</v>
      </c>
    </row>
    <row r="451" spans="1:38" x14ac:dyDescent="0.25">
      <c r="A451" s="61">
        <v>502</v>
      </c>
      <c r="B451" s="14">
        <f t="shared" si="6"/>
        <v>445</v>
      </c>
      <c r="C451" s="15">
        <v>43981</v>
      </c>
      <c r="D451" s="16">
        <v>0.41208333333333336</v>
      </c>
      <c r="E451" s="36">
        <v>20.34</v>
      </c>
      <c r="F451" s="36">
        <v>0.81</v>
      </c>
      <c r="G451" s="36">
        <v>0.91</v>
      </c>
      <c r="H451" s="56" cm="1">
        <f t="array" ref="H451:I451">LINEST(E442:E451,D442:D451)</f>
        <v>27.752727272727221</v>
      </c>
      <c r="I451" s="56">
        <v>8.883018181818203</v>
      </c>
      <c r="J451" s="56" cm="1">
        <f t="array" ref="J451:K451">LINEST(E437:E451,D437:D451)</f>
        <v>5.7600000000000362</v>
      </c>
      <c r="K451" s="56">
        <v>17.843733333333319</v>
      </c>
      <c r="L451" s="56" cm="1">
        <f t="array" ref="L451:M451">LINEST(E432:E451,D432:D451)</f>
        <v>6.8427067669172903</v>
      </c>
      <c r="M451" s="56">
        <v>17.406520300751875</v>
      </c>
      <c r="N451" s="56" cm="1">
        <f t="array" ref="N451:O451">LINEST(E427:E451,D427:D451)</f>
        <v>7.6375384615384601</v>
      </c>
      <c r="O451" s="56">
        <v>17.086389999999998</v>
      </c>
      <c r="P451" s="56" cm="1">
        <f t="array" ref="P451:Q451">LINEST(E422:E451,D422:D451)</f>
        <v>4.3632480533926445</v>
      </c>
      <c r="Q451" s="56">
        <v>18.395849165739719</v>
      </c>
      <c r="R451" s="56" cm="1">
        <f t="array" ref="R451:S451">LINEST(F442:F451,D442:D451)</f>
        <v>41.978181818181611</v>
      </c>
      <c r="S451" s="56">
        <v>-15.854145454545373</v>
      </c>
      <c r="T451" s="56" cm="1">
        <f t="array" ref="T451:U451">LINEST(F437:F451,D437:D451)</f>
        <v>51.197142857142843</v>
      </c>
      <c r="U451" s="56">
        <v>-19.608405952380949</v>
      </c>
      <c r="V451" s="56" cm="1">
        <f t="array" ref="V451:W451">LINEST(F432:F451,D432:D451)</f>
        <v>34.917293233082717</v>
      </c>
      <c r="W451" s="56">
        <v>-12.993120300751881</v>
      </c>
      <c r="X451" s="56" cm="1">
        <f t="array" ref="X451:Y451">LINEST(F427:F451,D427:D451)</f>
        <v>36.620307692307662</v>
      </c>
      <c r="Y451" s="56">
        <v>-13.678679999999986</v>
      </c>
      <c r="Z451" s="56" cm="1">
        <f t="array" ref="Z451:AA451">LINEST(F422:F451,D422:D451)</f>
        <v>31.063314794215771</v>
      </c>
      <c r="AA451" s="56">
        <v>-11.452760326288459</v>
      </c>
      <c r="AB451" s="37" cm="1">
        <f t="array" ref="AB451:AC451">LINEST(G442:G451,D442:D451)</f>
        <v>27.229090909090878</v>
      </c>
      <c r="AC451" s="37">
        <v>-10.330472727272715</v>
      </c>
      <c r="AD451" s="37" cm="1">
        <f t="array" ref="AD451:AE451">LINEST(G437:G451,D437:D451)</f>
        <v>23.271428571428601</v>
      </c>
      <c r="AE451" s="37">
        <v>-8.7215178571428709</v>
      </c>
      <c r="AF451" s="37" cm="1">
        <f t="array" ref="AF451:AG451">LINEST(G432:G451,D432:D451)</f>
        <v>22.666466165413535</v>
      </c>
      <c r="AG451" s="37">
        <v>-8.4759015037593972</v>
      </c>
      <c r="AH451" s="37" cm="1">
        <f t="array" ref="AH451:AI451">LINEST(G427:G451,D427:D451)</f>
        <v>19.401230769230747</v>
      </c>
      <c r="AI451" s="37">
        <v>-7.1627699999999903</v>
      </c>
      <c r="AJ451" s="37" cm="1">
        <f t="array" ref="AJ451:AK451">LINEST(G422:G451,D422:D451)</f>
        <v>16.097886540600655</v>
      </c>
      <c r="AK451" s="37">
        <v>-5.8408105302187563</v>
      </c>
    </row>
    <row r="452" spans="1:38" x14ac:dyDescent="0.25">
      <c r="A452" s="61">
        <v>502</v>
      </c>
      <c r="B452" s="14">
        <f t="shared" si="6"/>
        <v>446</v>
      </c>
      <c r="C452" s="15">
        <v>43981</v>
      </c>
      <c r="D452" s="16">
        <v>0.41347222222222224</v>
      </c>
      <c r="E452" s="36">
        <v>20.38</v>
      </c>
      <c r="F452" s="36">
        <v>1.3</v>
      </c>
      <c r="G452" s="36">
        <v>0.94</v>
      </c>
      <c r="H452" s="56" cm="1">
        <f t="array" ref="H452:I452">LINEST(E443:E452,D443:D452)</f>
        <v>29.45454545454529</v>
      </c>
      <c r="I452" s="56">
        <v>8.190454545454612</v>
      </c>
      <c r="J452" s="56" cm="1">
        <f t="array" ref="J452:K452">LINEST(E438:E452,D438:D452)</f>
        <v>9.4628571428571462</v>
      </c>
      <c r="K452" s="56">
        <v>16.356038095238091</v>
      </c>
      <c r="L452" s="56" cm="1">
        <f t="array" ref="L452:M452">LINEST(E433:E452,D433:D452)</f>
        <v>8.0336842105263067</v>
      </c>
      <c r="M452" s="56">
        <v>16.93829473684211</v>
      </c>
      <c r="N452" s="56" cm="1">
        <f t="array" ref="N452:O452">LINEST(E428:E452,D428:D452)</f>
        <v>8.4738461538461429</v>
      </c>
      <c r="O452" s="56">
        <v>16.760330769230773</v>
      </c>
      <c r="P452" s="56" cm="1">
        <f t="array" ref="P452:Q452">LINEST(E423:E452,D423:D452)</f>
        <v>5.7055394883203423</v>
      </c>
      <c r="Q452" s="56">
        <v>17.870487801260666</v>
      </c>
      <c r="R452" s="56" cm="1">
        <f t="array" ref="R452:S452">LINEST(F443:F452,D443:D452)</f>
        <v>46.516363636363337</v>
      </c>
      <c r="S452" s="56">
        <v>-17.748496969696848</v>
      </c>
      <c r="T452" s="56" cm="1">
        <f t="array" ref="T452:U452">LINEST(F438:F452,D438:D452)</f>
        <v>47.674285714285681</v>
      </c>
      <c r="U452" s="56">
        <v>-18.207159523809509</v>
      </c>
      <c r="V452" s="56" cm="1">
        <f t="array" ref="V452:W452">LINEST(F433:F452,D433:D452)</f>
        <v>33.157894736842159</v>
      </c>
      <c r="W452" s="56">
        <v>-12.294868421052657</v>
      </c>
      <c r="X452" s="56" cm="1">
        <f t="array" ref="X452:Y452">LINEST(F428:F452,D428:D452)</f>
        <v>36.46523076923075</v>
      </c>
      <c r="Y452" s="56">
        <v>-13.628806153846146</v>
      </c>
      <c r="Z452" s="56" cm="1">
        <f t="array" ref="Z452:AA452">LINEST(F423:F452,D423:D452)</f>
        <v>28.868876529477181</v>
      </c>
      <c r="AA452" s="56">
        <v>-10.580758101594355</v>
      </c>
      <c r="AB452" s="37" cm="1">
        <f t="array" ref="AB452:AC452">LINEST(G443:G452,D443:D452)</f>
        <v>28.669090909090855</v>
      </c>
      <c r="AC452" s="37">
        <v>-10.917690909090886</v>
      </c>
      <c r="AD452" s="37" cm="1">
        <f t="array" ref="AD452:AE452">LINEST(G438:G452,D438:D452)</f>
        <v>25.097142857142874</v>
      </c>
      <c r="AE452" s="37">
        <v>-9.4596380952381018</v>
      </c>
      <c r="AF452" s="37" cm="1">
        <f t="array" ref="AF452:AG452">LINEST(G433:G452,D433:D452)</f>
        <v>23.50015037593986</v>
      </c>
      <c r="AG452" s="37">
        <v>-8.8090879699248177</v>
      </c>
      <c r="AH452" s="37" cm="1">
        <f t="array" ref="AH452:AI452">LINEST(G428:G452,D428:D452)</f>
        <v>20.763692307692292</v>
      </c>
      <c r="AI452" s="37">
        <v>-7.7047484615384541</v>
      </c>
      <c r="AJ452" s="37" cm="1">
        <f t="array" ref="AJ452:AK452">LINEST(G423:G452,D423:D452)</f>
        <v>17.102202447163499</v>
      </c>
      <c r="AK452" s="37">
        <v>-6.2345329625509747</v>
      </c>
    </row>
    <row r="453" spans="1:38" x14ac:dyDescent="0.25">
      <c r="A453" s="61">
        <v>502</v>
      </c>
      <c r="B453" s="14">
        <f t="shared" si="6"/>
        <v>447</v>
      </c>
      <c r="C453" s="15">
        <v>43981</v>
      </c>
      <c r="D453" s="16">
        <v>0.41486111111111112</v>
      </c>
      <c r="E453" s="36">
        <v>20.41</v>
      </c>
      <c r="F453" s="36">
        <v>0.86</v>
      </c>
      <c r="G453" s="36">
        <v>0.94</v>
      </c>
      <c r="H453" s="56" cm="1">
        <f t="array" ref="H453:I453">LINEST(E444:E453,D444:D453)</f>
        <v>30.850909090908988</v>
      </c>
      <c r="I453" s="56">
        <v>7.6169757575757959</v>
      </c>
      <c r="J453" s="56" cm="1">
        <f t="array" ref="J453:K453">LINEST(E439:E453,D439:D453)</f>
        <v>13.525714285714333</v>
      </c>
      <c r="K453" s="56">
        <v>14.712873809523787</v>
      </c>
      <c r="L453" s="56" cm="1">
        <f t="array" ref="L453:M453">LINEST(E434:E453,D434:D453)</f>
        <v>9.2571428571428758</v>
      </c>
      <c r="M453" s="56">
        <v>16.454714285714275</v>
      </c>
      <c r="N453" s="56" cm="1">
        <f t="array" ref="N453:O453">LINEST(E429:E453,D429:D453)</f>
        <v>9.4264615384615187</v>
      </c>
      <c r="O453" s="56">
        <v>16.38603538461539</v>
      </c>
      <c r="P453" s="56" cm="1">
        <f t="array" ref="P453:Q453">LINEST(E424:E453,D424:D453)</f>
        <v>7.1535483870967553</v>
      </c>
      <c r="Q453" s="56">
        <v>17.300335483870974</v>
      </c>
      <c r="R453" s="56" cm="1">
        <f t="array" ref="R453:S453">LINEST(F444:F453,D444:D453)</f>
        <v>32.727272727272435</v>
      </c>
      <c r="S453" s="56">
        <v>-12.210727272727155</v>
      </c>
      <c r="T453" s="56" cm="1">
        <f t="array" ref="T453:U453">LINEST(F439:F453,D439:D453)</f>
        <v>33.891428571428492</v>
      </c>
      <c r="U453" s="56">
        <v>-12.667402380952351</v>
      </c>
      <c r="V453" s="56" cm="1">
        <f t="array" ref="V453:W453">LINEST(F434:F453,D434:D453)</f>
        <v>21.746165413533852</v>
      </c>
      <c r="W453" s="56">
        <v>-7.7182097744360982</v>
      </c>
      <c r="X453" s="56" cm="1">
        <f t="array" ref="X453:Y453">LINEST(F429:F453,D429:D453)</f>
        <v>32.843076923076907</v>
      </c>
      <c r="Y453" s="56">
        <v>-12.215530769230762</v>
      </c>
      <c r="Z453" s="56" cm="1">
        <f t="array" ref="Z453:AA453">LINEST(F424:F453,D424:D453)</f>
        <v>27.209432703003323</v>
      </c>
      <c r="AA453" s="56">
        <v>-9.9491677419354794</v>
      </c>
      <c r="AB453" s="37" cm="1">
        <f t="array" ref="AB453:AC453">LINEST(G444:G453,D444:D453)</f>
        <v>29.279999999999927</v>
      </c>
      <c r="AC453" s="37">
        <v>-11.175133333333306</v>
      </c>
      <c r="AD453" s="37" cm="1">
        <f t="array" ref="AD453:AE453">LINEST(G439:G453,D439:D453)</f>
        <v>25.920000000000005</v>
      </c>
      <c r="AE453" s="37">
        <v>-9.7972000000000019</v>
      </c>
      <c r="AF453" s="37" cm="1">
        <f t="array" ref="AF453:AG453">LINEST(G434:G453,D434:D453)</f>
        <v>23.413533834586499</v>
      </c>
      <c r="AG453" s="37">
        <v>-8.7739360902255772</v>
      </c>
      <c r="AH453" s="37" cm="1">
        <f t="array" ref="AH453:AI453">LINEST(G429:G453,D429:D453)</f>
        <v>21.771692307692284</v>
      </c>
      <c r="AI453" s="37">
        <v>-8.1093669230769123</v>
      </c>
      <c r="AJ453" s="37" cm="1">
        <f t="array" ref="AJ453:AK453">LINEST(G424:G453,D424:D453)</f>
        <v>17.92872080088986</v>
      </c>
      <c r="AK453" s="37">
        <v>-6.5611978494623582</v>
      </c>
    </row>
    <row r="454" spans="1:38" x14ac:dyDescent="0.25">
      <c r="A454" s="61">
        <v>502</v>
      </c>
      <c r="B454" s="14">
        <f t="shared" si="6"/>
        <v>448</v>
      </c>
      <c r="C454" s="15">
        <v>43981</v>
      </c>
      <c r="D454" s="16">
        <v>0.41625000000000001</v>
      </c>
      <c r="E454" s="36">
        <v>20.45</v>
      </c>
      <c r="F454" s="36">
        <v>1.35</v>
      </c>
      <c r="G454" s="36">
        <v>0.97</v>
      </c>
      <c r="H454" s="56" cm="1">
        <f t="array" ref="H454:I454">LINEST(E445:E454,D445:D454)</f>
        <v>31.941818181818014</v>
      </c>
      <c r="I454" s="56">
        <v>7.1658545454546108</v>
      </c>
      <c r="J454" s="56" cm="1">
        <f t="array" ref="J454:K454">LINEST(E440:E454,D440:D454)</f>
        <v>18.308571428571454</v>
      </c>
      <c r="K454" s="56">
        <v>12.76639047619047</v>
      </c>
      <c r="L454" s="56" cm="1">
        <f t="array" ref="L454:M454">LINEST(E435:E454,D435:D454)</f>
        <v>10.594285714285721</v>
      </c>
      <c r="M454" s="56">
        <v>15.923414285714284</v>
      </c>
      <c r="N454" s="56" cm="1">
        <f t="array" ref="N454:O454">LINEST(E430:E454,D430:D454)</f>
        <v>10.412307692307666</v>
      </c>
      <c r="O454" s="56">
        <v>15.997415384615394</v>
      </c>
      <c r="P454" s="56" cm="1">
        <f t="array" ref="P454:Q454">LINEST(E425:E454,D425:D454)</f>
        <v>8.8466295884315684</v>
      </c>
      <c r="Q454" s="56">
        <v>16.629418390804602</v>
      </c>
      <c r="R454" s="56" cm="1">
        <f t="array" ref="R454:S454">LINEST(F445:F454,D445:D454)</f>
        <v>40.974545454545186</v>
      </c>
      <c r="S454" s="56">
        <v>-15.620563636363526</v>
      </c>
      <c r="T454" s="56" cm="1">
        <f t="array" ref="T454:U454">LINEST(F440:F454,D440:D454)</f>
        <v>31.988571428571358</v>
      </c>
      <c r="U454" s="56">
        <v>-11.898909523809493</v>
      </c>
      <c r="V454" s="56" cm="1">
        <f t="array" ref="V454:W454">LINEST(F435:F454,D435:D454)</f>
        <v>17.030977443609029</v>
      </c>
      <c r="W454" s="56">
        <v>-5.7954300751879737</v>
      </c>
      <c r="X454" s="56" cm="1">
        <f t="array" ref="X454:Y454">LINEST(F430:F454,D430:D454)</f>
        <v>30.162461538461542</v>
      </c>
      <c r="Y454" s="56">
        <v>-11.137616923076925</v>
      </c>
      <c r="Z454" s="56" cm="1">
        <f t="array" ref="Z454:AA454">LINEST(F425:F454,D425:D454)</f>
        <v>30.29766407119018</v>
      </c>
      <c r="AA454" s="56">
        <v>-11.194908045976998</v>
      </c>
      <c r="AB454" s="37" cm="1">
        <f t="array" ref="AB454:AC454">LINEST(G445:G454,D445:D454)</f>
        <v>30.196363636363561</v>
      </c>
      <c r="AC454" s="37">
        <v>-11.560509090909061</v>
      </c>
      <c r="AD454" s="37" cm="1">
        <f t="array" ref="AD454:AE454">LINEST(G440:G454,D440:D454)</f>
        <v>26.511428571428571</v>
      </c>
      <c r="AE454" s="37">
        <v>-10.042298809523809</v>
      </c>
      <c r="AF454" s="37" cm="1">
        <f t="array" ref="AF454:AG454">LINEST(G435:G454,D435:D454)</f>
        <v>22.920902255639128</v>
      </c>
      <c r="AG454" s="37">
        <v>-8.5733969924812179</v>
      </c>
      <c r="AH454" s="37" cm="1">
        <f t="array" ref="AH454:AI454">LINEST(G430:G454,D430:D454)</f>
        <v>22.480615384615366</v>
      </c>
      <c r="AI454" s="37">
        <v>-8.3952792307692228</v>
      </c>
      <c r="AJ454" s="37" cm="1">
        <f t="array" ref="AJ454:AK454">LINEST(G425:G454,D425:D454)</f>
        <v>18.918620689655153</v>
      </c>
      <c r="AK454" s="37">
        <v>-6.9555425287356245</v>
      </c>
    </row>
    <row r="455" spans="1:38" ht="15.75" thickBot="1" x14ac:dyDescent="0.3">
      <c r="A455" s="61">
        <v>502</v>
      </c>
      <c r="B455" s="14">
        <f t="shared" si="6"/>
        <v>449</v>
      </c>
      <c r="C455" s="15">
        <v>43981</v>
      </c>
      <c r="D455" s="16">
        <v>0.41763888888888889</v>
      </c>
      <c r="E455" s="70">
        <v>20.49</v>
      </c>
      <c r="F455" s="70">
        <v>1.21</v>
      </c>
      <c r="G455" s="70">
        <v>0.99</v>
      </c>
      <c r="H455" s="56" cm="1">
        <f t="array" ref="H455:I455">LINEST(E446:E455,D446:D455)</f>
        <v>31.67999999999984</v>
      </c>
      <c r="I455" s="56">
        <v>7.2712000000000643</v>
      </c>
      <c r="J455" s="56" cm="1">
        <f t="array" ref="J455:K455">LINEST(E441:E455,D441:D455)</f>
        <v>23.168571428571422</v>
      </c>
      <c r="K455" s="56">
        <v>10.77782023809524</v>
      </c>
      <c r="L455" s="56" cm="1">
        <f t="array" ref="L455:M455">LINEST(E436:E455,D436:D455)</f>
        <v>12.24</v>
      </c>
      <c r="M455" s="56">
        <v>15.264099999999997</v>
      </c>
      <c r="N455" s="56" cm="1">
        <f t="array" ref="N455:O455">LINEST(E431:E455,D431:D455)</f>
        <v>11.337230769230741</v>
      </c>
      <c r="O455" s="56">
        <v>15.632485384615391</v>
      </c>
      <c r="P455" s="56" cm="1">
        <f t="array" ref="P455:Q455">LINEST(E426:E455,D426:D455)</f>
        <v>10.682269187986627</v>
      </c>
      <c r="Q455" s="56">
        <v>15.898131331108649</v>
      </c>
      <c r="R455" s="56" cm="1">
        <f t="array" ref="R455:S455">LINEST(F446:F455,D446:D455)</f>
        <v>-1.4400000000001618</v>
      </c>
      <c r="S455" s="56">
        <v>1.8654000000000668</v>
      </c>
      <c r="T455" s="56" cm="1">
        <f t="array" ref="T455:U455">LINEST(F441:F455,D441:D455)</f>
        <v>12.574285714285685</v>
      </c>
      <c r="U455" s="56">
        <v>-3.9479273809523687</v>
      </c>
      <c r="V455" s="56" cm="1">
        <f t="array" ref="V455:W455">LINEST(F436:F455,D436:D455)</f>
        <v>19.174736842105265</v>
      </c>
      <c r="W455" s="56">
        <v>-6.6821157894736842</v>
      </c>
      <c r="X455" s="56" cm="1">
        <f t="array" ref="X455:Y455">LINEST(F431:F455,D431:D455)</f>
        <v>24.38584615384617</v>
      </c>
      <c r="Y455" s="56">
        <v>-8.8084469230769322</v>
      </c>
      <c r="Z455" s="56" cm="1">
        <f t="array" ref="Z455:AA455">LINEST(F426:F455,D426:D455)</f>
        <v>29.757864293659612</v>
      </c>
      <c r="AA455" s="56">
        <v>-10.992751056729693</v>
      </c>
      <c r="AB455" s="37" cm="1">
        <f t="array" ref="AB455:AC455">LINEST(G446:G455,D446:D455)</f>
        <v>27.752727272727242</v>
      </c>
      <c r="AC455" s="37">
        <v>-10.561163636363624</v>
      </c>
      <c r="AD455" s="37" cm="1">
        <f t="array" ref="AD455:AE455">LINEST(G441:G455,D441:D455)</f>
        <v>25.431428571428558</v>
      </c>
      <c r="AE455" s="37">
        <v>-9.6032369047618982</v>
      </c>
      <c r="AF455" s="37" cm="1">
        <f t="array" ref="AF455:AG455">LINEST(G436:G455,D436:D455)</f>
        <v>22.682706766917313</v>
      </c>
      <c r="AG455" s="37">
        <v>-8.4768947368421124</v>
      </c>
      <c r="AH455" s="37" cm="1">
        <f t="array" ref="AH455:AI455">LINEST(G431:G455,D431:D455)</f>
        <v>22.652307692307691</v>
      </c>
      <c r="AI455" s="37">
        <v>-8.4653461538461556</v>
      </c>
      <c r="AJ455" s="37" cm="1">
        <f t="array" ref="AJ455:AK455">LINEST(G426:G455,D426:D455)</f>
        <v>19.783581757508319</v>
      </c>
      <c r="AK455" s="37">
        <v>-7.3023070819428888</v>
      </c>
      <c r="AL455" s="40" t="s">
        <v>89</v>
      </c>
    </row>
    <row r="456" spans="1:38" ht="15.75" thickBot="1" x14ac:dyDescent="0.3">
      <c r="A456" s="61">
        <v>502</v>
      </c>
      <c r="B456" s="14">
        <f t="shared" si="6"/>
        <v>450</v>
      </c>
      <c r="C456" s="15">
        <v>43981</v>
      </c>
      <c r="D456" s="68">
        <v>0.41902777777777778</v>
      </c>
      <c r="E456" s="72">
        <v>20.7</v>
      </c>
      <c r="F456" s="72">
        <v>1.21</v>
      </c>
      <c r="G456" s="72">
        <v>1</v>
      </c>
      <c r="H456" s="69" cm="1">
        <f t="array" ref="H456:I456">LINEST(E447:E456,D447:D456)</f>
        <v>37.439999999999927</v>
      </c>
      <c r="I456" s="56">
        <v>4.9096000000000259</v>
      </c>
      <c r="J456" s="56" cm="1">
        <f t="array" ref="J456:K456">LINEST(E442:E456,D442:D456)</f>
        <v>31.885714285714222</v>
      </c>
      <c r="K456" s="56">
        <v>7.2083333333333606</v>
      </c>
      <c r="L456" s="56" cm="1">
        <f t="array" ref="L456:M456">LINEST(E437:E456,D437:D456)</f>
        <v>16.38676691729324</v>
      </c>
      <c r="M456" s="56">
        <v>13.592203759398492</v>
      </c>
      <c r="N456" s="56" cm="1">
        <f t="array" ref="N456:O456">LINEST(E432:E456,D432:D456)</f>
        <v>13.591384615384595</v>
      </c>
      <c r="O456" s="56">
        <v>14.737355384615388</v>
      </c>
      <c r="P456" s="56" cm="1">
        <f t="array" ref="P456:Q456">LINEST(E427:E456,D427:D456)</f>
        <v>12.248809788654041</v>
      </c>
      <c r="Q456" s="56">
        <v>15.283752539859112</v>
      </c>
      <c r="R456" s="56" cm="1">
        <f t="array" ref="R456:S456">LINEST(F447:F456,D447:D456)</f>
        <v>-24.698181818181965</v>
      </c>
      <c r="S456" s="56">
        <v>11.504860606060667</v>
      </c>
      <c r="T456" s="56" cm="1">
        <f t="array" ref="T456:U456">LINEST(F442:F456,D442:D456)</f>
        <v>13.062857142857103</v>
      </c>
      <c r="U456" s="56">
        <v>-4.1633666666666498</v>
      </c>
      <c r="V456" s="56" cm="1">
        <f t="array" ref="V456:W456">LINEST(F437:F456,D437:D456)</f>
        <v>29.644511278195491</v>
      </c>
      <c r="W456" s="56">
        <v>-10.990730827067672</v>
      </c>
      <c r="X456" s="56" cm="1">
        <f t="array" ref="X456:Y456">LINEST(F432:F456,D432:D456)</f>
        <v>24.906461538461567</v>
      </c>
      <c r="Y456" s="56">
        <v>-9.0361915384615514</v>
      </c>
      <c r="Z456" s="56" cm="1">
        <f t="array" ref="Z456:AA456">LINEST(F427:F456,D427:D456)</f>
        <v>28.932947719688535</v>
      </c>
      <c r="AA456" s="56">
        <v>-10.675364701520204</v>
      </c>
      <c r="AB456" s="37" cm="1">
        <f t="array" ref="AB456:AC456">LINEST(G447:G456,D447:D456)</f>
        <v>23.520000000000007</v>
      </c>
      <c r="AC456" s="37">
        <v>-8.817533333333337</v>
      </c>
      <c r="AD456" s="37" cm="1">
        <f t="array" ref="AD456:AE456">LINEST(G442:G456,D442:D456)</f>
        <v>24.402857142857133</v>
      </c>
      <c r="AE456" s="37">
        <v>-9.1855583333333293</v>
      </c>
      <c r="AF456" s="37" cm="1">
        <f t="array" ref="AF456:AG456">LINEST(G437:G456,D437:D456)</f>
        <v>23.218646616541371</v>
      </c>
      <c r="AG456" s="37">
        <v>-8.6994007518797076</v>
      </c>
      <c r="AH456" s="37" cm="1">
        <f t="array" ref="AH456:AI456">LINEST(G432:G456,D432:D456)</f>
        <v>22.835076923076922</v>
      </c>
      <c r="AI456" s="37">
        <v>-8.5419469230769245</v>
      </c>
      <c r="AJ456" s="37" cm="1">
        <f t="array" ref="AJ456:AK456">LINEST(G427:G456,D427:D456)</f>
        <v>20.470745272525008</v>
      </c>
      <c r="AK456" s="37">
        <v>-7.5802195031516399</v>
      </c>
      <c r="AL456" s="66" t="s">
        <v>21</v>
      </c>
    </row>
    <row r="457" spans="1:38" x14ac:dyDescent="0.25">
      <c r="A457" s="61">
        <v>502</v>
      </c>
      <c r="B457" s="14">
        <f t="shared" ref="B457:B461" si="7">B456+1</f>
        <v>451</v>
      </c>
      <c r="C457" s="15">
        <v>43981</v>
      </c>
      <c r="D457" s="16">
        <v>0.42041666666666666</v>
      </c>
      <c r="E457" s="71">
        <v>21.89</v>
      </c>
      <c r="F457" s="71">
        <v>1.21</v>
      </c>
      <c r="G457" s="71">
        <v>1.02</v>
      </c>
      <c r="H457" s="56" cm="1">
        <f t="array" ref="H457:I457">LINEST(E448:E457,D448:D457)</f>
        <v>86.138181818181863</v>
      </c>
      <c r="I457" s="56">
        <v>-15.135563636363663</v>
      </c>
      <c r="J457" s="56" cm="1">
        <f t="array" ref="J457:K457">LINEST(E443:E457,D443:D457)</f>
        <v>55.697142857142765</v>
      </c>
      <c r="K457" s="56">
        <v>-2.4885071428571059</v>
      </c>
      <c r="L457" s="56" cm="1">
        <f t="array" ref="L457:M457">LINEST(E438:E457,D438:D457)</f>
        <v>32.280902255639091</v>
      </c>
      <c r="M457" s="56">
        <v>7.1839992481202977</v>
      </c>
      <c r="N457" s="56" cm="1">
        <f t="array" ref="N457:O457">LINEST(E433:E457,D433:D457)</f>
        <v>23.444307692307692</v>
      </c>
      <c r="O457" s="56">
        <v>10.81516076923077</v>
      </c>
      <c r="P457" s="56" cm="1">
        <f t="array" ref="P457:Q457">LINEST(E428:E457,D428:D457)</f>
        <v>19.24858731924358</v>
      </c>
      <c r="Q457" s="56">
        <v>12.528884909158336</v>
      </c>
      <c r="R457" s="56" cm="1">
        <f t="array" ref="R457:S457">LINEST(F448:F457,D448:D457)</f>
        <v>-51.185454545454959</v>
      </c>
      <c r="S457" s="56">
        <v>22.546309090909268</v>
      </c>
      <c r="T457" s="56" cm="1">
        <f t="array" ref="T457:U457">LINEST(F443:F457,D443:D457)</f>
        <v>13.474285714285683</v>
      </c>
      <c r="U457" s="56">
        <v>-4.3484809523809389</v>
      </c>
      <c r="V457" s="56" cm="1">
        <f t="array" ref="V457:W457">LINEST(F438:F457,D438:D457)</f>
        <v>25.82255639097745</v>
      </c>
      <c r="W457" s="56">
        <v>-9.4425187969924842</v>
      </c>
      <c r="X457" s="56" cm="1">
        <f t="array" ref="X457:Y457">LINEST(F433:F457,D433:D457)</f>
        <v>22.547076923076958</v>
      </c>
      <c r="Y457" s="56">
        <v>-8.0877823076923221</v>
      </c>
      <c r="Z457" s="56" cm="1">
        <f t="array" ref="Z457:AA457">LINEST(F428:F457,D428:D457)</f>
        <v>27.822914349276971</v>
      </c>
      <c r="AA457" s="56">
        <v>-10.241560993696696</v>
      </c>
      <c r="AB457" s="37" cm="1">
        <f t="array" ref="AB457:AC457">LINEST(G448:G457,D448:D457)</f>
        <v>17.498181818181841</v>
      </c>
      <c r="AC457" s="37">
        <v>-6.320163636363648</v>
      </c>
      <c r="AD457" s="37" cm="1">
        <f t="array" ref="AD457:AE457">LINEST(G443:G457,D443:D457)</f>
        <v>23.528571428571432</v>
      </c>
      <c r="AE457" s="37">
        <v>-8.8303869047619052</v>
      </c>
      <c r="AF457" s="37" cm="1">
        <f t="array" ref="AF457:AG457">LINEST(G438:G457,D438:D457)</f>
        <v>23.386466165413548</v>
      </c>
      <c r="AG457" s="37">
        <v>-8.7724887218045193</v>
      </c>
      <c r="AH457" s="37" cm="1">
        <f t="array" ref="AH457:AI457">LINEST(G433:G457,D433:D457)</f>
        <v>22.829538461538476</v>
      </c>
      <c r="AI457" s="37">
        <v>-8.542626153846161</v>
      </c>
      <c r="AJ457" s="37" cm="1">
        <f t="array" ref="AJ457:AK457">LINEST(G428:G457,D428:D457)</f>
        <v>21.073014460511661</v>
      </c>
      <c r="AK457" s="37">
        <v>-7.8257260659992482</v>
      </c>
    </row>
    <row r="458" spans="1:38" x14ac:dyDescent="0.25">
      <c r="A458" s="61">
        <v>502</v>
      </c>
      <c r="B458" s="14">
        <f t="shared" si="7"/>
        <v>452</v>
      </c>
      <c r="C458" s="15">
        <v>43981</v>
      </c>
      <c r="D458" s="16">
        <v>0.42180555555555554</v>
      </c>
      <c r="E458" s="36">
        <v>21.98</v>
      </c>
      <c r="F458" s="36">
        <v>1.21</v>
      </c>
      <c r="G458" s="36">
        <v>1.04</v>
      </c>
      <c r="H458" s="56" cm="1">
        <f t="array" ref="H458:I458">LINEST(E449:E458,D449:D458)</f>
        <v>126.85090909090961</v>
      </c>
      <c r="I458" s="56">
        <v>-31.996600000000221</v>
      </c>
      <c r="J458" s="56" cm="1">
        <f t="array" ref="J458:K458">LINEST(E444:E458,D444:D458)</f>
        <v>77.065714285714208</v>
      </c>
      <c r="K458" s="56">
        <v>-11.241496428571402</v>
      </c>
      <c r="L458" s="56" cm="1">
        <f t="array" ref="L458:M458">LINEST(E439:E458,D439:D458)</f>
        <v>47.444210526315828</v>
      </c>
      <c r="M458" s="56">
        <v>1.0337684210526099</v>
      </c>
      <c r="N458" s="56" cm="1">
        <f t="array" ref="N458:O458">LINEST(E434:E458,D434:D458)</f>
        <v>32.931692307692344</v>
      </c>
      <c r="O458" s="56">
        <v>7.0168907692307538</v>
      </c>
      <c r="P458" s="56" cm="1">
        <f t="array" ref="P458:Q458">LINEST(E429:E458,D429:D458)</f>
        <v>26.15065628476081</v>
      </c>
      <c r="Q458" s="56">
        <v>9.7961530589544079</v>
      </c>
      <c r="R458" s="56" cm="1">
        <f t="array" ref="R458:S458">LINEST(F449:F458,D449:D458)</f>
        <v>4.5381818181818376</v>
      </c>
      <c r="S458" s="56">
        <v>-0.67986666666667461</v>
      </c>
      <c r="T458" s="56" cm="1">
        <f t="array" ref="T458:U458">LINEST(F444:F458,D444:D458)</f>
        <v>13.808571428571399</v>
      </c>
      <c r="U458" s="56">
        <v>-4.5029488095237991</v>
      </c>
      <c r="V458" s="56" cm="1">
        <f t="array" ref="V458:W458">LINEST(F439:F458,D439:D458)</f>
        <v>21.058646616541346</v>
      </c>
      <c r="W458" s="56">
        <v>-7.4977969924812014</v>
      </c>
      <c r="X458" s="56" cm="1">
        <f t="array" ref="X458:Y458">LINEST(F434:F458,D434:D458)</f>
        <v>17.102769230769244</v>
      </c>
      <c r="Y458" s="56">
        <v>-5.868196923076928</v>
      </c>
      <c r="Z458" s="56" cm="1">
        <f t="array" ref="Z458:AA458">LINEST(F429:F458,D429:D458)</f>
        <v>26.427764182424927</v>
      </c>
      <c r="AA458" s="56">
        <v>-9.6901519466073456</v>
      </c>
      <c r="AB458" s="37" cm="1">
        <f t="array" ref="AB458:AC458">LINEST(G449:G458,D449:D458)</f>
        <v>16.800000000000058</v>
      </c>
      <c r="AC458" s="37">
        <v>-6.0323333333333577</v>
      </c>
      <c r="AD458" s="37" cm="1">
        <f t="array" ref="AD458:AE458">LINEST(G444:G458,D444:D458)</f>
        <v>22.885714285714297</v>
      </c>
      <c r="AE458" s="37">
        <v>-8.5701547619047673</v>
      </c>
      <c r="AF458" s="37" cm="1">
        <f t="array" ref="AF458:AG458">LINEST(G439:G458,D439:D458)</f>
        <v>23.278195488721813</v>
      </c>
      <c r="AG458" s="37">
        <v>-8.732729323308277</v>
      </c>
      <c r="AH458" s="37" cm="1">
        <f t="array" ref="AH458:AI458">LINEST(G434:G458,D434:D458)</f>
        <v>22.41415384615388</v>
      </c>
      <c r="AI458" s="37">
        <v>-8.3756453846153978</v>
      </c>
      <c r="AJ458" s="37" cm="1">
        <f t="array" ref="AJ458:AK458">LINEST(G429:G458,D429:D458)</f>
        <v>21.53753058954393</v>
      </c>
      <c r="AK458" s="37">
        <v>-8.0169081201334791</v>
      </c>
    </row>
    <row r="459" spans="1:38" x14ac:dyDescent="0.25">
      <c r="A459" s="61">
        <v>502</v>
      </c>
      <c r="B459" s="14">
        <f t="shared" si="7"/>
        <v>453</v>
      </c>
      <c r="C459" s="15">
        <v>43981</v>
      </c>
      <c r="D459" s="16">
        <v>0.42319444444444443</v>
      </c>
      <c r="E459" s="36">
        <v>22</v>
      </c>
      <c r="F459" s="36">
        <v>0.57999999999999996</v>
      </c>
      <c r="G459" s="36">
        <v>1</v>
      </c>
      <c r="H459" s="56" cm="1">
        <f t="array" ref="H459:I459">LINEST(E450:E459,D450:D459)</f>
        <v>153.3818181818188</v>
      </c>
      <c r="I459" s="56">
        <v>-43.056696969697242</v>
      </c>
      <c r="J459" s="56" cm="1">
        <f t="array" ref="J459:K459">LINEST(E445:E459,D445:D459)</f>
        <v>94.397142857142796</v>
      </c>
      <c r="K459" s="56">
        <v>-18.385263095238074</v>
      </c>
      <c r="L459" s="56" cm="1">
        <f t="array" ref="L459:M459">LINEST(E440:E459,D440:D459)</f>
        <v>61.194586466165433</v>
      </c>
      <c r="M459" s="56">
        <v>-4.5797804511278244</v>
      </c>
      <c r="N459" s="56" cm="1">
        <f t="array" ref="N459:O459">LINEST(E435:E459,D435:D459)</f>
        <v>41.544000000000047</v>
      </c>
      <c r="O459" s="56">
        <v>3.5484099999999792</v>
      </c>
      <c r="P459" s="56" cm="1">
        <f t="array" ref="P459:Q459">LINEST(E430:E459,D430:D459)</f>
        <v>32.508120133481619</v>
      </c>
      <c r="Q459" s="56">
        <v>7.264421579532824</v>
      </c>
      <c r="R459" s="56" cm="1">
        <f t="array" ref="R459:S459">LINEST(F450:F459,D450:D459)</f>
        <v>-72.174545454545708</v>
      </c>
      <c r="S459" s="56">
        <v>31.344775757575867</v>
      </c>
      <c r="T459" s="56" cm="1">
        <f t="array" ref="T459:U459">LINEST(F445:F459,D445:D459)</f>
        <v>2.7257142857142695</v>
      </c>
      <c r="U459" s="56">
        <v>2.0326190476197104E-2</v>
      </c>
      <c r="V459" s="56" cm="1">
        <f t="array" ref="V459:W459">LINEST(F440:F459,D440:D459)</f>
        <v>11.238496240601505</v>
      </c>
      <c r="W459" s="56">
        <v>-3.5077834586466161</v>
      </c>
      <c r="X459" s="56" cm="1">
        <f t="array" ref="X459:Y459">LINEST(F435:F459,D435:D459)</f>
        <v>8.4295384615384723</v>
      </c>
      <c r="Y459" s="56">
        <v>-2.3548415384615438</v>
      </c>
      <c r="Z459" s="56" cm="1">
        <f t="array" ref="Z459:AA459">LINEST(F430:F459,D430:D459)</f>
        <v>20.430700778642958</v>
      </c>
      <c r="AA459" s="56">
        <v>-7.2917074527252606</v>
      </c>
      <c r="AB459" s="37" cm="1">
        <f t="array" ref="AB459:AC459">LINEST(G450:G459,D450:D459)</f>
        <v>9.7309090909091225</v>
      </c>
      <c r="AC459" s="37">
        <v>-3.0842484848484988</v>
      </c>
      <c r="AD459" s="37" cm="1">
        <f t="array" ref="AD459:AE459">LINEST(G445:G459,D445:D459)</f>
        <v>21.265714285714306</v>
      </c>
      <c r="AE459" s="37">
        <v>-7.9094488095238198</v>
      </c>
      <c r="AF459" s="37" cm="1">
        <f t="array" ref="AF459:AG459">LINEST(G440:G459,D440:D459)</f>
        <v>22.379548872180468</v>
      </c>
      <c r="AG459" s="37">
        <v>-8.3716150375939904</v>
      </c>
      <c r="AH459" s="37" cm="1">
        <f t="array" ref="AH459:AI459">LINEST(G435:G459,D435:D459)</f>
        <v>21.312000000000022</v>
      </c>
      <c r="AI459" s="37">
        <v>-7.9299200000000116</v>
      </c>
      <c r="AJ459" s="37" cm="1">
        <f t="array" ref="AJ459:AK459">LINEST(G430:G459,D430:D459)</f>
        <v>21.479866518353731</v>
      </c>
      <c r="AK459" s="37">
        <v>-7.9995795328142414</v>
      </c>
    </row>
    <row r="460" spans="1:38" x14ac:dyDescent="0.25">
      <c r="A460" s="61">
        <v>502</v>
      </c>
      <c r="B460" s="14">
        <f t="shared" si="7"/>
        <v>454</v>
      </c>
      <c r="C460" s="15">
        <v>43981</v>
      </c>
      <c r="D460" s="16">
        <v>0.42458333333333331</v>
      </c>
      <c r="E460" s="36">
        <v>21.98</v>
      </c>
      <c r="F460" s="36">
        <v>-0.64</v>
      </c>
      <c r="G460" s="36">
        <v>0.87</v>
      </c>
      <c r="H460" s="56" cm="1">
        <f t="array" ref="H460:I460">LINEST(E451:E460,D451:D460)</f>
        <v>167.91272727272795</v>
      </c>
      <c r="I460" s="56">
        <v>-49.181490909091195</v>
      </c>
      <c r="J460" s="56" cm="1">
        <f t="array" ref="J460:K460">LINEST(E446:E460,D446:D460)</f>
        <v>106.5857142857143</v>
      </c>
      <c r="K460" s="56">
        <v>-23.445601190476193</v>
      </c>
      <c r="L460" s="56" cm="1">
        <f t="array" ref="L460:M460">LINEST(E441:E460,D441:D460)</f>
        <v>72.790375939849667</v>
      </c>
      <c r="M460" s="56">
        <v>-9.3461518796992671</v>
      </c>
      <c r="N460" s="56" cm="1">
        <f t="array" ref="N460:O460">LINEST(E436:E460,D436:D460)</f>
        <v>49.15384615384621</v>
      </c>
      <c r="O460" s="56">
        <v>0.4629269230768962</v>
      </c>
      <c r="P460" s="56" cm="1">
        <f t="array" ref="P460:Q460">LINEST(E431:E460,D431:D460)</f>
        <v>38.079110122358152</v>
      </c>
      <c r="Q460" s="56">
        <v>5.0327821282907017</v>
      </c>
      <c r="R460" s="56" cm="1">
        <f t="array" ref="R460:S460">LINEST(F451:F460,D451:D460)</f>
        <v>-73.134545454545716</v>
      </c>
      <c r="S460" s="56">
        <v>31.504618181818291</v>
      </c>
      <c r="T460" s="56" cm="1">
        <f t="array" ref="T460:U460">LINEST(F446:F460,D446:D460)</f>
        <v>-47.494285714285745</v>
      </c>
      <c r="U460" s="56">
        <v>20.790198809523819</v>
      </c>
      <c r="V460" s="56" cm="1">
        <f t="array" ref="V460:W460">LINEST(F441:F460,D441:D460)</f>
        <v>-18.36812030075188</v>
      </c>
      <c r="W460" s="56">
        <v>8.6209406015037597</v>
      </c>
      <c r="X460" s="56" cm="1">
        <f t="array" ref="X460:Y460">LINEST(F436:F460,D436:D460)</f>
        <v>-2.5310769230769323</v>
      </c>
      <c r="Y460" s="56">
        <v>2.0336684615384648</v>
      </c>
      <c r="Z460" s="56" cm="1">
        <f t="array" ref="Z460:AA460">LINEST(F431:F460,D431:D460)</f>
        <v>7.6004449388209379</v>
      </c>
      <c r="AA460" s="56">
        <v>-2.1469577308120242</v>
      </c>
      <c r="AB460" s="37" cm="1">
        <f t="array" ref="AB460:AC460">LINEST(G451:G460,D451:D460)</f>
        <v>3.1418181818181963</v>
      </c>
      <c r="AC460" s="37">
        <v>-0.34632727272727903</v>
      </c>
      <c r="AD460" s="37" cm="1">
        <f t="array" ref="AD460:AE460">LINEST(G446:G460,D446:D460)</f>
        <v>15.814285714285745</v>
      </c>
      <c r="AE460" s="37">
        <v>-5.6613988095238224</v>
      </c>
      <c r="AF460" s="37" cm="1">
        <f t="array" ref="AF460:AG460">LINEST(G441:G460,D441:D460)</f>
        <v>19.14766917293235</v>
      </c>
      <c r="AG460" s="37">
        <v>-7.0526383458646693</v>
      </c>
      <c r="AH460" s="37" cm="1">
        <f t="array" ref="AH460:AI460">LINEST(G436:G460,D436:D460)</f>
        <v>19.451076923076958</v>
      </c>
      <c r="AI460" s="37">
        <v>-7.1796184615384746</v>
      </c>
      <c r="AJ460" s="37" cm="1">
        <f t="array" ref="AJ460:AK460">LINEST(G431:G460,D431:D460)</f>
        <v>20.389054505005568</v>
      </c>
      <c r="AK460" s="37">
        <v>-7.5672398220244741</v>
      </c>
    </row>
    <row r="461" spans="1:38" x14ac:dyDescent="0.25">
      <c r="A461" s="61">
        <v>502</v>
      </c>
      <c r="B461" s="14">
        <f t="shared" si="7"/>
        <v>455</v>
      </c>
      <c r="C461" s="15">
        <v>43981</v>
      </c>
      <c r="D461" s="16">
        <v>0.4259722222222222</v>
      </c>
      <c r="E461" s="36">
        <v>21.99</v>
      </c>
      <c r="F461" s="36">
        <v>0.33</v>
      </c>
      <c r="G461" s="36">
        <v>0.83</v>
      </c>
      <c r="H461" s="56" cm="1">
        <f t="array" ref="H461:I461">LINEST(E452:E461,D452:D461)</f>
        <v>169.70181818181882</v>
      </c>
      <c r="I461" s="56">
        <v>-50.000624242424529</v>
      </c>
      <c r="J461" s="56" cm="1">
        <f t="array" ref="J461:K461">LINEST(E447:E461,D447:D461)</f>
        <v>114.66000000000018</v>
      </c>
      <c r="K461" s="56">
        <v>-26.828558333333408</v>
      </c>
      <c r="L461" s="56" cm="1">
        <f t="array" ref="L461:M461">LINEST(E442:E461,D442:D461)</f>
        <v>83.01654135338346</v>
      </c>
      <c r="M461" s="56">
        <v>-13.580883458646618</v>
      </c>
      <c r="N461" s="56" cm="1">
        <f t="array" ref="N461:O461">LINEST(E437:E461,D437:D461)</f>
        <v>56.276307692307732</v>
      </c>
      <c r="O461" s="56">
        <v>-2.4466053846154061</v>
      </c>
      <c r="P461" s="56" cm="1">
        <f t="array" ref="P461:Q461">LINEST(E432:E461,D432:D461)</f>
        <v>43.204805339265846</v>
      </c>
      <c r="Q461" s="56">
        <v>2.9657164998146079</v>
      </c>
      <c r="R461" s="56" cm="1">
        <f t="array" ref="R461:S461">LINEST(F452:F461,D452:D461)</f>
        <v>-100.71272727272763</v>
      </c>
      <c r="S461" s="56">
        <v>43.133369696969858</v>
      </c>
      <c r="T461" s="56" cm="1">
        <f t="array" ref="T461:U461">LINEST(F447:F461,D447:D461)</f>
        <v>-66.188571428571592</v>
      </c>
      <c r="U461" s="56">
        <v>28.603659523809593</v>
      </c>
      <c r="V461" s="56" cm="1">
        <f t="array" ref="V461:W461">LINEST(F442:F461,D442:D461)</f>
        <v>-24.609924812030073</v>
      </c>
      <c r="W461" s="56">
        <v>11.180430075187969</v>
      </c>
      <c r="X461" s="56" cm="1">
        <f t="array" ref="X461:Y461">LINEST(F437:F461,D437:D461)</f>
        <v>-0.73661538461537746</v>
      </c>
      <c r="Y461" s="56">
        <v>1.2411007692307663</v>
      </c>
      <c r="Z461" s="56" cm="1">
        <f t="array" ref="Z461:AA461">LINEST(F432:F461,D432:D461)</f>
        <v>4.2959733036707739</v>
      </c>
      <c r="AA461" s="56">
        <v>-0.83278249907305613</v>
      </c>
      <c r="AB461" s="37" cm="1">
        <f t="array" ref="AB461:AC461">LINEST(G452:G461,D452:D461)</f>
        <v>-5.0618181818181966</v>
      </c>
      <c r="AC461" s="37">
        <v>3.0845575757575823</v>
      </c>
      <c r="AD461" s="37" cm="1">
        <f t="array" ref="AD461:AE461">LINEST(G447:G461,D447:D461)</f>
        <v>9.4371428571428897</v>
      </c>
      <c r="AE461" s="37">
        <v>-3.0168773809523945</v>
      </c>
      <c r="AF461" s="37" cm="1">
        <f t="array" ref="AF461:AG461">LINEST(G442:G461,D442:D461)</f>
        <v>15.742556390977468</v>
      </c>
      <c r="AG461" s="37">
        <v>-5.6581774436090333</v>
      </c>
      <c r="AH461" s="37" cm="1">
        <f t="array" ref="AH461:AI461">LINEST(G437:G461,D437:D461)</f>
        <v>17.900307692307717</v>
      </c>
      <c r="AI461" s="37">
        <v>-6.5574953846153958</v>
      </c>
      <c r="AJ461" s="37" cm="1">
        <f t="array" ref="AJ461:AK461">LINEST(G432:G461,D432:D461)</f>
        <v>19.15888765294773</v>
      </c>
      <c r="AK461" s="37">
        <v>-7.0783152391546214</v>
      </c>
    </row>
    <row r="462" spans="1:38" x14ac:dyDescent="0.25">
      <c r="A462" s="61">
        <v>502</v>
      </c>
      <c r="B462" s="14">
        <f t="shared" ref="B462:B525" si="8">B461+1</f>
        <v>456</v>
      </c>
      <c r="C462" s="15">
        <v>43982</v>
      </c>
      <c r="D462" s="16">
        <v>0.42736111111111108</v>
      </c>
      <c r="E462" s="36">
        <v>22</v>
      </c>
      <c r="F462" s="36">
        <v>0.35</v>
      </c>
      <c r="G462" s="36">
        <v>0.79</v>
      </c>
      <c r="H462" s="56" cm="1">
        <f t="array" ref="H462:I462">LINEST(E453:E462,D453:D462)</f>
        <v>159.40363636363696</v>
      </c>
      <c r="I462" s="56">
        <v>-45.737642424242672</v>
      </c>
      <c r="J462" s="56" cm="1">
        <f t="array" ref="J462:K462">LINEST(E448:E462,D448:D462)</f>
        <v>118.67142857142889</v>
      </c>
      <c r="K462" s="56">
        <v>-28.538470238095382</v>
      </c>
      <c r="L462" s="56" cm="1">
        <f t="array" ref="L462:M462">LINEST(E443:E462,D443:D462)</f>
        <v>88.608721804511319</v>
      </c>
      <c r="M462" s="56">
        <v>-15.91177894736844</v>
      </c>
      <c r="N462" s="56" cm="1">
        <f t="array" ref="N462:O462">LINEST(E438:E462,D438:D462)</f>
        <v>62.512615384615422</v>
      </c>
      <c r="O462" s="56">
        <v>-5.0119838461538642</v>
      </c>
      <c r="P462" s="56" cm="1">
        <f t="array" ref="P462:Q462">LINEST(E433:E462,D433:D462)</f>
        <v>47.792302558398255</v>
      </c>
      <c r="Q462" s="56">
        <v>1.1035790137189316</v>
      </c>
      <c r="R462" s="56" cm="1">
        <f t="array" ref="R462:S462">LINEST(F453:F462,D453:D462)</f>
        <v>-99.796363636363949</v>
      </c>
      <c r="S462" s="56">
        <v>42.792357575757713</v>
      </c>
      <c r="T462" s="56" cm="1">
        <f t="array" ref="T462:U462">LINEST(F448:F462,D448:D462)</f>
        <v>-83.211428571428883</v>
      </c>
      <c r="U462" s="56">
        <v>35.772328571428709</v>
      </c>
      <c r="V462" s="56" cm="1">
        <f t="array" ref="V462:W462">LINEST(F443:F462,D443:D462)</f>
        <v>-29.725714285714286</v>
      </c>
      <c r="W462" s="56">
        <v>13.2919</v>
      </c>
      <c r="X462" s="56" cm="1">
        <f t="array" ref="X462:Y462">LINEST(F438:F462,D438:D462)</f>
        <v>-7.4603076923076879</v>
      </c>
      <c r="Y462" s="56">
        <v>3.9955069230769213</v>
      </c>
      <c r="Z462" s="56" cm="1">
        <f t="array" ref="Z462:AA462">LINEST(F433:F462,D433:D462)</f>
        <v>-0.59586206896549798</v>
      </c>
      <c r="AA462" s="56">
        <v>1.1499816091953945</v>
      </c>
      <c r="AB462" s="37" cm="1">
        <f t="array" ref="AB462:AC462">LINEST(G453:G462,D453:D462)</f>
        <v>-12.698181818181858</v>
      </c>
      <c r="AC462" s="59">
        <v>6.2923454545454716</v>
      </c>
      <c r="AD462" s="37" cm="1">
        <f t="array" ref="AD462:AE462">LINEST(G448:G462,D448:D462)</f>
        <v>2.0828571428571561</v>
      </c>
      <c r="AE462" s="59">
        <v>5.011785714285133E-2</v>
      </c>
      <c r="AF462" s="37" cm="1">
        <f t="array" ref="AF462:AG462">LINEST(G443:G462,D443:D462)</f>
        <v>12.158796992481228</v>
      </c>
      <c r="AG462" s="59">
        <v>-4.1847684210526426</v>
      </c>
      <c r="AH462" s="37" cm="1">
        <f t="array" ref="AH462:AI462">LINEST(G438:G462,D438:D462)</f>
        <v>15.884307692307717</v>
      </c>
      <c r="AI462" s="59">
        <v>-5.7415969230769335</v>
      </c>
      <c r="AJ462" s="37" cm="1">
        <f t="array" ref="AJ462:AK462">LINEST(G433:G462,D433:D462)</f>
        <v>17.619577308120149</v>
      </c>
      <c r="AK462" s="59">
        <v>-6.4617500926955955</v>
      </c>
    </row>
    <row r="463" spans="1:38" x14ac:dyDescent="0.25">
      <c r="A463" s="61">
        <v>502</v>
      </c>
      <c r="B463" s="14">
        <f t="shared" si="8"/>
        <v>457</v>
      </c>
      <c r="C463" s="15">
        <v>43983</v>
      </c>
      <c r="D463" s="16">
        <v>0.42874999999999996</v>
      </c>
      <c r="E463" s="36">
        <v>22.01</v>
      </c>
      <c r="F463" s="36">
        <v>0.18</v>
      </c>
      <c r="G463" s="36">
        <v>0.74</v>
      </c>
      <c r="H463" s="56" cm="1">
        <f t="array" ref="H463:I463">LINEST(E454:E463,D454:D463)</f>
        <v>136.80000000000058</v>
      </c>
      <c r="I463" s="56">
        <v>-36.249000000000251</v>
      </c>
      <c r="J463" s="56" cm="1">
        <f t="array" ref="J463:K463">LINEST(E449:E463,D449:D463)</f>
        <v>119.70000000000049</v>
      </c>
      <c r="K463" s="56">
        <v>-29.014291666666878</v>
      </c>
      <c r="L463" s="56" cm="1">
        <f t="array" ref="L463:M463">LINEST(E444:E463,D444:D463)</f>
        <v>92.582255639097838</v>
      </c>
      <c r="M463" s="56">
        <v>-17.587070676691773</v>
      </c>
      <c r="N463" s="56" cm="1">
        <f t="array" ref="N463:O463">LINEST(E439:E463,D439:D463)</f>
        <v>67.934769230769319</v>
      </c>
      <c r="O463" s="56">
        <v>-7.2595861538461968</v>
      </c>
      <c r="P463" s="56" cm="1">
        <f t="array" ref="P463:Q463">LINEST(E434:E463,D434:D463)</f>
        <v>51.841601779755344</v>
      </c>
      <c r="Q463" s="56">
        <v>-0.55138783833891836</v>
      </c>
      <c r="R463" s="56" cm="1">
        <f t="array" ref="R463:S463">LINEST(F454:F463,D454:D463)</f>
        <v>-118.38545454545498</v>
      </c>
      <c r="S463" s="56">
        <v>50.71685454545473</v>
      </c>
      <c r="T463" s="56" cm="1">
        <f t="array" ref="T463:U463">LINEST(F449:F463,D449:D463)</f>
        <v>-65.417142857143105</v>
      </c>
      <c r="U463" s="56">
        <v>28.26893333333344</v>
      </c>
      <c r="V463" s="56" cm="1">
        <f t="array" ref="V463:W463">LINEST(F444:F463,D444:D463)</f>
        <v>-35.691428571428581</v>
      </c>
      <c r="W463" s="56">
        <v>15.762271428571438</v>
      </c>
      <c r="X463" s="56" cm="1">
        <f t="array" ref="X463:Y463">LINEST(F439:F463,D439:D463)</f>
        <v>-15.347076923076921</v>
      </c>
      <c r="Y463" s="56">
        <v>7.2418746153846163</v>
      </c>
      <c r="Z463" s="56" cm="1">
        <f t="array" ref="Z463:AA463">LINEST(F434:F463,D434:D463)</f>
        <v>-8.0825806451612916</v>
      </c>
      <c r="AA463" s="56">
        <v>4.2132989247311832</v>
      </c>
      <c r="AB463" s="37" cm="1">
        <f t="array" ref="AB463:AC463">LINEST(G454:G463,D454:D463)</f>
        <v>-20.989090909090976</v>
      </c>
      <c r="AC463" s="59">
        <v>9.7928909090909393</v>
      </c>
      <c r="AD463" s="37" cm="1">
        <f t="array" ref="AD463:AE463">LINEST(G449:G463,D449:D463)</f>
        <v>-3.214285714285726</v>
      </c>
      <c r="AE463" s="59">
        <v>2.2615416666666719</v>
      </c>
      <c r="AF463" s="37" cm="1">
        <f t="array" ref="AF463:AG463">LINEST(G444:G463,D444:D463)</f>
        <v>8.3909774436090512</v>
      </c>
      <c r="AG463" s="59">
        <v>-2.6299172932330959</v>
      </c>
      <c r="AH463" s="37" cm="1">
        <f t="array" ref="AH463:AI463">LINEST(G439:G463,D439:D463)</f>
        <v>13.430769230769258</v>
      </c>
      <c r="AI463" s="59">
        <v>-4.7421961538461659</v>
      </c>
      <c r="AJ463" s="37" cm="1">
        <f t="array" ref="AJ463:AK463">LINEST(G434:G463,D434:D463)</f>
        <v>15.591724137931056</v>
      </c>
      <c r="AK463" s="59">
        <v>-5.6422850574712733</v>
      </c>
    </row>
    <row r="464" spans="1:38" x14ac:dyDescent="0.25">
      <c r="A464" s="61">
        <v>502</v>
      </c>
      <c r="B464" s="14">
        <f t="shared" si="8"/>
        <v>458</v>
      </c>
      <c r="C464" s="15">
        <v>43984</v>
      </c>
      <c r="D464" s="16">
        <v>0.4301388888888889</v>
      </c>
      <c r="E464" s="36">
        <v>22.04</v>
      </c>
      <c r="F464" s="36">
        <v>0.92</v>
      </c>
      <c r="G464" s="36">
        <v>0.76</v>
      </c>
      <c r="H464" s="56" cm="1">
        <f t="array" ref="H464:I464">LINEST(E455:E464,D455:D464)</f>
        <v>103.33090909090915</v>
      </c>
      <c r="I464" s="56">
        <v>-22.092824242424264</v>
      </c>
      <c r="J464" s="56" cm="1">
        <f t="array" ref="J464:K464">LINEST(E450:E464,D450:D464)</f>
        <v>116.84571428571458</v>
      </c>
      <c r="K464" s="56">
        <v>-27.859219047619185</v>
      </c>
      <c r="L464" s="56" cm="1">
        <f t="array" ref="L464:M464">LINEST(E445:E464,D445:D464)</f>
        <v>95.061654135338387</v>
      </c>
      <c r="M464" s="56">
        <v>-18.650428571428588</v>
      </c>
      <c r="N464" s="56" cm="1">
        <f t="array" ref="N464:O464">LINEST(E440:E464,D440:D464)</f>
        <v>72.753230769230839</v>
      </c>
      <c r="O464" s="56">
        <v>-9.2726400000000275</v>
      </c>
      <c r="P464" s="56" cm="1">
        <f t="array" ref="P464:Q464">LINEST(E435:E464,D435:D464)</f>
        <v>55.445606229143557</v>
      </c>
      <c r="Q464" s="56">
        <v>-2.034365220615534</v>
      </c>
      <c r="R464" s="56" cm="1">
        <f t="array" ref="R464:S464">LINEST(F455:F464,D455:D464)</f>
        <v>-78.458181818181629</v>
      </c>
      <c r="S464" s="56">
        <v>33.913551515151433</v>
      </c>
      <c r="T464" s="56" cm="1">
        <f t="array" ref="T464:U464">LINEST(F450:F464,D450:D464)</f>
        <v>-79.457142857142983</v>
      </c>
      <c r="U464" s="56">
        <v>34.315773809523868</v>
      </c>
      <c r="V464" s="56" cm="1">
        <f t="array" ref="V464:W464">LINEST(F445:F464,D445:D464)</f>
        <v>-32.963007518796985</v>
      </c>
      <c r="W464" s="56">
        <v>14.661242857142854</v>
      </c>
      <c r="X464" s="56" cm="1">
        <f t="array" ref="X464:Y464">LINEST(F440:F464,D440:D464)</f>
        <v>-16.753846153846158</v>
      </c>
      <c r="Y464" s="56">
        <v>7.8528500000000028</v>
      </c>
      <c r="Z464" s="56" cm="1">
        <f t="array" ref="Z464:AA464">LINEST(F435:F464,D435:D464)</f>
        <v>-11.071501668520579</v>
      </c>
      <c r="AA464" s="56">
        <v>5.470649017426771</v>
      </c>
      <c r="AB464" s="37" cm="1">
        <f t="array" ref="AB464:AC464">LINEST(G455:G464,D455:D464)</f>
        <v>-25.309090909090941</v>
      </c>
      <c r="AC464" s="59">
        <v>11.632242424242436</v>
      </c>
      <c r="AD464" s="37" cm="1">
        <f t="array" ref="AD464:AE464">LINEST(G450:G464,D450:D464)</f>
        <v>-9.1800000000000299</v>
      </c>
      <c r="AE464" s="59">
        <v>4.7740916666666804</v>
      </c>
      <c r="AF464" s="37" cm="1">
        <f t="array" ref="AF464:AG464">LINEST(G445:G464,D445:D464)</f>
        <v>5.1536842105263343</v>
      </c>
      <c r="AG464" s="59">
        <v>-1.2868000000000077</v>
      </c>
      <c r="AH464" s="37" cm="1">
        <f t="array" ref="AH464:AI464">LINEST(G440:G464,D440:D464)</f>
        <v>11.110153846153864</v>
      </c>
      <c r="AI464" s="59">
        <v>-3.7909400000000075</v>
      </c>
      <c r="AJ464" s="37" cm="1">
        <f t="array" ref="AJ464:AK464">LINEST(G435:G464,D435:D464)</f>
        <v>13.509410456062314</v>
      </c>
      <c r="AK464" s="59">
        <v>-4.7941916203188839</v>
      </c>
    </row>
    <row r="465" spans="1:38" x14ac:dyDescent="0.25">
      <c r="A465" s="61">
        <v>502</v>
      </c>
      <c r="B465" s="14">
        <f t="shared" si="8"/>
        <v>459</v>
      </c>
      <c r="C465" s="15">
        <v>43985</v>
      </c>
      <c r="D465" s="16">
        <v>0.43152777777777779</v>
      </c>
      <c r="E465" s="36">
        <v>22.06</v>
      </c>
      <c r="F465" s="36">
        <v>0.77</v>
      </c>
      <c r="G465" s="36">
        <v>0.76</v>
      </c>
      <c r="H465" s="56" cm="1">
        <f t="array" ref="H465:I465">LINEST(E456:E465,D456:D465)</f>
        <v>58.690909090908931</v>
      </c>
      <c r="I465" s="56">
        <v>-3.0949393939393275</v>
      </c>
      <c r="J465" s="56" cm="1">
        <f t="array" ref="J465:K465">LINEST(E451:E465,D451:D465)</f>
        <v>111.5228571428573</v>
      </c>
      <c r="K465" s="56">
        <v>-25.659627380952454</v>
      </c>
      <c r="L465" s="56" cm="1">
        <f t="array" ref="L465:M465">LINEST(E446:E465,D446:D465)</f>
        <v>95.716691729323344</v>
      </c>
      <c r="M465" s="56">
        <v>-18.956982706766933</v>
      </c>
      <c r="N465" s="56" cm="1">
        <f t="array" ref="N465:O465">LINEST(E441:E465,D441:D465)</f>
        <v>76.685538461538528</v>
      </c>
      <c r="O465" s="56">
        <v>-10.930647692307716</v>
      </c>
      <c r="P465" s="56" cm="1">
        <f t="array" ref="P465:Q465">LINEST(E436:E465,D436:D465)</f>
        <v>58.650767519466129</v>
      </c>
      <c r="Q465" s="56">
        <v>-3.3636074156470457</v>
      </c>
      <c r="R465" s="56" cm="1">
        <f t="array" ref="R465:S465">LINEST(F456:F465,D456:D465)</f>
        <v>-47.389090909090555</v>
      </c>
      <c r="S465" s="56">
        <v>20.765527272727123</v>
      </c>
      <c r="T465" s="56" cm="1">
        <f t="array" ref="T465:U465">LINEST(F451:F465,D451:D465)</f>
        <v>-43.53428571428573</v>
      </c>
      <c r="U465" s="56">
        <v>19.139670238095245</v>
      </c>
      <c r="V465" s="56" cm="1">
        <f t="array" ref="V465:W465">LINEST(F446:F465,D446:D465)</f>
        <v>-41.841203007518786</v>
      </c>
      <c r="W465" s="56">
        <v>18.446069924812026</v>
      </c>
      <c r="X465" s="56" cm="1">
        <f t="array" ref="X465:Y465">LINEST(F441:F465,D441:D465)</f>
        <v>-23.948307692307683</v>
      </c>
      <c r="Y465" s="56">
        <v>10.888821538461533</v>
      </c>
      <c r="Z465" s="56" cm="1">
        <f t="array" ref="Z465:AA465">LINEST(F436:F465,D436:D465)</f>
        <v>-10.834438264738599</v>
      </c>
      <c r="AA465" s="56">
        <v>5.3765008527994071</v>
      </c>
      <c r="AB465" s="37" cm="1">
        <f t="array" ref="AB465:AC465">LINEST(G456:G465,D456:D465)</f>
        <v>-26.836363636363618</v>
      </c>
      <c r="AC465" s="59">
        <v>12.293909090909084</v>
      </c>
      <c r="AD465" s="37" cm="1">
        <f t="array" ref="AD465:AE465">LINEST(G451:G465,D451:D465)</f>
        <v>-11.854285714285743</v>
      </c>
      <c r="AE465" s="59">
        <v>5.9042035714285834</v>
      </c>
      <c r="AF465" s="37" cm="1">
        <f t="array" ref="AF465:AG465">LINEST(G446:G465,D446:D465)</f>
        <v>1.4670676691729414</v>
      </c>
      <c r="AG465" s="59">
        <v>0.25477669172931938</v>
      </c>
      <c r="AH465" s="37" cm="1">
        <f t="array" ref="AH465:AI465">LINEST(G441:G465,D441:D465)</f>
        <v>8.3575384615384714</v>
      </c>
      <c r="AI465" s="59">
        <v>-2.6524176923076959</v>
      </c>
      <c r="AJ465" s="37" cm="1">
        <f t="array" ref="AJ465:AK465">LINEST(G436:G465,D436:D465)</f>
        <v>11.620912124582878</v>
      </c>
      <c r="AK465" s="59">
        <v>-4.0223807934742339</v>
      </c>
    </row>
    <row r="466" spans="1:38" x14ac:dyDescent="0.25">
      <c r="A466" s="61">
        <v>502</v>
      </c>
      <c r="B466" s="14">
        <f t="shared" si="8"/>
        <v>460</v>
      </c>
      <c r="C466" s="15">
        <v>43986</v>
      </c>
      <c r="D466" s="16">
        <v>0.43291666666666667</v>
      </c>
      <c r="E466" s="36">
        <v>22.08</v>
      </c>
      <c r="F466" s="36">
        <v>0.41</v>
      </c>
      <c r="G466" s="36">
        <v>0.73</v>
      </c>
      <c r="H466" s="56" cm="1">
        <f t="array" ref="H466:I466">LINEST(E457:E466,D457:D466)</f>
        <v>11.2145454545453</v>
      </c>
      <c r="I466" s="56">
        <v>17.218127272727337</v>
      </c>
      <c r="J466" s="56" cm="1">
        <f t="array" ref="J466:K466">LINEST(E452:E466,D452:D466)</f>
        <v>102.67714285714283</v>
      </c>
      <c r="K466" s="56">
        <v>-21.955063095238085</v>
      </c>
      <c r="L466" s="56" cm="1">
        <f t="array" ref="L466:M466">LINEST(E447:E466,D447:D466)</f>
        <v>94.763909774436158</v>
      </c>
      <c r="M466" s="56">
        <v>-18.591018796992515</v>
      </c>
      <c r="N466" s="56" cm="1">
        <f t="array" ref="N466:O466">LINEST(E442:E466,D442:D466)</f>
        <v>80.008615384615396</v>
      </c>
      <c r="O466" s="56">
        <v>-12.346786153846161</v>
      </c>
      <c r="P466" s="56" cm="1">
        <f t="array" ref="P466:Q466">LINEST(E437:E466,D437:D466)</f>
        <v>61.658909899888819</v>
      </c>
      <c r="Q466" s="56">
        <v>-4.6220944753430011</v>
      </c>
      <c r="R466" s="56" cm="1">
        <f t="array" ref="R466:S466">LINEST(F457:F466,D457:D466)</f>
        <v>-26.618181818181462</v>
      </c>
      <c r="S466" s="56">
        <v>11.889090909090756</v>
      </c>
      <c r="T466" s="56" cm="1">
        <f t="array" ref="T466:U466">LINEST(F452:F466,D452:D466)</f>
        <v>-49.44857142857137</v>
      </c>
      <c r="U466" s="56">
        <v>21.676360714285693</v>
      </c>
      <c r="V466" s="56" cm="1">
        <f t="array" ref="V466:W466">LINEST(F447:F466,D447:D466)</f>
        <v>-48.483609022556415</v>
      </c>
      <c r="W466" s="56">
        <v>21.270648120300763</v>
      </c>
      <c r="X466" s="56" cm="1">
        <f t="array" ref="X466:Y466">LINEST(F442:F466,D442:D466)</f>
        <v>-25.931076923076908</v>
      </c>
      <c r="Y466" s="56">
        <v>11.716610769230765</v>
      </c>
      <c r="Z466" s="56" cm="1">
        <f t="array" ref="Z466:AA466">LINEST(F437:F466,D437:D466)</f>
        <v>-8.4798220244716358</v>
      </c>
      <c r="AA466" s="56">
        <v>4.3709487578791251</v>
      </c>
      <c r="AB466" s="37" cm="1">
        <f t="array" ref="AB466:AC466">LINEST(G457:G466,D457:D466)</f>
        <v>-27.05454545454538</v>
      </c>
      <c r="AC466" s="59">
        <v>12.397272727272695</v>
      </c>
      <c r="AD466" s="37" cm="1">
        <f t="array" ref="AD466:AE466">LINEST(G452:G466,D452:D466)</f>
        <v>-14.862857142857161</v>
      </c>
      <c r="AE466" s="59">
        <v>7.1818785714285802</v>
      </c>
      <c r="AF466" s="37" cm="1">
        <f t="array" ref="AF466:AG466">LINEST(G447:G466,D447:D466)</f>
        <v>-2.4415037593984952</v>
      </c>
      <c r="AG466" s="59">
        <v>1.8972533834586462</v>
      </c>
      <c r="AH466" s="37" cm="1">
        <f t="array" ref="AH466:AI466">LINEST(G442:G466,D442:D466)</f>
        <v>5.6713846153846212</v>
      </c>
      <c r="AI466" s="59">
        <v>-1.5375138461538489</v>
      </c>
      <c r="AJ466" s="37" cm="1">
        <f t="array" ref="AJ466:AK466">LINEST(G437:G466,D437:D466)</f>
        <v>10.057575083426039</v>
      </c>
      <c r="AK466" s="59">
        <v>-3.3845434927697489</v>
      </c>
    </row>
    <row r="467" spans="1:38" x14ac:dyDescent="0.25">
      <c r="A467" s="61">
        <v>502</v>
      </c>
      <c r="B467" s="14">
        <f t="shared" si="8"/>
        <v>461</v>
      </c>
      <c r="C467" s="15">
        <v>43987</v>
      </c>
      <c r="D467" s="16">
        <v>0.43430555555555556</v>
      </c>
      <c r="E467" s="36">
        <v>22.11</v>
      </c>
      <c r="F467" s="36">
        <v>0.88</v>
      </c>
      <c r="G467" s="36">
        <v>0.74</v>
      </c>
      <c r="H467" s="56" cm="1">
        <f t="array" ref="H467:I467">LINEST(E458:E467,D458:D467)</f>
        <v>9.9927272727271479</v>
      </c>
      <c r="I467" s="56">
        <v>17.747557575757629</v>
      </c>
      <c r="J467" s="56" cm="1">
        <f t="array" ref="J467:K467">LINEST(E453:E467,D453:D467)</f>
        <v>90.719999999999928</v>
      </c>
      <c r="K467" s="56">
        <v>-16.905533333333306</v>
      </c>
      <c r="L467" s="56" cm="1">
        <f t="array" ref="L467:M467">LINEST(E448:E467,D448:D467)</f>
        <v>92.31699248120303</v>
      </c>
      <c r="M467" s="56">
        <v>-17.593211278195511</v>
      </c>
      <c r="N467" s="56" cm="1">
        <f t="array" ref="N467:O467">LINEST(E443:E467,D443:D467)</f>
        <v>80.711999999999989</v>
      </c>
      <c r="O467" s="56">
        <v>-12.666869999999992</v>
      </c>
      <c r="P467" s="56" cm="1">
        <f t="array" ref="P467:Q467">LINEST(E438:E467,D438:D467)</f>
        <v>64.234571746384887</v>
      </c>
      <c r="Q467" s="56">
        <v>-5.709151798294414</v>
      </c>
      <c r="R467" s="56" cm="1">
        <f t="array" ref="R467:S467">LINEST(F458:F467,D458:D467)</f>
        <v>19.592727272727469</v>
      </c>
      <c r="S467" s="56">
        <v>-7.8877757575758425</v>
      </c>
      <c r="T467" s="56" cm="1">
        <f t="array" ref="T467:U467">LINEST(F453:F467,D453:D467)</f>
        <v>-35.794285714285614</v>
      </c>
      <c r="U467" s="56">
        <v>15.919657142857101</v>
      </c>
      <c r="V467" s="56" cm="1">
        <f t="array" ref="V467:W467">LINEST(F448:F467,D448:D467)</f>
        <v>-49.82616541353385</v>
      </c>
      <c r="W467" s="56">
        <v>21.905351879699261</v>
      </c>
      <c r="X467" s="56" cm="1">
        <f t="array" ref="X467:Y467">LINEST(F443:F467,D443:D467)</f>
        <v>-24.363692307692297</v>
      </c>
      <c r="Y467" s="56">
        <v>11.086025384615379</v>
      </c>
      <c r="Z467" s="56" cm="1">
        <f t="array" ref="Z467:AA467">LINEST(F438:F467,D438:D467)</f>
        <v>-10.028743047830917</v>
      </c>
      <c r="AA467" s="56">
        <v>5.0352377456433048</v>
      </c>
      <c r="AB467" s="37" cm="1">
        <f t="array" ref="AB467:AC467">LINEST(G458:G467,D458:D467)</f>
        <v>-23.563636363636281</v>
      </c>
      <c r="AC467" s="59">
        <v>10.91254545454542</v>
      </c>
      <c r="AD467" s="37" cm="1">
        <f t="array" ref="AD467:AE467">LINEST(G453:G467,D453:D467)</f>
        <v>-16.611428571428579</v>
      </c>
      <c r="AE467" s="59">
        <v>7.931602380952385</v>
      </c>
      <c r="AF467" s="37" cm="1">
        <f t="array" ref="AF467:AG467">LINEST(G448:G467,D448:D467)</f>
        <v>-6.2201503759398609</v>
      </c>
      <c r="AG467" s="59">
        <v>3.4958744360902312</v>
      </c>
      <c r="AH467" s="37" cm="1">
        <f t="array" ref="AH467:AI467">LINEST(G443:G467,D443:D467)</f>
        <v>3.2953846153846209</v>
      </c>
      <c r="AI467" s="59">
        <v>-0.54628076923077151</v>
      </c>
      <c r="AJ467" s="37" cm="1">
        <f t="array" ref="AJ467:AK467">LINEST(G438:G467,D438:D467)</f>
        <v>8.4573971078976733</v>
      </c>
      <c r="AK467" s="59">
        <v>-2.7267719688542869</v>
      </c>
    </row>
    <row r="468" spans="1:38" x14ac:dyDescent="0.25">
      <c r="A468" s="61">
        <v>502</v>
      </c>
      <c r="B468" s="14">
        <f t="shared" si="8"/>
        <v>462</v>
      </c>
      <c r="C468" s="15">
        <v>43988</v>
      </c>
      <c r="D468" s="16">
        <v>0.43569444444444444</v>
      </c>
      <c r="E468" s="36">
        <v>22.16</v>
      </c>
      <c r="F468" s="36">
        <v>1.53</v>
      </c>
      <c r="G468" s="36">
        <v>0.8</v>
      </c>
      <c r="H468" s="56" cm="1">
        <f t="array" ref="H468:I468">LINEST(E459:E468,D459:D468)</f>
        <v>13.134545454545368</v>
      </c>
      <c r="I468" s="56">
        <v>16.402442424242466</v>
      </c>
      <c r="J468" s="56" cm="1">
        <f t="array" ref="J468:K468">LINEST(E454:E468,D454:D468)</f>
        <v>75.831428571428475</v>
      </c>
      <c r="K468" s="56">
        <v>-10.572748809523777</v>
      </c>
      <c r="L468" s="56" cm="1">
        <f t="array" ref="L468:M468">LINEST(E449:E468,D449:D468)</f>
        <v>89.150075187970032</v>
      </c>
      <c r="M468" s="56">
        <v>-16.285906766917343</v>
      </c>
      <c r="N468" s="56" cm="1">
        <f t="array" ref="N468:O468">LINEST(E444:E468,D444:D468)</f>
        <v>80.861538461538444</v>
      </c>
      <c r="O468" s="56">
        <v>-12.756430769230761</v>
      </c>
      <c r="P468" s="56" cm="1">
        <f t="array" ref="P468:Q468">LINEST(E439:E468,D439:D468)</f>
        <v>66.513904338153523</v>
      </c>
      <c r="Q468" s="56">
        <v>-6.6792224694104689</v>
      </c>
      <c r="R468" s="56" cm="1">
        <f t="array" ref="R468:S468">LINEST(F459:F468,D459:D468)</f>
        <v>94.210909090908913</v>
      </c>
      <c r="S468" s="56">
        <v>-39.927351515151436</v>
      </c>
      <c r="T468" s="56" cm="1">
        <f t="array" ref="T468:U468">LINEST(F454:F468,D454:D468)</f>
        <v>-18.411428571428434</v>
      </c>
      <c r="U468" s="56">
        <v>8.6094238095237525</v>
      </c>
      <c r="V468" s="56" cm="1">
        <f t="array" ref="V468:W468">LINEST(F449:F468,D449:D468)</f>
        <v>-24.290526315789432</v>
      </c>
      <c r="W468" s="56">
        <v>11.131247368421036</v>
      </c>
      <c r="X468" s="56" cm="1">
        <f t="array" ref="X468:Y468">LINEST(F444:F468,D444:D468)</f>
        <v>-18.310153846153824</v>
      </c>
      <c r="Y468" s="56">
        <v>8.5972630769230687</v>
      </c>
      <c r="Z468" s="56" cm="1">
        <f t="array" ref="Z468:AA468">LINEST(F439:F468,D439:D468)</f>
        <v>-8.763337041156829</v>
      </c>
      <c r="AA468" s="56">
        <v>4.5566533926585047</v>
      </c>
      <c r="AB468" s="37" cm="1">
        <f t="array" ref="AB468:AC468">LINEST(G459:G468,D459:D468)</f>
        <v>-14.312727272727228</v>
      </c>
      <c r="AC468" s="59">
        <v>6.948521212121193</v>
      </c>
      <c r="AD468" s="37" cm="1">
        <f t="array" ref="AD468:AE468">LINEST(G454:G468,D454:D468)</f>
        <v>-16.765714285714282</v>
      </c>
      <c r="AE468" s="59">
        <v>8.0110619047619043</v>
      </c>
      <c r="AF468" s="37" cm="1">
        <f t="array" ref="AF468:AG468">LINEST(G449:G468,D449:D468)</f>
        <v>-7.6493233082706951</v>
      </c>
      <c r="AG468" s="59">
        <v>4.1073390977443687</v>
      </c>
      <c r="AH468" s="37" cm="1">
        <f t="array" ref="AH468:AI468">LINEST(G444:G468,D444:D468)</f>
        <v>1.5840000000000058</v>
      </c>
      <c r="AI468" s="59">
        <v>0.17345999999999739</v>
      </c>
      <c r="AJ468" s="37" cm="1">
        <f t="array" ref="AJ468:AK468">LINEST(G439:G468,D439:D468)</f>
        <v>7.0990878754171352</v>
      </c>
      <c r="AK468" s="59">
        <v>-2.16339873934001</v>
      </c>
    </row>
    <row r="469" spans="1:38" ht="15.75" thickBot="1" x14ac:dyDescent="0.3">
      <c r="A469" s="61">
        <v>502</v>
      </c>
      <c r="B469" s="14">
        <f t="shared" si="8"/>
        <v>463</v>
      </c>
      <c r="C469" s="15">
        <v>43989</v>
      </c>
      <c r="D469" s="16">
        <v>0.43708333333333332</v>
      </c>
      <c r="E469" s="67">
        <v>22.14</v>
      </c>
      <c r="F469" s="70">
        <v>-0.45</v>
      </c>
      <c r="G469" s="36">
        <v>0.71</v>
      </c>
      <c r="H469" s="56" cm="1">
        <f t="array" ref="H469:I469">LINEST(E460:E469,D460:D469)</f>
        <v>14.879999999999963</v>
      </c>
      <c r="I469" s="56">
        <v>15.646200000000022</v>
      </c>
      <c r="J469" s="56" cm="1">
        <f t="array" ref="J469:K469">LINEST(E455:E469,D455:D469)</f>
        <v>56.905714285714204</v>
      </c>
      <c r="K469" s="56">
        <v>-2.477289285714253</v>
      </c>
      <c r="L469" s="56" cm="1">
        <f t="array" ref="L469:M469">LINEST(E450:E469,D450:D469)</f>
        <v>83.779849624060205</v>
      </c>
      <c r="M469" s="56">
        <v>-14.037347368421088</v>
      </c>
      <c r="N469" s="56" cm="1">
        <f t="array" ref="N469:O469">LINEST(E445:E469,D445:D469)</f>
        <v>79.914461538461566</v>
      </c>
      <c r="O469" s="56">
        <v>-12.387371538461547</v>
      </c>
      <c r="P469" s="56" cm="1">
        <f t="array" ref="P469:Q469">LINEST(E440:E469,D440:D469)</f>
        <v>68.211790878754229</v>
      </c>
      <c r="Q469" s="56">
        <v>-7.4148605858361378</v>
      </c>
      <c r="R469" s="56" cm="1">
        <f t="array" ref="R469:S469">LINEST(F460:F469,D460:D469)</f>
        <v>58.036363636363667</v>
      </c>
      <c r="S469" s="56">
        <v>-24.576000000000015</v>
      </c>
      <c r="T469" s="56" cm="1">
        <f t="array" ref="T469:U469">LINEST(F455:F469,D455:D469)</f>
        <v>-28.311428571428422</v>
      </c>
      <c r="U469" s="56">
        <v>12.745870238095176</v>
      </c>
      <c r="V469" s="56" cm="1">
        <f t="array" ref="V469:W469">LINEST(F450:F469,D450:D469)</f>
        <v>-46.361503759398467</v>
      </c>
      <c r="W469" s="56">
        <v>20.492126315789466</v>
      </c>
      <c r="X469" s="56" cm="1">
        <f t="array" ref="X469:Y469">LINEST(F445:F469,D445:D469)</f>
        <v>-25.609846153846146</v>
      </c>
      <c r="Y469" s="56">
        <v>11.626406153846151</v>
      </c>
      <c r="Z469" s="56" cm="1">
        <f t="array" ref="Z469:AA469">LINEST(F440:F469,D440:D469)</f>
        <v>-16.072258064516134</v>
      </c>
      <c r="AA469" s="56">
        <v>7.5772387096774221</v>
      </c>
      <c r="AB469" s="37" cm="1">
        <f t="array" ref="AB469:AC469">LINEST(G460:G469,D460:D469)</f>
        <v>-8.4218181818181606</v>
      </c>
      <c r="AC469" s="59">
        <v>4.4013999999999909</v>
      </c>
      <c r="AD469" s="37" cm="1">
        <f t="array" ref="AD469:AE469">LINEST(G455:G469,D455:D469)</f>
        <v>-17.562857142857133</v>
      </c>
      <c r="AE469" s="59">
        <v>8.35768214285714</v>
      </c>
      <c r="AF469" s="37" cm="1">
        <f t="array" ref="AF469:AG469">LINEST(G450:G469,D450:D469)</f>
        <v>-10.664661654135351</v>
      </c>
      <c r="AG469" s="59">
        <v>5.3936315789473745</v>
      </c>
      <c r="AH469" s="37" cm="1">
        <f t="array" ref="AH469:AI469">LINEST(G445:G469,D445:D469)</f>
        <v>-0.53723076923076685</v>
      </c>
      <c r="AI469" s="59">
        <v>1.0650607692307683</v>
      </c>
      <c r="AJ469" s="37" cm="1">
        <f t="array" ref="AJ469:AK469">LINEST(G440:G469,D440:D469)</f>
        <v>5.3195105672969971</v>
      </c>
      <c r="AK469" s="59">
        <v>-1.4242737115313311</v>
      </c>
    </row>
    <row r="470" spans="1:38" x14ac:dyDescent="0.25">
      <c r="A470" s="61">
        <v>502</v>
      </c>
      <c r="B470" s="14">
        <f t="shared" si="8"/>
        <v>464</v>
      </c>
      <c r="C470" s="15">
        <v>43990</v>
      </c>
      <c r="D470" s="16">
        <v>0.43847222222222221</v>
      </c>
      <c r="E470" s="73">
        <v>21.98</v>
      </c>
      <c r="F470" s="75">
        <v>-1.5</v>
      </c>
      <c r="G470" s="74">
        <v>0.53</v>
      </c>
      <c r="H470" s="56" cm="1">
        <f t="array" ref="H470:I470">LINEST(E461:E470,D461:D470)</f>
        <v>8.1600000000000747</v>
      </c>
      <c r="I470" s="56">
        <v>18.530066666666638</v>
      </c>
      <c r="J470" s="56" cm="1">
        <f t="array" ref="J470:K470">LINEST(E456:E470,D456:D470)</f>
        <v>31.577142857142807</v>
      </c>
      <c r="K470" s="56">
        <v>8.4026333333333572</v>
      </c>
      <c r="L470" s="56" cm="1">
        <f t="array" ref="L470:M470">LINEST(E451:E470,D451:D470)</f>
        <v>75.708270676691754</v>
      </c>
      <c r="M470" s="56">
        <v>-10.637545112781961</v>
      </c>
      <c r="N470" s="56" cm="1">
        <f t="array" ref="N470:O470">LINEST(E446:E470,D446:D470)</f>
        <v>76.824000000000012</v>
      </c>
      <c r="O470" s="56">
        <v>-11.118390000000002</v>
      </c>
      <c r="P470" s="56" cm="1">
        <f t="array" ref="P470:Q470">LINEST(E441:E470,D441:D470)</f>
        <v>68.544961067853194</v>
      </c>
      <c r="Q470" s="56">
        <v>-7.5896420467185806</v>
      </c>
      <c r="R470" s="56" cm="1">
        <f t="array" ref="R470:S470">LINEST(F461:F470,D461:D470)</f>
        <v>-68.945454545454041</v>
      </c>
      <c r="S470" s="56">
        <v>30.141757575757353</v>
      </c>
      <c r="T470" s="56" cm="1">
        <f t="array" ref="T470:U470">LINEST(F456:F470,D456:D470)</f>
        <v>-55.362857142856974</v>
      </c>
      <c r="U470" s="56">
        <v>24.20282499999993</v>
      </c>
      <c r="V470" s="56" cm="1">
        <f t="array" ref="V470:W470">LINEST(F451:F470,D451:D470)</f>
        <v>-48.375338345864648</v>
      </c>
      <c r="W470" s="56">
        <v>21.19895639097744</v>
      </c>
      <c r="X470" s="56" cm="1">
        <f t="array" ref="X470:Y470">LINEST(F446:F470,D446:D470)</f>
        <v>-45.53723076923076</v>
      </c>
      <c r="Y470" s="56">
        <v>19.996656923076916</v>
      </c>
      <c r="Z470" s="56" cm="1">
        <f t="array" ref="Z470:AA470">LINEST(F441:F470,D441:D470)</f>
        <v>-31.111368186874298</v>
      </c>
      <c r="AA470" s="56">
        <v>13.838589024842413</v>
      </c>
      <c r="AB470" s="37" cm="1">
        <f t="array" ref="AB470:AC470">LINEST(G461:G470,D461:D470)</f>
        <v>-13.309090909090868</v>
      </c>
      <c r="AC470" s="59">
        <v>6.4914848484848298</v>
      </c>
      <c r="AD470" s="37" cm="1">
        <f t="array" ref="AD470:AE470">LINEST(G456:G470,D456:D470)</f>
        <v>-20.519999999999985</v>
      </c>
      <c r="AE470" s="59">
        <v>9.6192833333333283</v>
      </c>
      <c r="AF470" s="37" cm="1">
        <f t="array" ref="AF470:AG470">LINEST(G451:G470,D451:D470)</f>
        <v>-13.658345864661671</v>
      </c>
      <c r="AG470" s="59">
        <v>6.6620909774436168</v>
      </c>
      <c r="AH470" s="37" cm="1">
        <f t="array" ref="AH470:AI470">LINEST(G446:G470,D446:D470)</f>
        <v>-4.0984615384615388</v>
      </c>
      <c r="AI470" s="59">
        <v>2.5639538461538462</v>
      </c>
      <c r="AJ470" s="37" cm="1">
        <f t="array" ref="AJ470:AK470">LINEST(G441:G470,D441:D470)</f>
        <v>2.4379087875417143</v>
      </c>
      <c r="AK470" s="59">
        <v>-0.22385850945495034</v>
      </c>
    </row>
    <row r="471" spans="1:38" x14ac:dyDescent="0.25">
      <c r="A471" s="61">
        <v>502</v>
      </c>
      <c r="B471" s="14">
        <f t="shared" si="8"/>
        <v>465</v>
      </c>
      <c r="C471" s="15">
        <v>43991</v>
      </c>
      <c r="D471" s="16">
        <v>0.43986111111111109</v>
      </c>
      <c r="E471" s="73">
        <v>21.6</v>
      </c>
      <c r="F471" s="76">
        <v>-1.5</v>
      </c>
      <c r="G471" s="74">
        <v>0.38</v>
      </c>
      <c r="H471" s="56" cm="1">
        <f t="array" ref="H471:I471">LINEST(E462:E471,D462:D471)</f>
        <v>-13.003636363636222</v>
      </c>
      <c r="I471" s="56">
        <v>27.656521212121152</v>
      </c>
      <c r="J471" s="56" cm="1">
        <f t="array" ref="J471:K471">LINEST(E457:E471,D457:D471)</f>
        <v>-0.10285714285711385</v>
      </c>
      <c r="K471" s="56">
        <v>22.045576190476179</v>
      </c>
      <c r="L471" s="56" cm="1">
        <f t="array" ref="L471:M471">LINEST(E452:E471,D452:D471)</f>
        <v>62.261052631578998</v>
      </c>
      <c r="M471" s="56">
        <v>-4.9422157894737104</v>
      </c>
      <c r="N471" s="56" cm="1">
        <f t="array" ref="N471:O471">LINEST(E447:E471,D447:D471)</f>
        <v>70.366153846153907</v>
      </c>
      <c r="O471" s="56">
        <v>-8.4321653846154092</v>
      </c>
      <c r="P471" s="56" cm="1">
        <f t="array" ref="P471:Q471">LINEST(E442:E471,D442:D471)</f>
        <v>66.741357063403782</v>
      </c>
      <c r="Q471" s="56">
        <v>-6.8824973674453105</v>
      </c>
      <c r="R471" s="56" cm="1">
        <f t="array" ref="R471:S471">LINEST(F462:F471,D462:D471)</f>
        <v>-141.86181818181768</v>
      </c>
      <c r="S471" s="56">
        <v>61.671860606060392</v>
      </c>
      <c r="T471" s="56" cm="1">
        <f t="array" ref="T471:U471">LINEST(F457:F471,D457:D471)</f>
        <v>-75.445714285714061</v>
      </c>
      <c r="U471" s="56">
        <v>32.737469047618951</v>
      </c>
      <c r="V471" s="56" cm="1">
        <f t="array" ref="V471:W471">LINEST(F452:F471,D452:D471)</f>
        <v>-68.150977443609008</v>
      </c>
      <c r="W471" s="56">
        <v>29.58825037593985</v>
      </c>
      <c r="X471" s="56" cm="1">
        <f t="array" ref="X471:Y471">LINEST(F447:F471,D447:D471)</f>
        <v>-60.380307692307724</v>
      </c>
      <c r="Y471" s="56">
        <v>26.247810769230785</v>
      </c>
      <c r="Z471" s="56" cm="1">
        <f t="array" ref="Z471:AA471">LINEST(F442:F471,D442:D471)</f>
        <v>-40.135795328142365</v>
      </c>
      <c r="AA471" s="56">
        <v>17.580218539117531</v>
      </c>
      <c r="AB471" s="37" cm="1">
        <f t="array" ref="AB471:AC471">LINEST(G462:G471,D462:D471)</f>
        <v>-23.039999999999957</v>
      </c>
      <c r="AC471" s="59">
        <v>10.684399999999982</v>
      </c>
      <c r="AD471" s="37" cm="1">
        <f t="array" ref="AD471:AE471">LINEST(G457:G471,D457:D471)</f>
        <v>-24.788571428571398</v>
      </c>
      <c r="AE471" s="59">
        <v>11.442528571428557</v>
      </c>
      <c r="AF471" s="37" cm="1">
        <f t="array" ref="AF471:AG471">LINEST(G452:G471,D452:D471)</f>
        <v>-17.886315789473695</v>
      </c>
      <c r="AG471" s="59">
        <v>8.4584947368421126</v>
      </c>
      <c r="AH471" s="37" cm="1">
        <f t="array" ref="AH471:AI471">LINEST(G447:G471,D447:D471)</f>
        <v>-8.457230769230776</v>
      </c>
      <c r="AI471" s="59">
        <v>4.4034530769230802</v>
      </c>
      <c r="AJ471" s="37" cm="1">
        <f t="array" ref="AJ471:AK471">LINEST(G442:G471,D442:D471)</f>
        <v>-0.86496106785316806</v>
      </c>
      <c r="AK471" s="59">
        <v>1.1543767148683715</v>
      </c>
    </row>
    <row r="472" spans="1:38" x14ac:dyDescent="0.25">
      <c r="A472" s="61">
        <v>502</v>
      </c>
      <c r="B472" s="14">
        <f t="shared" si="8"/>
        <v>466</v>
      </c>
      <c r="C472" s="15">
        <v>43992</v>
      </c>
      <c r="D472" s="16">
        <v>0.44124999999999998</v>
      </c>
      <c r="E472" s="73">
        <v>21.5</v>
      </c>
      <c r="F472" s="76">
        <v>-1.5</v>
      </c>
      <c r="G472" s="74">
        <v>0.23</v>
      </c>
      <c r="H472" s="56" cm="1">
        <f t="array" ref="H472:I472">LINEST(E463:E472,D463:D472)</f>
        <v>-34.210909090908991</v>
      </c>
      <c r="I472" s="56">
        <v>36.849745454545413</v>
      </c>
      <c r="J472" s="56" cm="1">
        <f t="array" ref="J472:K472">LINEST(E458:E472,D458:D472)</f>
        <v>-11.4171428571428</v>
      </c>
      <c r="K472" s="56">
        <v>26.902147619047597</v>
      </c>
      <c r="L472" s="56" cm="1">
        <f t="array" ref="L472:M472">LINEST(E453:E472,D453:D472)</f>
        <v>46.875789473684236</v>
      </c>
      <c r="M472" s="56">
        <v>1.6130578947368335</v>
      </c>
      <c r="N472" s="56" cm="1">
        <f t="array" ref="N472:O472">LINEST(E448:E472,D448:D472)</f>
        <v>62.628923076923165</v>
      </c>
      <c r="O472" s="56">
        <v>-5.1899969230769685</v>
      </c>
      <c r="P472" s="56" cm="1">
        <f t="array" ref="P472:Q472">LINEST(E443:E472,D443:D472)</f>
        <v>62.796173526140187</v>
      </c>
      <c r="Q472" s="56">
        <v>-5.2634997404523709</v>
      </c>
      <c r="R472" s="56" cm="1">
        <f t="array" ref="R472:S472">LINEST(F463:F472,D463:D472)</f>
        <v>-197.84727272727258</v>
      </c>
      <c r="S472" s="56">
        <v>86.037563636363572</v>
      </c>
      <c r="T472" s="56" cm="1">
        <f t="array" ref="T472:U472">LINEST(F458:F472,D458:D472)</f>
        <v>-88.559999999999818</v>
      </c>
      <c r="U472" s="56">
        <v>38.320766666666593</v>
      </c>
      <c r="V472" s="56" cm="1">
        <f t="array" ref="V472:W472">LINEST(F453:F472,D453:D472)</f>
        <v>-79.855037593984946</v>
      </c>
      <c r="W472" s="56">
        <v>34.552892481203003</v>
      </c>
      <c r="X472" s="56" cm="1">
        <f t="array" ref="X472:Y472">LINEST(F448:F472,D448:D472)</f>
        <v>-73.927384615384682</v>
      </c>
      <c r="Y472" s="56">
        <v>31.989935384615421</v>
      </c>
      <c r="Z472" s="56" cm="1">
        <f t="array" ref="Z472:AA472">LINEST(F443:F472,D443:D472)</f>
        <v>-48.301668520578424</v>
      </c>
      <c r="AA472" s="56">
        <v>20.985369299221357</v>
      </c>
      <c r="AB472" s="37" cm="1">
        <f t="array" ref="AB472:AC472">LINEST(G463:G472,D463:D472)</f>
        <v>-36.654545454545456</v>
      </c>
      <c r="AC472" s="59">
        <v>16.582727272727272</v>
      </c>
      <c r="AD472" s="37" cm="1">
        <f t="array" ref="AD472:AE472">LINEST(G458:G472,D458:D472)</f>
        <v>-29.751428571428548</v>
      </c>
      <c r="AE472" s="59">
        <v>13.565901190476183</v>
      </c>
      <c r="AF472" s="37" cm="1">
        <f t="array" ref="AF472:AG472">LINEST(G453:G472,D453:D472)</f>
        <v>-22.74225563909776</v>
      </c>
      <c r="AG472" s="59">
        <v>10.52644887218046</v>
      </c>
      <c r="AH472" s="37" cm="1">
        <f t="array" ref="AH472:AI472">LINEST(G448:G472,D448:D472)</f>
        <v>-13.591384615384632</v>
      </c>
      <c r="AI472" s="59">
        <v>6.5778753846153926</v>
      </c>
      <c r="AJ472" s="37" cm="1">
        <f t="array" ref="AJ472:AK472">LINEST(G443:G472,D443:D472)</f>
        <v>-4.5714794215795322</v>
      </c>
      <c r="AK472" s="59">
        <v>2.7051007786429366</v>
      </c>
      <c r="AL472" s="40" t="s">
        <v>86</v>
      </c>
    </row>
    <row r="473" spans="1:38" ht="15.75" thickBot="1" x14ac:dyDescent="0.3">
      <c r="A473" s="61">
        <v>502</v>
      </c>
      <c r="B473" s="14">
        <f t="shared" si="8"/>
        <v>467</v>
      </c>
      <c r="C473" s="15">
        <v>43993</v>
      </c>
      <c r="D473" s="16">
        <v>0.44263888888888886</v>
      </c>
      <c r="E473" s="73">
        <v>20.149999999999999</v>
      </c>
      <c r="F473" s="76">
        <v>-1.5</v>
      </c>
      <c r="G473" s="81">
        <v>0.09</v>
      </c>
      <c r="H473" s="56" cm="1">
        <f t="array" ref="H473:I473">LINEST(E464:E473,D464:D473)</f>
        <v>-103.59272727272753</v>
      </c>
      <c r="I473" s="56">
        <v>66.988715151515265</v>
      </c>
      <c r="J473" s="56" cm="1">
        <f t="array" ref="J473:K473">LINEST(E459:E473,D459:D473)</f>
        <v>-44.177142857142762</v>
      </c>
      <c r="K473" s="56">
        <v>40.978354761904725</v>
      </c>
      <c r="L473" s="56" cm="1">
        <f t="array" ref="L473:M473">LINEST(E454:E473,D454:D473)</f>
        <v>16.733233082706786</v>
      </c>
      <c r="M473" s="56">
        <v>14.479506015037588</v>
      </c>
      <c r="N473" s="56" cm="1">
        <f t="array" ref="N473:O473">LINEST(E449:E473,D449:D473)</f>
        <v>45.736615384615419</v>
      </c>
      <c r="O473" s="56">
        <v>1.9162723076922887</v>
      </c>
      <c r="P473" s="56" cm="1">
        <f t="array" ref="P473:Q473">LINEST(E444:E473,D444:D473)</f>
        <v>52.294905450500593</v>
      </c>
      <c r="Q473" s="56">
        <v>-0.90993088616983897</v>
      </c>
      <c r="R473" s="56" cm="1">
        <f t="array" ref="R473:S473">LINEST(F464:F473,D464:D473)</f>
        <v>-245.84727272727361</v>
      </c>
      <c r="S473" s="56">
        <v>107.09101818181855</v>
      </c>
      <c r="T473" s="56" cm="1">
        <f t="array" ref="T473:U473">LINEST(F459:F473,D459:D473)</f>
        <v>-94.705714285714066</v>
      </c>
      <c r="U473" s="56">
        <v>40.923682142857047</v>
      </c>
      <c r="V473" s="56" cm="1">
        <f t="array" ref="V473:W473">LINEST(F454:F473,D454:D473)</f>
        <v>-93.529624060150354</v>
      </c>
      <c r="W473" s="56">
        <v>40.418277443609007</v>
      </c>
      <c r="X473" s="56" cm="1">
        <f t="array" ref="X473:Y473">LINEST(F449:F473,D449:D473)</f>
        <v>-73.362461538461616</v>
      </c>
      <c r="Y473" s="56">
        <v>31.687170769230811</v>
      </c>
      <c r="Z473" s="56" cm="1">
        <f t="array" ref="Z473:AA473">LINEST(F444:F473,D444:D473)</f>
        <v>-55.608987764182423</v>
      </c>
      <c r="AA473" s="56">
        <v>24.050463997033745</v>
      </c>
      <c r="AB473" s="37" cm="1">
        <f t="array" ref="AB473:AC473">LINEST(G464:G473,D464:D473)</f>
        <v>-53.280000000000193</v>
      </c>
      <c r="AC473" s="59">
        <v>23.823800000000084</v>
      </c>
      <c r="AD473" s="37" cm="1">
        <f t="array" ref="AD473:AE473">LINEST(G459:G473,D459:D473)</f>
        <v>-34.79142857142854</v>
      </c>
      <c r="AE473" s="59">
        <v>15.725789285714272</v>
      </c>
      <c r="AF473" s="37" cm="1">
        <f t="array" ref="AF473:AG473">LINEST(G454:G473,D454:D473)</f>
        <v>-28.269473684210535</v>
      </c>
      <c r="AG473" s="59">
        <v>12.889168421052634</v>
      </c>
      <c r="AH473" s="37" cm="1">
        <f t="array" ref="AH473:AI473">LINEST(G449:G473,D449:D473)</f>
        <v>-18.265846153846184</v>
      </c>
      <c r="AI473" s="59">
        <v>8.5587430769230917</v>
      </c>
      <c r="AJ473" s="37" cm="1">
        <f t="array" ref="AJ473:AK473">LINEST(G444:G473,D444:D473)</f>
        <v>-8.5711234705228048</v>
      </c>
      <c r="AK473" s="59">
        <v>4.3836329996292198</v>
      </c>
    </row>
    <row r="474" spans="1:38" x14ac:dyDescent="0.25">
      <c r="A474" s="61">
        <v>502</v>
      </c>
      <c r="B474" s="14">
        <f t="shared" si="8"/>
        <v>468</v>
      </c>
      <c r="C474" s="15">
        <v>43994</v>
      </c>
      <c r="D474" s="16">
        <v>0.44402777777777774</v>
      </c>
      <c r="E474" s="73">
        <v>20.170000000000002</v>
      </c>
      <c r="F474" s="78">
        <v>-1.5</v>
      </c>
      <c r="G474" s="75">
        <v>-0.03</v>
      </c>
      <c r="H474" s="69" cm="1">
        <f t="array" ref="H474:I474">LINEST(E465:E474,D465:D474)</f>
        <v>-154.51636363636408</v>
      </c>
      <c r="I474" s="56">
        <v>89.238830303030497</v>
      </c>
      <c r="J474" s="56" cm="1">
        <f t="array" ref="J474:K474">LINEST(E460:E474,D460:D474)</f>
        <v>-71.45999999999988</v>
      </c>
      <c r="K474" s="56">
        <v>52.766808333333287</v>
      </c>
      <c r="L474" s="56" cm="1">
        <f t="array" ref="L474:M474">LINEST(E455:E474,D455:D474)</f>
        <v>-12.467368421052569</v>
      </c>
      <c r="M474" s="56">
        <v>27.022857894736816</v>
      </c>
      <c r="N474" s="56" cm="1">
        <f t="array" ref="N474:O474">LINEST(E450:E474,D450:D474)</f>
        <v>29.082461538461587</v>
      </c>
      <c r="O474" s="56">
        <v>8.9680869230768998</v>
      </c>
      <c r="P474" s="56" cm="1">
        <f t="array" ref="P474:Q474">LINEST(E445:E474,D445:D474)</f>
        <v>41.997063403782036</v>
      </c>
      <c r="Q474" s="56">
        <v>3.386244790507952</v>
      </c>
      <c r="R474" s="56" cm="1">
        <f t="array" ref="R474:S474">LINEST(F465:F474,D465:D474)</f>
        <v>-243.66545454545542</v>
      </c>
      <c r="S474" s="56">
        <v>106.2353212121216</v>
      </c>
      <c r="T474" s="56" cm="1">
        <f t="array" ref="T474:U474">LINEST(F460:F474,D460:D474)</f>
        <v>-106.842857142857</v>
      </c>
      <c r="U474" s="56">
        <v>46.1877797619047</v>
      </c>
      <c r="V474" s="56" cm="1">
        <f t="array" ref="V474:W474">LINEST(F455:F474,D455:D474)</f>
        <v>-99.078496240601467</v>
      </c>
      <c r="W474" s="56">
        <v>42.796318796992466</v>
      </c>
      <c r="X474" s="56" cm="1">
        <f t="array" ref="X474:Y474">LINEST(F450:F474,D450:D474)</f>
        <v>-88.515692307692404</v>
      </c>
      <c r="Y474" s="56">
        <v>38.200164615384665</v>
      </c>
      <c r="Z474" s="56" cm="1">
        <f t="array" ref="Z474:AA474">LINEST(F445:F474,D445:D474)</f>
        <v>-62.057753058954439</v>
      </c>
      <c r="AA474" s="56">
        <v>26.771925324434577</v>
      </c>
      <c r="AB474" s="37" cm="1">
        <f t="array" ref="AB474:AC474">LINEST(G465:G474,D465:D474)</f>
        <v>-67.985454545454772</v>
      </c>
      <c r="AC474" s="59">
        <v>30.256521212121314</v>
      </c>
      <c r="AD474" s="37" cm="1">
        <f t="array" ref="AD474:AE474">LINEST(G460:G474,D460:D474)</f>
        <v>-40.371428571428567</v>
      </c>
      <c r="AE474" s="59">
        <v>18.128869047619045</v>
      </c>
      <c r="AF474" s="37" cm="1">
        <f t="array" ref="AF474:AG474">LINEST(G455:G474,D455:D474)</f>
        <v>-33.769624060150385</v>
      </c>
      <c r="AG474" s="59">
        <v>15.248079699248125</v>
      </c>
      <c r="AH474" s="37" cm="1">
        <f t="array" ref="AH474:AI474">LINEST(G450:G474,D450:D474)</f>
        <v>-23.76553846153849</v>
      </c>
      <c r="AI474" s="59">
        <v>10.902866923076937</v>
      </c>
      <c r="AJ474" s="37" cm="1">
        <f t="array" ref="AJ474:AK474">LINEST(G445:G474,D445:D474)</f>
        <v>-12.759777530589551</v>
      </c>
      <c r="AK474" s="59">
        <v>6.1480612532443484</v>
      </c>
    </row>
    <row r="475" spans="1:38" x14ac:dyDescent="0.25">
      <c r="A475" s="61">
        <v>502</v>
      </c>
      <c r="B475" s="14">
        <f t="shared" si="8"/>
        <v>469</v>
      </c>
      <c r="C475" s="15">
        <v>43995</v>
      </c>
      <c r="D475" s="16">
        <v>0.44541666666666663</v>
      </c>
      <c r="E475" s="73">
        <v>20.18</v>
      </c>
      <c r="F475" s="78">
        <v>-1.5</v>
      </c>
      <c r="G475" s="76">
        <v>-0.14000000000000001</v>
      </c>
      <c r="H475" s="69" cm="1">
        <f t="array" ref="H475:I475">LINEST(E466:E475,D466:D475)</f>
        <v>-187.76727272727328</v>
      </c>
      <c r="I475" s="56">
        <v>103.86812727272751</v>
      </c>
      <c r="J475" s="56" cm="1">
        <f t="array" ref="J475:K475">LINEST(E461:E475,D461:D475)</f>
        <v>-94.268571428571335</v>
      </c>
      <c r="K475" s="56">
        <v>62.683626190476147</v>
      </c>
      <c r="L475" s="56" cm="1">
        <f t="array" ref="L475:M475">LINEST(E456:E475,D456:D475)</f>
        <v>-40.807218045112734</v>
      </c>
      <c r="M475" s="56">
        <v>39.273786466165397</v>
      </c>
      <c r="N475" s="56" cm="1">
        <f t="array" ref="N475:O475">LINEST(E451:E475,D451:D475)</f>
        <v>13.170461538461577</v>
      </c>
      <c r="O475" s="56">
        <v>15.744764615384595</v>
      </c>
      <c r="P475" s="56" cm="1">
        <f t="array" ref="P475:Q475">LINEST(E446:E475,D446:D475)</f>
        <v>31.760088987764227</v>
      </c>
      <c r="Q475" s="56">
        <v>7.6851399332591566</v>
      </c>
      <c r="R475" s="56" cm="1">
        <f t="array" ref="R475:S475">LINEST(F466:F475,D466:D475)</f>
        <v>-227.56363636363724</v>
      </c>
      <c r="S475" s="56">
        <v>99.27536363636402</v>
      </c>
      <c r="T475" s="56" cm="1">
        <f t="array" ref="T475:U475">LINEST(F461:F475,D461:D475)</f>
        <v>-138.7285714285714</v>
      </c>
      <c r="U475" s="56">
        <v>60.171267857142844</v>
      </c>
      <c r="V475" s="56" cm="1">
        <f t="array" ref="V475:W475">LINEST(F456:F475,D456:D475)</f>
        <v>-103.13323308270675</v>
      </c>
      <c r="W475" s="56">
        <v>44.550975187969925</v>
      </c>
      <c r="X475" s="56" cm="1">
        <f t="array" ref="X475:Y475">LINEST(F451:F475,D451:D475)</f>
        <v>-83.619692307692347</v>
      </c>
      <c r="Y475" s="56">
        <v>36.0527430769231</v>
      </c>
      <c r="Z475" s="56" cm="1">
        <f t="array" ref="Z475:AA475">LINEST(F446:F475,D446:D475)</f>
        <v>-72.166585094549532</v>
      </c>
      <c r="AA475" s="56">
        <v>31.098178272154261</v>
      </c>
      <c r="AB475" s="37" cm="1">
        <f t="array" ref="AB475:AC475">LINEST(G466:G475,D466:D475)</f>
        <v>-80.116363636363914</v>
      </c>
      <c r="AC475" s="59">
        <v>35.58843636363649</v>
      </c>
      <c r="AD475" s="37" cm="1">
        <f t="array" ref="AD475:AE475">LINEST(G461:G475,D461:D475)</f>
        <v>-47.957142857142863</v>
      </c>
      <c r="AE475" s="59">
        <v>21.422660714285715</v>
      </c>
      <c r="AF475" s="37" cm="1">
        <f t="array" ref="AF475:AG475">LINEST(G456:G475,D456:D475)</f>
        <v>-39.091127819548895</v>
      </c>
      <c r="AG475" s="59">
        <v>17.538554135338359</v>
      </c>
      <c r="AH475" s="37" cm="1">
        <f t="array" ref="AH475:AI475">LINEST(G451:G475,D451:D475)</f>
        <v>-28.406769230769264</v>
      </c>
      <c r="AI475" s="59">
        <v>12.883402307692325</v>
      </c>
      <c r="AJ475" s="37" cm="1">
        <f t="array" ref="AJ475:AK475">LINEST(G446:G475,D446:D475)</f>
        <v>-17.387319243604015</v>
      </c>
      <c r="AK475" s="59">
        <v>8.1081071560993738</v>
      </c>
      <c r="AL475" s="47" t="s">
        <v>92</v>
      </c>
    </row>
    <row r="476" spans="1:38" ht="15.75" thickBot="1" x14ac:dyDescent="0.3">
      <c r="A476" s="61">
        <v>502</v>
      </c>
      <c r="B476" s="14">
        <f t="shared" si="8"/>
        <v>470</v>
      </c>
      <c r="C476" s="15">
        <v>43996</v>
      </c>
      <c r="D476" s="16">
        <v>0.44680555555555551</v>
      </c>
      <c r="E476" s="73">
        <v>20.11</v>
      </c>
      <c r="F476" s="79">
        <v>-1.5</v>
      </c>
      <c r="G476" s="76">
        <v>-0.25</v>
      </c>
      <c r="H476" s="69" cm="1">
        <f t="array" ref="H476:I476">LINEST(E467:E476,D467:D476)</f>
        <v>-206.40000000000074</v>
      </c>
      <c r="I476" s="56">
        <v>112.14066666666702</v>
      </c>
      <c r="J476" s="56" cm="1">
        <f t="array" ref="J476:K476">LINEST(E462:E476,D462:D476)</f>
        <v>-113.50285714285724</v>
      </c>
      <c r="K476" s="56">
        <v>71.096207142857196</v>
      </c>
      <c r="L476" s="56" cm="1">
        <f t="array" ref="L476:M476">LINEST(E457:E476,D457:D476)</f>
        <v>-67.144060150375907</v>
      </c>
      <c r="M476" s="56">
        <v>50.720910526315777</v>
      </c>
      <c r="N476" s="56" cm="1">
        <f t="array" ref="N476:O476">LINEST(E452:E476,D452:D476)</f>
        <v>-2.9187692307691986</v>
      </c>
      <c r="O476" s="56">
        <v>22.637876153846143</v>
      </c>
      <c r="P476" s="56" cm="1">
        <f t="array" ref="P476:Q476">LINEST(E447:E476,D447:D476)</f>
        <v>21.311679644048994</v>
      </c>
      <c r="Q476" s="56">
        <v>12.099350018539097</v>
      </c>
      <c r="R476" s="56" cm="1">
        <f t="array" ref="R476:S476">LINEST(F467:F476,D467:D476)</f>
        <v>-208.93090909090975</v>
      </c>
      <c r="S476" s="56">
        <v>91.19167272727303</v>
      </c>
      <c r="T476" s="56" cm="1">
        <f t="array" ref="T476:U476">LINEST(F462:F476,D462:D476)</f>
        <v>-148.4485714285716</v>
      </c>
      <c r="U476" s="56">
        <v>64.490396428571501</v>
      </c>
      <c r="V476" s="56" cm="1">
        <f t="array" ref="V476:W476">LINEST(F457:F476,D457:D476)</f>
        <v>-104.25383458646608</v>
      </c>
      <c r="W476" s="56">
        <v>45.044621052631541</v>
      </c>
      <c r="X476" s="56" cm="1">
        <f t="array" ref="X476:Y476">LINEST(F452:F476,D452:D476)</f>
        <v>-90.537230769230817</v>
      </c>
      <c r="Y476" s="56">
        <v>39.051983846153874</v>
      </c>
      <c r="Z476" s="56" cm="1">
        <f t="array" ref="Z476:AA476">LINEST(F447:F476,D447:D476)</f>
        <v>-78.878042269188057</v>
      </c>
      <c r="AA476" s="56">
        <v>33.983964701520236</v>
      </c>
      <c r="AB476" s="37" cm="1">
        <f t="array" ref="AB476:AC476">LINEST(G467:G476,D467:D476)</f>
        <v>-90.152727272727617</v>
      </c>
      <c r="AC476" s="59">
        <v>40.023284848484998</v>
      </c>
      <c r="AD476" s="37" cm="1">
        <f t="array" ref="AD476:AE476">LINEST(G462:G476,D462:D476)</f>
        <v>-55.748571428571481</v>
      </c>
      <c r="AE476" s="59">
        <v>24.822771428571453</v>
      </c>
      <c r="AF476" s="37" cm="1">
        <f t="array" ref="AF476:AG476">LINEST(G457:G476,D457:D476)</f>
        <v>-44.206917293233097</v>
      </c>
      <c r="AG476" s="59">
        <v>19.748610526315794</v>
      </c>
      <c r="AH476" s="37" cm="1">
        <f t="array" ref="AH476:AI476">LINEST(G452:G476,D452:D476)</f>
        <v>-33.264000000000017</v>
      </c>
      <c r="AI476" s="59">
        <v>14.965740000000009</v>
      </c>
      <c r="AJ476" s="37" cm="1">
        <f t="array" ref="AJ476:AK476">LINEST(G447:G476,D447:D476)</f>
        <v>-22.179844271412694</v>
      </c>
      <c r="AK476" s="59">
        <v>10.147066889136084</v>
      </c>
    </row>
    <row r="477" spans="1:38" x14ac:dyDescent="0.25">
      <c r="A477" s="61">
        <v>502</v>
      </c>
      <c r="B477" s="14">
        <f t="shared" si="8"/>
        <v>471</v>
      </c>
      <c r="C477" s="15">
        <v>43997</v>
      </c>
      <c r="D477" s="16">
        <v>0.4481944444444444</v>
      </c>
      <c r="E477" s="36">
        <v>20.11</v>
      </c>
      <c r="F477" s="80">
        <v>7.0000000000000007E-2</v>
      </c>
      <c r="G477" s="76">
        <v>-0.23</v>
      </c>
      <c r="H477" s="69" cm="1">
        <f t="array" ref="H477:I477">LINEST(E468:E477,D468:D477)</f>
        <v>-206.4000000000008</v>
      </c>
      <c r="I477" s="56">
        <v>112.22733333333369</v>
      </c>
      <c r="J477" s="56" cm="1">
        <f t="array" ref="J477:K477">LINEST(E463:E477,D463:D477)</f>
        <v>-127.69714285714312</v>
      </c>
      <c r="K477" s="56">
        <v>77.35165000000012</v>
      </c>
      <c r="L477" s="56" cm="1">
        <f t="array" ref="L477:M477">LINEST(E458:E477,D458:D477)</f>
        <v>-79.313684210526318</v>
      </c>
      <c r="M477" s="56">
        <v>56.018952631578955</v>
      </c>
      <c r="N477" s="56" cm="1">
        <f t="array" ref="N477:O477">LINEST(E453:E477,D453:D477)</f>
        <v>-18.592615384615371</v>
      </c>
      <c r="O477" s="56">
        <v>29.394829999999999</v>
      </c>
      <c r="P477" s="56" cm="1">
        <f t="array" ref="P477:Q477">LINEST(E448:E477,D448:D477)</f>
        <v>11.009032258064545</v>
      </c>
      <c r="Q477" s="56">
        <v>16.479189247311812</v>
      </c>
      <c r="R477" s="56" cm="1">
        <f t="array" ref="R477:S477">LINEST(F468:F477,D468:D477)</f>
        <v>-89.410909090909428</v>
      </c>
      <c r="S477" s="56">
        <v>38.579654545454687</v>
      </c>
      <c r="T477" s="56" cm="1">
        <f t="array" ref="T477:U477">LINEST(F463:F477,D463:D477)</f>
        <v>-124.79142857142888</v>
      </c>
      <c r="U477" s="56">
        <v>54.304908333333465</v>
      </c>
      <c r="V477" s="56" cm="1">
        <f t="array" ref="V477:W477">LINEST(F458:F477,D458:D477)</f>
        <v>-86.29172932330826</v>
      </c>
      <c r="W477" s="56">
        <v>37.318902255639102</v>
      </c>
      <c r="X477" s="56" cm="1">
        <f t="array" ref="X477:Y477">LINEST(F453:F477,D453:D477)</f>
        <v>-82.212923076923147</v>
      </c>
      <c r="Y477" s="56">
        <v>35.53636000000003</v>
      </c>
      <c r="Z477" s="56" cm="1">
        <f t="array" ref="Z477:AA477">LINEST(F448:F477,D448:D477)</f>
        <v>-77.546963292547389</v>
      </c>
      <c r="AA477" s="56">
        <v>33.498075120504318</v>
      </c>
      <c r="AB477" s="37" cm="1">
        <f t="array" ref="AB477:AC477">LINEST(G468:G477,D468:D477)</f>
        <v>-90.370909090909421</v>
      </c>
      <c r="AC477" s="59">
        <v>40.147921212121361</v>
      </c>
      <c r="AD477" s="37" cm="1">
        <f t="array" ref="AD477:AE477">LINEST(G463:G477,D463:D477)</f>
        <v>-61.225714285714432</v>
      </c>
      <c r="AE477" s="59">
        <v>27.233775000000065</v>
      </c>
      <c r="AF477" s="37" cm="1">
        <f t="array" ref="AF477:AG477">LINEST(G458:G477,D458:D477)</f>
        <v>-47.536240601503771</v>
      </c>
      <c r="AG477" s="59">
        <v>21.195764661654142</v>
      </c>
      <c r="AH477" s="37" cm="1">
        <f t="array" ref="AH477:AI477">LINEST(G453:G477,D453:D477)</f>
        <v>-37.129846153846195</v>
      </c>
      <c r="AI477" s="59">
        <v>16.633360000000021</v>
      </c>
      <c r="AJ477" s="37" cm="1">
        <f t="array" ref="AJ477:AK477">LINEST(G448:G477,D448:D477)</f>
        <v>-26.541490545050088</v>
      </c>
      <c r="AK477" s="59">
        <v>12.015232480533943</v>
      </c>
    </row>
    <row r="478" spans="1:38" x14ac:dyDescent="0.25">
      <c r="A478" s="61">
        <v>502</v>
      </c>
      <c r="B478" s="14">
        <f t="shared" si="8"/>
        <v>472</v>
      </c>
      <c r="C478" s="15">
        <v>43998</v>
      </c>
      <c r="D478" s="16">
        <v>0.44958333333333328</v>
      </c>
      <c r="E478" s="36">
        <v>20.09</v>
      </c>
      <c r="F478" s="73">
        <v>-0.83</v>
      </c>
      <c r="G478" s="76">
        <v>-0.27</v>
      </c>
      <c r="H478" s="69" cm="1">
        <f t="array" ref="H478:I478">LINEST(E469:E478,D469:D478)</f>
        <v>-187.33090909090984</v>
      </c>
      <c r="I478" s="56">
        <v>103.8530363636367</v>
      </c>
      <c r="J478" s="56" cm="1">
        <f t="array" ref="J478:K478">LINEST(E464:E478,D464:D478)</f>
        <v>-137.18571428571468</v>
      </c>
      <c r="K478" s="56">
        <v>81.574660714285884</v>
      </c>
      <c r="L478" s="56" cm="1">
        <f t="array" ref="L478:M478">LINEST(E459:E478,D459:D478)</f>
        <v>-88.738646616541374</v>
      </c>
      <c r="M478" s="56">
        <v>60.147559398496256</v>
      </c>
      <c r="N478" s="56" cm="1">
        <f t="array" ref="N478:O478">LINEST(E454:E478,D454:D478)</f>
        <v>-34.033846153846149</v>
      </c>
      <c r="O478" s="56">
        <v>36.09261923076923</v>
      </c>
      <c r="P478" s="56" cm="1">
        <f t="array" ref="P478:Q478">LINEST(E449:E478,D449:D478)</f>
        <v>1.0171301446051413</v>
      </c>
      <c r="Q478" s="56">
        <v>20.750865776789013</v>
      </c>
      <c r="R478" s="56" cm="1">
        <f t="array" ref="R478:S478">LINEST(F469:F478,D469:D478)</f>
        <v>33.032727272727399</v>
      </c>
      <c r="S478" s="56">
        <v>-15.815509090909147</v>
      </c>
      <c r="T478" s="56" cm="1">
        <f t="array" ref="T478:U478">LINEST(F464:F478,D464:D478)</f>
        <v>-120.11142857142895</v>
      </c>
      <c r="U478" s="56">
        <v>52.352346428571593</v>
      </c>
      <c r="V478" s="56" cm="1">
        <f t="array" ref="V478:W478">LINEST(F459:F478,D459:D478)</f>
        <v>-76.352481203007542</v>
      </c>
      <c r="W478" s="56">
        <v>32.999374436090235</v>
      </c>
      <c r="X478" s="56" cm="1">
        <f t="array" ref="X478:Y478">LINEST(F454:F478,D454:D478)</f>
        <v>-82.356923076923152</v>
      </c>
      <c r="Y478" s="56">
        <v>35.645284615384639</v>
      </c>
      <c r="Z478" s="56" cm="1">
        <f t="array" ref="Z478:AA478">LINEST(F449:F478,D449:D478)</f>
        <v>-71.311234705228131</v>
      </c>
      <c r="AA478" s="56">
        <v>30.81288023730075</v>
      </c>
      <c r="AB478" s="37" cm="1">
        <f t="array" ref="AB478:AC478">LINEST(G469:G478,D469:D478)</f>
        <v>-80.814545454545765</v>
      </c>
      <c r="AC478" s="59">
        <v>35.929781818181958</v>
      </c>
      <c r="AD478" s="37" cm="1">
        <f t="array" ref="AD478:AE478">LINEST(G464:G478,D464:D478)</f>
        <v>-65.828571428571664</v>
      </c>
      <c r="AE478" s="59">
        <v>29.276095238095341</v>
      </c>
      <c r="AF478" s="37" cm="1">
        <f t="array" ref="AF478:AG478">LINEST(G459:G478,D459:D478)</f>
        <v>-49.696240601503796</v>
      </c>
      <c r="AG478" s="59">
        <v>22.138887218045131</v>
      </c>
      <c r="AH478" s="37" cm="1">
        <f t="array" ref="AH478:AI478">LINEST(G454:G478,D454:D478)</f>
        <v>-40.613538461538511</v>
      </c>
      <c r="AI478" s="59">
        <v>18.144677692307713</v>
      </c>
      <c r="AJ478" s="37" cm="1">
        <f t="array" ref="AJ478:AK478">LINEST(G449:G478,D449:D478)</f>
        <v>-30.009343715239194</v>
      </c>
      <c r="AK478" s="59">
        <v>13.505012606599943</v>
      </c>
    </row>
    <row r="479" spans="1:38" x14ac:dyDescent="0.25">
      <c r="A479" s="61">
        <v>502</v>
      </c>
      <c r="B479" s="14">
        <f t="shared" si="8"/>
        <v>473</v>
      </c>
      <c r="C479" s="15">
        <v>43999</v>
      </c>
      <c r="D479" s="16">
        <v>0.45097222222222227</v>
      </c>
      <c r="E479" s="36">
        <v>20.05</v>
      </c>
      <c r="F479" s="73">
        <v>-1.03</v>
      </c>
      <c r="G479" s="76">
        <v>-0.33</v>
      </c>
      <c r="H479" s="69" cm="1">
        <f t="array" ref="H479:I479">LINEST(E470:E479,D470:D479)</f>
        <v>-152.72727272727238</v>
      </c>
      <c r="I479" s="56">
        <v>88.51521212121196</v>
      </c>
      <c r="J479" s="56" cm="1">
        <f t="array" ref="J479:K479">LINEST(E465:E479,D465:D479)</f>
        <v>-141.84000000000015</v>
      </c>
      <c r="K479" s="56">
        <v>83.686233333333405</v>
      </c>
      <c r="L479" s="56" cm="1">
        <f t="array" ref="L479:M479">LINEST(E460:E479,D460:D479)</f>
        <v>-96.301353383458633</v>
      </c>
      <c r="M479" s="56">
        <v>63.484092481203007</v>
      </c>
      <c r="N479" s="56" cm="1">
        <f t="array" ref="N479:O479">LINEST(E455:E479,D455:D479)</f>
        <v>-49.275692307692303</v>
      </c>
      <c r="O479" s="56">
        <v>42.743506923076922</v>
      </c>
      <c r="P479" s="56" cm="1">
        <f t="array" ref="P479:Q479">LINEST(E450:E479,D450:D479)</f>
        <v>-9.0724805339265888</v>
      </c>
      <c r="Q479" s="56">
        <v>25.090727030033371</v>
      </c>
      <c r="R479" s="56" cm="1">
        <f t="array" ref="R479:S479">LINEST(F470:F479,D470:D479)</f>
        <v>73.178181818181571</v>
      </c>
      <c r="S479" s="56">
        <v>-33.772963636363521</v>
      </c>
      <c r="T479" s="56" cm="1">
        <f t="array" ref="T479:U479">LINEST(F465:F479,D465:D479)</f>
        <v>-101.21142857142861</v>
      </c>
      <c r="U479" s="56">
        <v>44.049542857142882</v>
      </c>
      <c r="V479" s="56" cm="1">
        <f t="array" ref="V479:W479">LINEST(F460:F479,D460:D479)</f>
        <v>-73.423759398496188</v>
      </c>
      <c r="W479" s="56">
        <v>31.742790225563887</v>
      </c>
      <c r="X479" s="56" cm="1">
        <f t="array" ref="X479:Y479">LINEST(F455:F479,D455:D479)</f>
        <v>-79.366153846153878</v>
      </c>
      <c r="Y479" s="56">
        <v>34.365561538461556</v>
      </c>
      <c r="Z479" s="56" cm="1">
        <f t="array" ref="Z479:AA479">LINEST(F450:F479,D450:D479)</f>
        <v>-77.313103448275911</v>
      </c>
      <c r="AA479" s="56">
        <v>33.459395402298881</v>
      </c>
      <c r="AB479" s="37" cm="1">
        <f t="array" ref="AB479:AC479">LINEST(G470:G479,D470:D479)</f>
        <v>-68.59636363636352</v>
      </c>
      <c r="AC479" s="59">
        <v>30.50432727272722</v>
      </c>
      <c r="AD479" s="37" cm="1">
        <f t="array" ref="AD479:AE479">LINEST(G465:G479,D465:D479)</f>
        <v>-68.502857142857238</v>
      </c>
      <c r="AE479" s="59">
        <v>30.474885714285758</v>
      </c>
      <c r="AF479" s="37" cm="1">
        <f t="array" ref="AF479:AG479">LINEST(G460:G479,D460:D479)</f>
        <v>-51.509774436090225</v>
      </c>
      <c r="AG479" s="59">
        <v>22.935334586466169</v>
      </c>
      <c r="AH479" s="37" cm="1">
        <f t="array" ref="AH479:AI479">LINEST(G455:G479,D455:D479)</f>
        <v>-43.609846153846171</v>
      </c>
      <c r="AI479" s="59">
        <v>19.45039846153847</v>
      </c>
      <c r="AJ479" s="37" cm="1">
        <f t="array" ref="AJ479:AK479">LINEST(G450:G479,D450:D479)</f>
        <v>-33.704649610678572</v>
      </c>
      <c r="AK479" s="59">
        <v>15.10241987393402</v>
      </c>
    </row>
    <row r="480" spans="1:38" x14ac:dyDescent="0.25">
      <c r="A480" s="61">
        <v>502</v>
      </c>
      <c r="B480" s="14">
        <f t="shared" si="8"/>
        <v>474</v>
      </c>
      <c r="C480" s="15">
        <v>44000</v>
      </c>
      <c r="D480" s="16">
        <v>0.45236111111111116</v>
      </c>
      <c r="E480" s="36">
        <v>20.07</v>
      </c>
      <c r="F480" s="73">
        <v>0.64</v>
      </c>
      <c r="G480" s="76">
        <v>-0.26</v>
      </c>
      <c r="H480" s="69" cm="1">
        <f t="array" ref="H480:I480">LINEST(E471:E480,D471:D480)</f>
        <v>-106.77818181818105</v>
      </c>
      <c r="I480" s="56">
        <v>68.037933333333001</v>
      </c>
      <c r="J480" s="56" cm="1">
        <f t="array" ref="J480:K480">LINEST(E466:E480,D466:D480)</f>
        <v>-140.60571428571407</v>
      </c>
      <c r="K480" s="56">
        <v>83.204223809523711</v>
      </c>
      <c r="L480" s="56" cm="1">
        <f t="array" ref="L480:M480">LINEST(E461:E480,D461:D480)</f>
        <v>-101.77443609022542</v>
      </c>
      <c r="M480" s="56">
        <v>65.925939849624001</v>
      </c>
      <c r="N480" s="56" cm="1">
        <f t="array" ref="N480:O480">LINEST(E456:E480,D456:D480)</f>
        <v>-63.875076923076882</v>
      </c>
      <c r="O480" s="56">
        <v>49.156016153846139</v>
      </c>
      <c r="P480" s="56" cm="1">
        <f t="array" ref="P480:Q480">LINEST(E451:E480,D451:D480)</f>
        <v>-18.567830923248053</v>
      </c>
      <c r="Q480" s="56">
        <v>29.199429143492772</v>
      </c>
      <c r="R480" s="56" cm="1">
        <f t="array" ref="R480:S480">LINEST(F471:F480,D471:D480)</f>
        <v>133.57090909090863</v>
      </c>
      <c r="S480" s="56">
        <v>-60.602466666666466</v>
      </c>
      <c r="T480" s="56" cm="1">
        <f t="array" ref="T480:U480">LINEST(F466:F480,D466:D480)</f>
        <v>-50.322857142856755</v>
      </c>
      <c r="U480" s="56">
        <v>21.656186904761736</v>
      </c>
      <c r="V480" s="56" cm="1">
        <f t="array" ref="V480:W480">LINEST(F461:F480,D461:D480)</f>
        <v>-65.444210526315558</v>
      </c>
      <c r="W480" s="56">
        <v>28.404415789473582</v>
      </c>
      <c r="X480" s="56" cm="1">
        <f t="array" ref="X480:Y480">LINEST(F456:F480,D456:D480)</f>
        <v>-64.966153846153745</v>
      </c>
      <c r="Y480" s="56">
        <v>28.178992307692265</v>
      </c>
      <c r="Z480" s="56" cm="1">
        <f t="array" ref="Z480:AA480">LINEST(F451:F480,D451:D480)</f>
        <v>-61.980867630700736</v>
      </c>
      <c r="AA480" s="56">
        <v>26.86850834260288</v>
      </c>
      <c r="AB480" s="37" cm="1">
        <f t="array" ref="AB480:AC480">LINEST(G471:G480,D471:D480)</f>
        <v>-53.192727272726927</v>
      </c>
      <c r="AC480" s="59">
        <v>23.648866666666514</v>
      </c>
      <c r="AD480" s="37" cm="1">
        <f t="array" ref="AD480:AE480">LINEST(G466:G480,D466:D480)</f>
        <v>-67.114285714285657</v>
      </c>
      <c r="AE480" s="59">
        <v>29.887392857142832</v>
      </c>
      <c r="AF480" s="37" cm="1">
        <f t="array" ref="AF480:AG480">LINEST(G461:G480,D461:D480)</f>
        <v>-52.641203007518762</v>
      </c>
      <c r="AG480" s="59">
        <v>23.447261654135321</v>
      </c>
      <c r="AH480" s="37" cm="1">
        <f t="array" ref="AH480:AI480">LINEST(G456:G480,D456:D480)</f>
        <v>-45.276923076923055</v>
      </c>
      <c r="AI480" s="59">
        <v>20.187303846153839</v>
      </c>
      <c r="AJ480" s="37" cm="1">
        <f t="array" ref="AJ480:AK480">LINEST(G451:G480,D451:D480)</f>
        <v>-35.931123470522806</v>
      </c>
      <c r="AK480" s="59">
        <v>16.072230033370417</v>
      </c>
    </row>
    <row r="481" spans="1:37" x14ac:dyDescent="0.25">
      <c r="A481" s="61">
        <v>502</v>
      </c>
      <c r="B481" s="14">
        <f t="shared" si="8"/>
        <v>475</v>
      </c>
      <c r="C481" s="15">
        <v>44001</v>
      </c>
      <c r="D481" s="16">
        <v>0.45375000000000004</v>
      </c>
      <c r="E481" s="36">
        <v>20.079999999999998</v>
      </c>
      <c r="F481" s="73">
        <v>0.24</v>
      </c>
      <c r="G481" s="76">
        <v>-0.22</v>
      </c>
      <c r="H481" s="69" cm="1">
        <f t="array" ref="H481:I481">LINEST(E472:E481,D472:D481)</f>
        <v>-62.007272727272124</v>
      </c>
      <c r="I481" s="56">
        <v>47.999254545454271</v>
      </c>
      <c r="J481" s="56" cm="1">
        <f t="array" ref="J481:K481">LINEST(E467:E481,D467:D481)</f>
        <v>-133.66285714285675</v>
      </c>
      <c r="K481" s="56">
        <v>80.183354761904596</v>
      </c>
      <c r="L481" s="56" cm="1">
        <f t="array" ref="L481:M481">LINEST(E462:E481,D462:D481)</f>
        <v>-104.96300751879686</v>
      </c>
      <c r="M481" s="56">
        <v>67.3765360902255</v>
      </c>
      <c r="N481" s="56" cm="1">
        <f t="array" ref="N481:O481">LINEST(E457:E481,D457:D481)</f>
        <v>-76.66338461538453</v>
      </c>
      <c r="O481" s="56">
        <v>54.80948769230767</v>
      </c>
      <c r="P481" s="56" cm="1">
        <f t="array" ref="P481:Q481">LINEST(E452:E481,D452:D481)</f>
        <v>-27.790878754171324</v>
      </c>
      <c r="Q481" s="56">
        <v>33.215767148683739</v>
      </c>
      <c r="R481" s="56" cm="1">
        <f t="array" ref="R481:S481">LINEST(F472:F481,D472:D481)</f>
        <v>159.57818181818078</v>
      </c>
      <c r="S481" s="56">
        <v>-72.252236363635888</v>
      </c>
      <c r="T481" s="56" cm="1">
        <f t="array" ref="T481:U481">LINEST(F467:F481,D467:D481)</f>
        <v>-13.70571428571386</v>
      </c>
      <c r="U481" s="56">
        <v>5.4557178571426688</v>
      </c>
      <c r="V481" s="56" cm="1">
        <f t="array" ref="V481:W481">LINEST(F462:F481,D462:D481)</f>
        <v>-51.937443609022296</v>
      </c>
      <c r="W481" s="56">
        <v>22.54032932330815</v>
      </c>
      <c r="X481" s="56" cm="1">
        <f t="array" ref="X481:Y481">LINEST(F457:F481,D457:D481)</f>
        <v>-52.908923076922946</v>
      </c>
      <c r="Y481" s="56">
        <v>22.960408461538407</v>
      </c>
      <c r="Z481" s="56" cm="1">
        <f t="array" ref="Z481:AA481">LINEST(F452:F481,D452:D481)</f>
        <v>-57.603203559510497</v>
      </c>
      <c r="AA481" s="56">
        <v>25.037389098998858</v>
      </c>
      <c r="AB481" s="37" cm="1">
        <f t="array" ref="AB481:AC481">LINEST(G472:G481,D472:D481)</f>
        <v>-36.52363636363603</v>
      </c>
      <c r="AC481" s="59">
        <v>16.203327272727122</v>
      </c>
      <c r="AD481" s="37" cm="1">
        <f t="array" ref="AD481:AE481">LINEST(G467:G481,D467:D481)</f>
        <v>-62.999999999999829</v>
      </c>
      <c r="AE481" s="59">
        <v>28.090416666666592</v>
      </c>
      <c r="AF481" s="37" cm="1">
        <f t="array" ref="AF481:AG481">LINEST(G462:G481,D462:D481)</f>
        <v>-52.592481203007459</v>
      </c>
      <c r="AG481" s="59">
        <v>23.446409774436059</v>
      </c>
      <c r="AH481" s="37" cm="1">
        <f t="array" ref="AH481:AI481">LINEST(G457:G481,D457:D481)</f>
        <v>-45.913846153846109</v>
      </c>
      <c r="AI481" s="59">
        <v>20.479776923076905</v>
      </c>
      <c r="AJ481" s="37" cm="1">
        <f t="array" ref="AJ481:AK481">LINEST(G452:G481,D452:D481)</f>
        <v>-37.643426028921027</v>
      </c>
      <c r="AK481" s="59">
        <v>16.826941119762704</v>
      </c>
    </row>
    <row r="482" spans="1:37" x14ac:dyDescent="0.25">
      <c r="A482" s="61">
        <v>502</v>
      </c>
      <c r="B482" s="14">
        <f t="shared" si="8"/>
        <v>476</v>
      </c>
      <c r="C482" s="15">
        <v>44002</v>
      </c>
      <c r="D482" s="16">
        <v>0.45513888888888893</v>
      </c>
      <c r="E482" s="36">
        <v>20.11</v>
      </c>
      <c r="F482" s="73">
        <v>0.95</v>
      </c>
      <c r="G482" s="76">
        <v>-0.13</v>
      </c>
      <c r="H482" s="69" cm="1">
        <f t="array" ref="H482:I482">LINEST(E473:E482,D473:D482)</f>
        <v>-7.5927272727272594</v>
      </c>
      <c r="I482" s="56">
        <v>23.520290909090903</v>
      </c>
      <c r="J482" s="56" cm="1">
        <f t="array" ref="J482:K482">LINEST(E468:E482,D468:D482)</f>
        <v>-120.41999999999958</v>
      </c>
      <c r="K482" s="56">
        <v>74.3370749999998</v>
      </c>
      <c r="L482" s="56" cm="1">
        <f t="array" ref="L482:M482">LINEST(E463:E482,D463:D482)</f>
        <v>-105.66135338345843</v>
      </c>
      <c r="M482" s="56">
        <v>67.736448120300651</v>
      </c>
      <c r="N482" s="56" cm="1">
        <f t="array" ref="N482:O482">LINEST(E458:E482,D458:D482)</f>
        <v>-80.340923076922977</v>
      </c>
      <c r="O482" s="56">
        <v>56.457263076923041</v>
      </c>
      <c r="P482" s="56" cm="1">
        <f t="array" ref="P482:Q482">LINEST(E453:E482,D453:D482)</f>
        <v>-36.592658509454978</v>
      </c>
      <c r="Q482" s="56">
        <v>37.074139784946254</v>
      </c>
      <c r="R482" s="56" cm="1">
        <f t="array" ref="R482:S482">LINEST(F473:F482,D473:D482)</f>
        <v>198.28363636363466</v>
      </c>
      <c r="S482" s="56">
        <v>-89.603321212120449</v>
      </c>
      <c r="T482" s="56" cm="1">
        <f t="array" ref="T482:U482">LINEST(F468:F482,D468:D482)</f>
        <v>45.797142857143143</v>
      </c>
      <c r="U482" s="56">
        <v>-21.024144047619174</v>
      </c>
      <c r="V482" s="56" cm="1">
        <f t="array" ref="V482:W482">LINEST(F463:F482,D463:D482)</f>
        <v>-30.803007518796676</v>
      </c>
      <c r="W482" s="56">
        <v>13.302218045112641</v>
      </c>
      <c r="X482" s="56" cm="1">
        <f t="array" ref="X482:Y482">LINEST(F458:F482,D458:D482)</f>
        <v>-35.59569230769214</v>
      </c>
      <c r="Y482" s="56">
        <v>15.432122307692236</v>
      </c>
      <c r="Z482" s="56" cm="1">
        <f t="array" ref="Z482:AA482">LINEST(F453:F482,D453:D482)</f>
        <v>-47.311768631813031</v>
      </c>
      <c r="AA482" s="56">
        <v>20.628952688171999</v>
      </c>
      <c r="AB482" s="37" cm="1">
        <f t="array" ref="AB482:AC482">LINEST(G473:G482,D473:D482)</f>
        <v>-18.28363636363617</v>
      </c>
      <c r="AC482" s="59">
        <v>8.0303212121211249</v>
      </c>
      <c r="AD482" s="37" cm="1">
        <f t="array" ref="AD482:AE482">LINEST(G468:G482,D468:D482)</f>
        <v>-54.617142857142625</v>
      </c>
      <c r="AE482" s="59">
        <v>24.386052380952275</v>
      </c>
      <c r="AF482" s="37" cm="1">
        <f t="array" ref="AF482:AG482">LINEST(G463:G482,D463:D482)</f>
        <v>-50.935939849623978</v>
      </c>
      <c r="AG482" s="59">
        <v>22.741355639097705</v>
      </c>
      <c r="AH482" s="37" cm="1">
        <f t="array" ref="AH482:AI482">LINEST(G458:G482,D458:D482)</f>
        <v>-45.132923076923028</v>
      </c>
      <c r="AI482" s="59">
        <v>20.155133076923057</v>
      </c>
      <c r="AJ482" s="37" cm="1">
        <f t="array" ref="AJ482:AK482">LINEST(G453:G482,D453:D482)</f>
        <v>-38.426696329254732</v>
      </c>
      <c r="AK482" s="59">
        <v>17.184279569892475</v>
      </c>
    </row>
    <row r="483" spans="1:37" x14ac:dyDescent="0.25">
      <c r="A483" s="61">
        <v>502</v>
      </c>
      <c r="B483" s="14">
        <f t="shared" si="8"/>
        <v>477</v>
      </c>
      <c r="C483" s="15">
        <v>44003</v>
      </c>
      <c r="D483" s="16">
        <v>0.45652777777777781</v>
      </c>
      <c r="E483" s="36">
        <v>20.13</v>
      </c>
      <c r="F483" s="73">
        <v>0.37</v>
      </c>
      <c r="G483" s="76">
        <v>-0.09</v>
      </c>
      <c r="H483" s="69" cm="1">
        <f t="array" ref="H483:I483">LINEST(E474:E483,D474:D483)</f>
        <v>-5.0618181818182784</v>
      </c>
      <c r="I483" s="56">
        <v>22.389224242424287</v>
      </c>
      <c r="J483" s="56" cm="1">
        <f t="array" ref="J483:K483">LINEST(E469:E483,D469:D483)</f>
        <v>-100.64571428571377</v>
      </c>
      <c r="K483" s="56">
        <v>65.533730952380722</v>
      </c>
      <c r="L483" s="56" cm="1">
        <f t="array" ref="L483:M483">LINEST(E464:E483,D464:D483)</f>
        <v>-103.99398496240585</v>
      </c>
      <c r="M483" s="56">
        <v>67.049999999999926</v>
      </c>
      <c r="N483" s="56" cm="1">
        <f t="array" ref="N483:O483">LINEST(E459:E483,D459:D483)</f>
        <v>-82.251692307692196</v>
      </c>
      <c r="O483" s="56">
        <v>57.335320769230719</v>
      </c>
      <c r="P483" s="56" cm="1">
        <f t="array" ref="P483:Q483">LINEST(E454:E483,D454:D483)</f>
        <v>-45.066073414905425</v>
      </c>
      <c r="Q483" s="56">
        <v>40.813333704115678</v>
      </c>
      <c r="R483" s="56" cm="1">
        <f t="array" ref="R483:S483">LINEST(F474:F483,D474:D483)</f>
        <v>192.82909090908913</v>
      </c>
      <c r="S483" s="56">
        <v>-87.235654545453741</v>
      </c>
      <c r="T483" s="56" cm="1">
        <f t="array" ref="T483:U483">LINEST(F469:F483,D469:D483)</f>
        <v>108.0514285714284</v>
      </c>
      <c r="U483" s="56">
        <v>-48.980645238095164</v>
      </c>
      <c r="V483" s="56" cm="1">
        <f t="array" ref="V483:W483">LINEST(F464:F483,D464:D483)</f>
        <v>-18.216541353383132</v>
      </c>
      <c r="W483" s="56">
        <v>7.774499999999855</v>
      </c>
      <c r="X483" s="56" cm="1">
        <f t="array" ref="X483:Y483">LINEST(F459:F483,D459:D483)</f>
        <v>-21.993230769230586</v>
      </c>
      <c r="Y483" s="56">
        <v>9.4647669230768443</v>
      </c>
      <c r="Z483" s="56" cm="1">
        <f t="array" ref="Z483:AA483">LINEST(F454:F483,D454:D483)</f>
        <v>-41.787230255839688</v>
      </c>
      <c r="AA483" s="56">
        <v>18.267482981090041</v>
      </c>
      <c r="AB483" s="37" cm="1">
        <f t="array" ref="AB483:AC483">LINEST(G474:G483,D474:D483)</f>
        <v>-2.0509090909090872</v>
      </c>
      <c r="AC483" s="59">
        <v>0.72847878787878617</v>
      </c>
      <c r="AD483" s="37" cm="1">
        <f t="array" ref="AD483:AE483">LINEST(G469:G483,D469:D483)</f>
        <v>-42.042857142856903</v>
      </c>
      <c r="AE483" s="59">
        <v>18.784315476190368</v>
      </c>
      <c r="AF483" s="37" cm="1">
        <f t="array" ref="AF483:AG483">LINEST(G464:G483,D464:D483)</f>
        <v>-48.440300751879612</v>
      </c>
      <c r="AG483" s="59">
        <v>21.664199999999962</v>
      </c>
      <c r="AH483" s="37" cm="1">
        <f t="array" ref="AH483:AI483">LINEST(G459:G483,D459:D483)</f>
        <v>-43.305230769230704</v>
      </c>
      <c r="AI483" s="59">
        <v>19.368686923076897</v>
      </c>
      <c r="AJ483" s="37" cm="1">
        <f t="array" ref="AJ483:AK483">LINEST(G454:G483,D454:D483)</f>
        <v>-38.681379310344795</v>
      </c>
      <c r="AK483" s="59">
        <v>17.314457471264355</v>
      </c>
    </row>
    <row r="484" spans="1:37" x14ac:dyDescent="0.25">
      <c r="A484" s="61">
        <v>502</v>
      </c>
      <c r="B484" s="14">
        <f t="shared" si="8"/>
        <v>478</v>
      </c>
      <c r="C484" s="15">
        <v>44004</v>
      </c>
      <c r="D484" s="16">
        <v>0.45791666666666669</v>
      </c>
      <c r="E484" s="36">
        <v>20.13</v>
      </c>
      <c r="F484" s="73">
        <v>0.23</v>
      </c>
      <c r="G484" s="76">
        <v>-0.06</v>
      </c>
      <c r="H484" s="69" cm="1">
        <f t="array" ref="H484:I484">LINEST(E475:E484,D475:D484)</f>
        <v>-1.3963636363637184</v>
      </c>
      <c r="I484" s="56">
        <v>20.736690909090949</v>
      </c>
      <c r="J484" s="56" cm="1">
        <f t="array" ref="J484:K484">LINEST(E470:E484,D470:D484)</f>
        <v>-76.062857142856728</v>
      </c>
      <c r="K484" s="56">
        <v>54.521616666666489</v>
      </c>
      <c r="L484" s="56" cm="1">
        <f t="array" ref="L484:M484">LINEST(E465:E484,D465:D484)</f>
        <v>-99.950075187969674</v>
      </c>
      <c r="M484" s="56">
        <v>65.30051954887206</v>
      </c>
      <c r="N484" s="56" cm="1">
        <f t="array" ref="N484:O484">LINEST(E460:E484,D460:D484)</f>
        <v>-82.993846153846022</v>
      </c>
      <c r="O484" s="56">
        <v>57.702234615384555</v>
      </c>
      <c r="P484" s="56" cm="1">
        <f t="array" ref="P484:Q484">LINEST(E455:E484,D455:D484)</f>
        <v>-53.251167964404864</v>
      </c>
      <c r="Q484" s="56">
        <v>44.448511308861683</v>
      </c>
      <c r="R484" s="56" cm="1">
        <f t="array" ref="R484:S484">LINEST(F475:F484,D475:D484)</f>
        <v>165.55636363636236</v>
      </c>
      <c r="S484" s="56">
        <v>-75.012290909090339</v>
      </c>
      <c r="T484" s="56" cm="1">
        <f t="array" ref="T484:U484">LINEST(F470:F484,D470:D484)</f>
        <v>130.03714285714241</v>
      </c>
      <c r="U484" s="56">
        <v>-58.939258333333136</v>
      </c>
      <c r="V484" s="56" cm="1">
        <f t="array" ref="V484:W484">LINEST(F465:F484,D465:D484)</f>
        <v>1.1368421052634523</v>
      </c>
      <c r="W484" s="56">
        <v>-0.84157894736855177</v>
      </c>
      <c r="X484" s="56" cm="1">
        <f t="array" ref="X484:Y484">LINEST(F460:F484,D460:D484)</f>
        <v>-13.39199999999984</v>
      </c>
      <c r="Y484" s="56">
        <v>5.686019999999929</v>
      </c>
      <c r="Z484" s="56" cm="1">
        <f t="array" ref="Z484:AA484">LINEST(F455:F484,D455:D484)</f>
        <v>-34.322936596217879</v>
      </c>
      <c r="AA484" s="56">
        <v>15.020485576566493</v>
      </c>
      <c r="AB484" s="37" cm="1">
        <f t="array" ref="AB484:AC484">LINEST(G475:G484,D475:D484)</f>
        <v>11.170909090908939</v>
      </c>
      <c r="AC484" s="59">
        <v>-5.2435272727272046</v>
      </c>
      <c r="AD484" s="37" cm="1">
        <f t="array" ref="AD484:AE484">LINEST(G470:G484,D470:D484)</f>
        <v>-28.491428571428393</v>
      </c>
      <c r="AE484" s="59">
        <v>12.717699999999921</v>
      </c>
      <c r="AF484" s="37" cm="1">
        <f t="array" ref="AF484:AG484">LINEST(G465:G484,D465:D484)</f>
        <v>-44.510075187969818</v>
      </c>
      <c r="AG484" s="59">
        <v>19.942619548872131</v>
      </c>
      <c r="AH484" s="37" cm="1">
        <f t="array" ref="AH484:AI484">LINEST(G460:G484,D460:D484)</f>
        <v>-40.94030769230762</v>
      </c>
      <c r="AI484" s="59">
        <v>18.342910769230734</v>
      </c>
      <c r="AJ484" s="37" cm="1">
        <f t="array" ref="AJ484:AK484">LINEST(G455:G484,D455:D484)</f>
        <v>-38.31777530589541</v>
      </c>
      <c r="AK484" s="59">
        <v>17.174670522803101</v>
      </c>
    </row>
    <row r="485" spans="1:37" x14ac:dyDescent="0.25">
      <c r="A485" s="61">
        <v>502</v>
      </c>
      <c r="B485" s="14">
        <f t="shared" si="8"/>
        <v>479</v>
      </c>
      <c r="C485" s="15">
        <v>44005</v>
      </c>
      <c r="D485" s="16">
        <v>0.45930555555555558</v>
      </c>
      <c r="E485" s="36">
        <v>20.12</v>
      </c>
      <c r="F485" s="73">
        <v>-0.41</v>
      </c>
      <c r="G485" s="76">
        <v>-0.09</v>
      </c>
      <c r="H485" s="69" cm="1">
        <f t="array" ref="H485:I485">LINEST(E476:E485,D476:D485)</f>
        <v>2.7054545454544976</v>
      </c>
      <c r="I485" s="56">
        <v>18.874278787878811</v>
      </c>
      <c r="J485" s="56" cm="1">
        <f t="array" ref="J485:K485">LINEST(E471:E485,D471:D485)</f>
        <v>-49.782857142856855</v>
      </c>
      <c r="K485" s="56">
        <v>42.688209523809391</v>
      </c>
      <c r="L485" s="56" cm="1">
        <f t="array" ref="L485:M485">LINEST(E466:E485,D466:D485)</f>
        <v>-93.713684210526054</v>
      </c>
      <c r="M485" s="56">
        <v>62.560215789473574</v>
      </c>
      <c r="N485" s="56" cm="1">
        <f t="array" ref="N485:O485">LINEST(E461:E485,D461:D485)</f>
        <v>-82.910769230769077</v>
      </c>
      <c r="O485" s="56">
        <v>57.706330769230696</v>
      </c>
      <c r="P485" s="56" cm="1">
        <f t="array" ref="P485:Q485">LINEST(E456:E485,D456:D485)</f>
        <v>-61.181579532814183</v>
      </c>
      <c r="Q485" s="56">
        <v>47.992910344827571</v>
      </c>
      <c r="R485" s="56" cm="1">
        <f t="array" ref="R485:S485">LINEST(F476:F485,D476:D485)</f>
        <v>98.050909090908775</v>
      </c>
      <c r="S485" s="56">
        <v>-44.549509090908955</v>
      </c>
      <c r="T485" s="56" cm="1">
        <f t="array" ref="T485:U485">LINEST(F471:F485,D471:D485)</f>
        <v>117.15428571428532</v>
      </c>
      <c r="U485" s="56">
        <v>-53.255280952380772</v>
      </c>
      <c r="V485" s="56" cm="1">
        <f t="array" ref="V485:W485">LINEST(F466:F485,D466:D485)</f>
        <v>12.949172932331047</v>
      </c>
      <c r="W485" s="56">
        <v>-6.1717699248121276</v>
      </c>
      <c r="X485" s="56" cm="1">
        <f t="array" ref="X485:Y485">LINEST(F461:F485,D461:D485)</f>
        <v>-17.634461538461363</v>
      </c>
      <c r="Y485" s="56">
        <v>7.5916984615383827</v>
      </c>
      <c r="Z485" s="56" cm="1">
        <f t="array" ref="Z485:AA485">LINEST(F456:F485,D456:D485)</f>
        <v>-30.167919911012095</v>
      </c>
      <c r="AA485" s="56">
        <v>13.189411494252813</v>
      </c>
      <c r="AB485" s="37" cm="1">
        <f t="array" ref="AB485:AC485">LINEST(G476:G485,D476:D485)</f>
        <v>18.196363636363458</v>
      </c>
      <c r="AC485" s="59">
        <v>-8.4369636363635561</v>
      </c>
      <c r="AD485" s="37" cm="1">
        <f t="array" ref="AD485:AE485">LINEST(G471:G485,D471:D485)</f>
        <v>-17.202857142857034</v>
      </c>
      <c r="AE485" s="59">
        <v>7.6407845238094749</v>
      </c>
      <c r="AF485" s="37" cm="1">
        <f t="array" ref="AF485:AG485">LINEST(G466:G485,D466:D485)</f>
        <v>-40.000601503759249</v>
      </c>
      <c r="AG485" s="59">
        <v>17.950212781954821</v>
      </c>
      <c r="AH485" s="37" cm="1">
        <f t="array" ref="AH485:AI485">LINEST(G461:G485,D461:D485)</f>
        <v>-39.123692307692224</v>
      </c>
      <c r="AI485" s="59">
        <v>17.557267692307654</v>
      </c>
      <c r="AJ485" s="37" cm="1">
        <f t="array" ref="AJ485:AK485">LINEST(G456:G485,D456:D485)</f>
        <v>-37.664249165739655</v>
      </c>
      <c r="AK485" s="59">
        <v>16.904882758620666</v>
      </c>
    </row>
    <row r="486" spans="1:37" x14ac:dyDescent="0.25">
      <c r="A486" s="61">
        <v>502</v>
      </c>
      <c r="B486" s="14">
        <f t="shared" si="8"/>
        <v>480</v>
      </c>
      <c r="C486" s="15">
        <v>44006</v>
      </c>
      <c r="D486" s="16">
        <v>0.46069444444444446</v>
      </c>
      <c r="E486" s="36">
        <v>20.149999999999999</v>
      </c>
      <c r="F486" s="73">
        <v>0.75</v>
      </c>
      <c r="G486" s="76">
        <v>-0.02</v>
      </c>
      <c r="H486" s="69" cm="1">
        <f t="array" ref="H486:I486">LINEST(E477:E486,D477:D486)</f>
        <v>5.1490909090908046</v>
      </c>
      <c r="I486" s="56">
        <v>17.764024242424288</v>
      </c>
      <c r="J486" s="56" cm="1">
        <f t="array" ref="J486:K486">LINEST(E472:E486,D472:D486)</f>
        <v>-25.997142857142741</v>
      </c>
      <c r="K486" s="56">
        <v>31.93398928571423</v>
      </c>
      <c r="L486" s="56" cm="1">
        <f t="array" ref="L486:M486">LINEST(E467:E486,D467:D486)</f>
        <v>-84.840902255638809</v>
      </c>
      <c r="M486" s="56">
        <v>58.623303759398368</v>
      </c>
      <c r="N486" s="56" cm="1">
        <f t="array" ref="N486:O486">LINEST(E462:E486,D462:D486)</f>
        <v>-81.52615384615369</v>
      </c>
      <c r="O486" s="56">
        <v>57.133076923076842</v>
      </c>
      <c r="P486" s="56" cm="1">
        <f t="array" ref="P486:Q486">LINEST(E457:E486,D457:D486)</f>
        <v>-67.811345939933148</v>
      </c>
      <c r="Q486" s="56">
        <v>50.980331850203882</v>
      </c>
      <c r="R486" s="56" cm="1">
        <f t="array" ref="R486:S486">LINEST(F477:F486,D477:D486)</f>
        <v>66.589090909090785</v>
      </c>
      <c r="S486" s="56">
        <v>-30.163042424242366</v>
      </c>
      <c r="T486" s="56" cm="1">
        <f t="array" ref="T486:U486">LINEST(F472:F486,D472:D486)</f>
        <v>122.34857142857095</v>
      </c>
      <c r="U486" s="56">
        <v>-55.610473809523583</v>
      </c>
      <c r="V486" s="56" cm="1">
        <f t="array" ref="V486:W486">LINEST(F467:F486,D467:D486)</f>
        <v>33.877894736842229</v>
      </c>
      <c r="W486" s="56">
        <v>-15.538357894736896</v>
      </c>
      <c r="X486" s="56" cm="1">
        <f t="array" ref="X486:Y486">LINEST(F462:F486,D462:D486)</f>
        <v>-7.3107692307690622</v>
      </c>
      <c r="Y486" s="56">
        <v>3.0489846153845397</v>
      </c>
      <c r="Z486" s="56" cm="1">
        <f t="array" ref="Z486:AA486">LINEST(F457:F486,D457:D486)</f>
        <v>-20.105539488320236</v>
      </c>
      <c r="AA486" s="56">
        <v>8.7829404523544135</v>
      </c>
      <c r="AB486" s="37" cm="1">
        <f t="array" ref="AB486:AC486">LINEST(G477:G486,D477:D486)</f>
        <v>22.254545454545301</v>
      </c>
      <c r="AC486" s="59">
        <v>-10.283454545454475</v>
      </c>
      <c r="AD486" s="37" cm="1">
        <f t="array" ref="AD486:AE486">LINEST(G472:G486,D472:D486)</f>
        <v>-6.1457142857142584</v>
      </c>
      <c r="AE486" s="59">
        <v>2.6515464285714159</v>
      </c>
      <c r="AF486" s="37" cm="1">
        <f t="array" ref="AF486:AG486">LINEST(G467:G486,D467:D486)</f>
        <v>-34.191879699247991</v>
      </c>
      <c r="AG486" s="59">
        <v>15.368866165413474</v>
      </c>
      <c r="AH486" s="37" cm="1">
        <f t="array" ref="AH486:AI486">LINEST(G462:G486,D462:D486)</f>
        <v>-36.598153846153771</v>
      </c>
      <c r="AI486" s="59">
        <v>16.456196923076888</v>
      </c>
      <c r="AJ486" s="37" cm="1">
        <f t="array" ref="AJ486:AK486">LINEST(G457:G486,D457:D486)</f>
        <v>-36.289922135706284</v>
      </c>
      <c r="AK486" s="59">
        <v>16.317726807563933</v>
      </c>
    </row>
    <row r="487" spans="1:37" x14ac:dyDescent="0.25">
      <c r="A487" s="61">
        <v>502</v>
      </c>
      <c r="B487" s="14">
        <f t="shared" si="8"/>
        <v>481</v>
      </c>
      <c r="C487" s="15">
        <v>44007</v>
      </c>
      <c r="D487" s="16">
        <v>0.46208333333333335</v>
      </c>
      <c r="E487" s="36">
        <v>20.11</v>
      </c>
      <c r="F487" s="73">
        <v>-0.97</v>
      </c>
      <c r="G487" s="76">
        <v>-0.1</v>
      </c>
      <c r="H487" s="69" cm="1">
        <f t="array" ref="H487:I487">LINEST(E478:E487,D478:D487)</f>
        <v>5.6727272727271929</v>
      </c>
      <c r="I487" s="56">
        <v>17.518181818181858</v>
      </c>
      <c r="J487" s="56" cm="1">
        <f t="array" ref="J487:K487">LINEST(E473:E487,D473:D487)</f>
        <v>-1.2600000000000391</v>
      </c>
      <c r="K487" s="56">
        <v>20.687308333333348</v>
      </c>
      <c r="L487" s="56" cm="1">
        <f t="array" ref="L487:M487">LINEST(E468:E487,D468:D487)</f>
        <v>-73.94887218045092</v>
      </c>
      <c r="M487" s="56">
        <v>53.751827067669083</v>
      </c>
      <c r="N487" s="56" cm="1">
        <f t="array" ref="N487:O487">LINEST(E463:E487,D463:D487)</f>
        <v>-79.316307692307547</v>
      </c>
      <c r="O487" s="56">
        <v>56.186405384615313</v>
      </c>
      <c r="P487" s="56" cm="1">
        <f t="array" ref="P487:Q487">LINEST(E458:E487,D458:D487)</f>
        <v>-68.541757508342528</v>
      </c>
      <c r="Q487" s="56">
        <v>51.337982276603597</v>
      </c>
      <c r="R487" s="56" cm="1">
        <f t="array" ref="R487:S487">LINEST(F478:F487,D478:D487)</f>
        <v>23.301818181818632</v>
      </c>
      <c r="S487" s="56">
        <v>-10.627745454545659</v>
      </c>
      <c r="T487" s="56" cm="1">
        <f t="array" ref="T487:U487">LINEST(F473:F487,D473:D487)</f>
        <v>90.79714285714266</v>
      </c>
      <c r="U487" s="56">
        <v>-41.472429761904671</v>
      </c>
      <c r="V487" s="56" cm="1">
        <f t="array" ref="V487:W487">LINEST(F468:F487,D468:D487)</f>
        <v>42.090225563909883</v>
      </c>
      <c r="W487" s="56">
        <v>-19.364334586466214</v>
      </c>
      <c r="X487" s="56" cm="1">
        <f t="array" ref="X487:Y487">LINEST(F463:F487,D463:D487)</f>
        <v>-8.5070769230767613</v>
      </c>
      <c r="Y487" s="56">
        <v>3.5391938461537737</v>
      </c>
      <c r="Z487" s="56" cm="1">
        <f t="array" ref="Z487:AA487">LINEST(F458:F487,D458:D487)</f>
        <v>-17.885472747497108</v>
      </c>
      <c r="AA487" s="56">
        <v>7.7570519836855283</v>
      </c>
      <c r="AB487" s="37" cm="1">
        <f t="array" ref="AB487:AC487">LINEST(G478:G487,D478:D487)</f>
        <v>22.123636363636326</v>
      </c>
      <c r="AC487" s="59">
        <v>-10.24169090909089</v>
      </c>
      <c r="AD487" s="37" cm="1">
        <f t="array" ref="AD487:AE487">LINEST(G473:G487,D473:D487)</f>
        <v>1.4142857142856946</v>
      </c>
      <c r="AE487" s="59">
        <v>-0.78176785714284824</v>
      </c>
      <c r="AF487" s="37" cm="1">
        <f t="array" ref="AF487:AG487">LINEST(G468:G487,D468:D487)</f>
        <v>-28.280300751879604</v>
      </c>
      <c r="AG487" s="59">
        <v>12.720712781954845</v>
      </c>
      <c r="AH487" s="37" cm="1">
        <f t="array" ref="AH487:AI487">LINEST(G463:G487,D463:D487)</f>
        <v>-34.421538461538397</v>
      </c>
      <c r="AI487" s="59">
        <v>15.501926923076892</v>
      </c>
      <c r="AJ487" s="37" cm="1">
        <f t="array" ref="AJ487:AK487">LINEST(G458:G487,D458:D487)</f>
        <v>-34.861134593993278</v>
      </c>
      <c r="AK487" s="59">
        <v>15.699351427512031</v>
      </c>
    </row>
    <row r="488" spans="1:37" ht="15.75" thickBot="1" x14ac:dyDescent="0.3">
      <c r="A488" s="61">
        <v>502</v>
      </c>
      <c r="B488" s="14">
        <f t="shared" si="8"/>
        <v>482</v>
      </c>
      <c r="C488" s="15">
        <v>44008</v>
      </c>
      <c r="D488" s="16">
        <v>0.46347222222222223</v>
      </c>
      <c r="E488" s="36">
        <v>20.13</v>
      </c>
      <c r="F488" s="73">
        <v>0.47</v>
      </c>
      <c r="G488" s="77">
        <v>-0.05</v>
      </c>
      <c r="H488" s="69" cm="1">
        <f t="array" ref="H488:I488">LINEST(E479:E488,D479:D488)</f>
        <v>6.0218181818181371</v>
      </c>
      <c r="I488" s="56">
        <v>17.354690909090927</v>
      </c>
      <c r="J488" s="56" cm="1">
        <f t="array" ref="J488:K488">LINEST(E474:E488,D474:D488)</f>
        <v>-0.36000000000007826</v>
      </c>
      <c r="K488" s="56">
        <v>20.279350000000036</v>
      </c>
      <c r="L488" s="56" cm="1">
        <f t="array" ref="L488:M488">LINEST(E469:E488,D469:D488)</f>
        <v>-60.117293233082584</v>
      </c>
      <c r="M488" s="56">
        <v>47.524981203007471</v>
      </c>
      <c r="N488" s="56" cm="1">
        <f t="array" ref="N488:O488">LINEST(E464:E488,D464:D488)</f>
        <v>-75.85476923076908</v>
      </c>
      <c r="O488" s="56">
        <v>54.674732307692238</v>
      </c>
      <c r="P488" s="56" cm="1">
        <f t="array" ref="P488:Q488">LINEST(E459:E488,D459:D488)</f>
        <v>-68.162135706340294</v>
      </c>
      <c r="Q488" s="56">
        <v>51.203213496477531</v>
      </c>
      <c r="R488" s="56" cm="1">
        <f t="array" ref="R488:S488">LINEST(F479:F488,D479:D488)</f>
        <v>2.4436363636363394</v>
      </c>
      <c r="S488" s="56">
        <v>-0.99328484848483767</v>
      </c>
      <c r="T488" s="56" cm="1">
        <f t="array" ref="T488:U488">LINEST(F474:F488,D474:D488)</f>
        <v>83.802857142857022</v>
      </c>
      <c r="U488" s="56">
        <v>-38.293546428571375</v>
      </c>
      <c r="V488" s="56" cm="1">
        <f t="array" ref="V488:W488">LINEST(F469:F488,D469:D488)</f>
        <v>74.506466165413471</v>
      </c>
      <c r="W488" s="56">
        <v>-34.072106015037569</v>
      </c>
      <c r="X488" s="56" cm="1">
        <f t="array" ref="X488:Y488">LINEST(F464:F488,D464:D488)</f>
        <v>-0.62584615384599585</v>
      </c>
      <c r="Y488" s="56">
        <v>4.1231538461467876E-2</v>
      </c>
      <c r="Z488" s="56" cm="1">
        <f t="array" ref="Z488:AA488">LINEST(F459:F488,D459:D488)</f>
        <v>-8.2779977753057938</v>
      </c>
      <c r="AA488" s="56">
        <v>3.4979123470522353</v>
      </c>
      <c r="AB488" s="37" cm="1">
        <f t="array" ref="AB488:AC488">LINEST(G479:G488,D479:D488)</f>
        <v>20.901818181818253</v>
      </c>
      <c r="AC488" s="59">
        <v>-9.6917757575757921</v>
      </c>
      <c r="AD488" s="37" cm="1">
        <f t="array" ref="AD488:AE488">LINEST(G474:G488,D474:D488)</f>
        <v>7.8428571428570928</v>
      </c>
      <c r="AE488" s="59">
        <v>-3.7100297619047389</v>
      </c>
      <c r="AF488" s="37" cm="1">
        <f t="array" ref="AF488:AG488">LINEST(G469:G488,D469:D488)</f>
        <v>-20.262857142857065</v>
      </c>
      <c r="AG488" s="59">
        <v>9.1074142857142508</v>
      </c>
      <c r="AH488" s="37" cm="1">
        <f t="array" ref="AH488:AI488">LINEST(G464:G488,D464:D488)</f>
        <v>-31.779692307692251</v>
      </c>
      <c r="AI488" s="59">
        <v>14.337743076923052</v>
      </c>
      <c r="AJ488" s="37" cm="1">
        <f t="array" ref="AJ488:AK488">LINEST(G459:G488,D459:D488)</f>
        <v>-32.741979977753005</v>
      </c>
      <c r="AK488" s="59">
        <v>14.771944456803833</v>
      </c>
    </row>
    <row r="489" spans="1:37" x14ac:dyDescent="0.25">
      <c r="A489" s="61">
        <v>502</v>
      </c>
      <c r="B489" s="14">
        <f t="shared" si="8"/>
        <v>483</v>
      </c>
      <c r="C489" s="15">
        <v>44009</v>
      </c>
      <c r="D489" s="16">
        <v>0.46486111111111111</v>
      </c>
      <c r="E489" s="36">
        <v>20.170000000000002</v>
      </c>
      <c r="F489" s="36">
        <v>1.17</v>
      </c>
      <c r="G489" s="71">
        <v>0.04</v>
      </c>
      <c r="H489" s="56" cm="1">
        <f t="array" ref="H489:I489">LINEST(E480:E489,D480:D489)</f>
        <v>5.6727272727273741</v>
      </c>
      <c r="I489" s="56">
        <v>17.518424242424192</v>
      </c>
      <c r="J489" s="56" cm="1">
        <f t="array" ref="J489:K489">LINEST(E475:E489,D475:D489)</f>
        <v>1.7228571428571358</v>
      </c>
      <c r="K489" s="56">
        <v>19.331860714285718</v>
      </c>
      <c r="L489" s="56" cm="1">
        <f t="array" ref="L489:M489">LINEST(E470:E489,D470:D489)</f>
        <v>-43.903759398496135</v>
      </c>
      <c r="M489" s="56">
        <v>40.186864661654091</v>
      </c>
      <c r="N489" s="56" cm="1">
        <f t="array" ref="N489:O489">LINEST(E465:E489,D465:D489)</f>
        <v>-70.870153846153741</v>
      </c>
      <c r="O489" s="56">
        <v>52.471209230769183</v>
      </c>
      <c r="P489" s="56" cm="1">
        <f t="array" ref="P489:Q489">LINEST(E460:E489,D460:D489)</f>
        <v>-66.904738598442606</v>
      </c>
      <c r="Q489" s="56">
        <v>50.677690693362948</v>
      </c>
      <c r="R489" s="56" cm="1">
        <f t="array" ref="R489:S489">LINEST(F480:F489,D480:D489)</f>
        <v>-11.86909090909095</v>
      </c>
      <c r="S489" s="56">
        <v>5.7872969696969889</v>
      </c>
      <c r="T489" s="56" cm="1">
        <f t="array" ref="T489:U489">LINEST(F475:F489,D475:D489)</f>
        <v>84.342857142857071</v>
      </c>
      <c r="U489" s="56">
        <v>-38.477714285714256</v>
      </c>
      <c r="V489" s="56" cm="1">
        <f t="array" ref="V489:W489">LINEST(F470:F489,D470:D489)</f>
        <v>92.760902255638982</v>
      </c>
      <c r="W489" s="56">
        <v>-42.339507518796943</v>
      </c>
      <c r="X489" s="56" cm="1">
        <f t="array" ref="X489:Y489">LINEST(F465:F489,D465:D489)</f>
        <v>17.075076923077042</v>
      </c>
      <c r="Y489" s="56">
        <v>-7.8813546153846685</v>
      </c>
      <c r="Z489" s="56" cm="1">
        <f t="array" ref="Z489:AA489">LINEST(F460:F489,D460:D489)</f>
        <v>1.689877641824334</v>
      </c>
      <c r="AA489" s="56">
        <v>-0.90385947348909967</v>
      </c>
      <c r="AB489" s="37" cm="1">
        <f t="array" ref="AB489:AC489">LINEST(G480:G489,D480:D489)</f>
        <v>18.414545454545522</v>
      </c>
      <c r="AC489" s="59">
        <v>-8.5431151515151829</v>
      </c>
      <c r="AD489" s="37" cm="1">
        <f t="array" ref="AD489:AE489">LINEST(G475:G489,D475:D489)</f>
        <v>13.782857142857083</v>
      </c>
      <c r="AE489" s="59">
        <v>-6.4197809523809246</v>
      </c>
      <c r="AF489" s="37" cm="1">
        <f t="array" ref="AF489:AG489">LINEST(G470:G489,D470:D489)</f>
        <v>-11.422556390977419</v>
      </c>
      <c r="AG489" s="59">
        <v>5.1091879699248013</v>
      </c>
      <c r="AH489" s="37" cm="1">
        <f t="array" ref="AH489:AI489">LINEST(G465:G489,D465:D489)</f>
        <v>-27.958153846153792</v>
      </c>
      <c r="AI489" s="59">
        <v>12.640289230769207</v>
      </c>
      <c r="AJ489" s="37" cm="1">
        <f t="array" ref="AJ489:AK489">LINEST(G460:G489,D460:D489)</f>
        <v>-30.054193548387065</v>
      </c>
      <c r="AK489" s="59">
        <v>13.590101075268805</v>
      </c>
    </row>
    <row r="490" spans="1:37" x14ac:dyDescent="0.25">
      <c r="A490" s="61">
        <v>502</v>
      </c>
      <c r="B490" s="14">
        <f t="shared" si="8"/>
        <v>484</v>
      </c>
      <c r="C490" s="15">
        <v>44010</v>
      </c>
      <c r="D490" s="16">
        <v>0.46625</v>
      </c>
      <c r="E490" s="36">
        <v>20.170000000000002</v>
      </c>
      <c r="F490" s="36">
        <v>-0.09</v>
      </c>
      <c r="G490" s="36">
        <v>0.03</v>
      </c>
      <c r="H490" s="56" cm="1">
        <f t="array" ref="H490:I490">LINEST(E481:E490,D481:D490)</f>
        <v>5.2363636363638522</v>
      </c>
      <c r="I490" s="56">
        <v>17.72127272727263</v>
      </c>
      <c r="J490" s="56" cm="1">
        <f t="array" ref="J490:K490">LINEST(E476:E490,D476:D490)</f>
        <v>4.0114285714286035</v>
      </c>
      <c r="K490" s="56">
        <v>18.28400476190475</v>
      </c>
      <c r="L490" s="56" cm="1">
        <f t="array" ref="L490:M490">LINEST(E471:E490,D471:D490)</f>
        <v>-27.376240601503699</v>
      </c>
      <c r="M490" s="56">
        <v>32.669457894736816</v>
      </c>
      <c r="N490" s="56" cm="1">
        <f t="array" ref="N490:O490">LINEST(E466:E490,D466:D490)</f>
        <v>-64.705846153846039</v>
      </c>
      <c r="O490" s="56">
        <v>49.722669999999951</v>
      </c>
      <c r="P490" s="56" cm="1">
        <f t="array" ref="P490:Q490">LINEST(E461:E490,D461:D490)</f>
        <v>-65.160400444938716</v>
      </c>
      <c r="Q490" s="56">
        <v>49.93211197626988</v>
      </c>
      <c r="R490" s="56" cm="1">
        <f t="array" ref="R490:S490">LINEST(F481:F490,D481:D490)</f>
        <v>-14.705454545454598</v>
      </c>
      <c r="S490" s="56">
        <v>7.0355090909091142</v>
      </c>
      <c r="T490" s="56" cm="1">
        <f t="array" ref="T490:U490">LINEST(F476:F490,D476:D490)</f>
        <v>55.337142857142965</v>
      </c>
      <c r="U490" s="56">
        <v>-25.258942857142905</v>
      </c>
      <c r="V490" s="56" cm="1">
        <f t="array" ref="V490:W490">LINEST(F471:F490,D471:D490)</f>
        <v>84.364511278195394</v>
      </c>
      <c r="W490" s="56">
        <v>-38.593810526315742</v>
      </c>
      <c r="X490" s="56" cm="1">
        <f t="array" ref="X490:Y490">LINEST(F466:F490,D466:D490)</f>
        <v>25.183384615384696</v>
      </c>
      <c r="Y490" s="56">
        <v>-11.584830000000037</v>
      </c>
      <c r="Z490" s="56" cm="1">
        <f t="array" ref="Z490:AA490">LINEST(F461:F490,D461:D490)</f>
        <v>-0.44209121245820349</v>
      </c>
      <c r="AA490" s="56">
        <v>6.3221802002187438E-2</v>
      </c>
      <c r="AB490" s="37" cm="1">
        <f t="array" ref="AB490:AC490">LINEST(G481:G490,D481:D490)</f>
        <v>15.665454545454599</v>
      </c>
      <c r="AC490" s="59">
        <v>-7.2751090909091154</v>
      </c>
      <c r="AD490" s="37" cm="1">
        <f t="array" ref="AD490:AE490">LINEST(G476:G490,D476:D490)</f>
        <v>17.099999999999952</v>
      </c>
      <c r="AE490" s="59">
        <v>-7.9419583333333108</v>
      </c>
      <c r="AF490" s="37" cm="1">
        <f t="array" ref="AF490:AG490">LINEST(G471:G490,D471:D490)</f>
        <v>-4.0060150375939889</v>
      </c>
      <c r="AG490" s="59">
        <v>1.7399473684210542</v>
      </c>
      <c r="AH490" s="37" cm="1">
        <f t="array" ref="AH490:AI490">LINEST(G466:G490,D466:D490)</f>
        <v>-23.804307692307646</v>
      </c>
      <c r="AI490" s="59">
        <v>10.782419999999979</v>
      </c>
      <c r="AJ490" s="37" cm="1">
        <f t="array" ref="AJ490:AK490">LINEST(G461:G490,D461:D490)</f>
        <v>-27.750834260289164</v>
      </c>
      <c r="AK490" s="59">
        <v>12.57628883945122</v>
      </c>
    </row>
    <row r="491" spans="1:37" x14ac:dyDescent="0.25">
      <c r="A491" s="61">
        <v>502</v>
      </c>
      <c r="B491" s="14">
        <f t="shared" si="8"/>
        <v>485</v>
      </c>
      <c r="C491" s="15">
        <v>44011</v>
      </c>
      <c r="D491" s="16">
        <v>0.46763888888888888</v>
      </c>
      <c r="E491" s="36">
        <v>20.21</v>
      </c>
      <c r="F491" s="36">
        <v>1.27</v>
      </c>
      <c r="G491" s="36">
        <v>0.13</v>
      </c>
      <c r="H491" s="56" cm="1">
        <f t="array" ref="H491:I491">LINEST(E482:E491,D482:D491)</f>
        <v>5.9781818181820157</v>
      </c>
      <c r="I491" s="56">
        <v>17.384733333333248</v>
      </c>
      <c r="J491" s="56" cm="1">
        <f t="array" ref="J491:K491">LINEST(E477:E491,D477:D491)</f>
        <v>5.6057142857143347</v>
      </c>
      <c r="K491" s="56">
        <v>17.555049999999977</v>
      </c>
      <c r="L491" s="56" cm="1">
        <f t="array" ref="L491:M491">LINEST(E472:E491,D472:D491)</f>
        <v>-12.797593984962365</v>
      </c>
      <c r="M491" s="56">
        <v>26.012795488721785</v>
      </c>
      <c r="N491" s="56" cm="1">
        <f t="array" ref="N491:O491">LINEST(E467:E491,D467:D491)</f>
        <v>-57.084923076923005</v>
      </c>
      <c r="O491" s="56">
        <v>46.300914615384585</v>
      </c>
      <c r="P491" s="56" cm="1">
        <f t="array" ref="P491:Q491">LINEST(E462:E491,D462:D491)</f>
        <v>-62.600756395995475</v>
      </c>
      <c r="Q491" s="56">
        <v>48.817838487207972</v>
      </c>
      <c r="R491" s="56" cm="1">
        <f t="array" ref="R491:S491">LINEST(F482:F491,D482:D491)</f>
        <v>23.040000000000081</v>
      </c>
      <c r="S491" s="56">
        <v>-10.256400000000035</v>
      </c>
      <c r="T491" s="56" cm="1">
        <f t="array" ref="T491:U491">LINEST(F477:F491,D477:D491)</f>
        <v>47.185714285714333</v>
      </c>
      <c r="U491" s="56">
        <v>-21.418458333333355</v>
      </c>
      <c r="V491" s="56" cm="1">
        <f t="array" ref="V491:W491">LINEST(F472:F491,D472:D491)</f>
        <v>88.430075187969862</v>
      </c>
      <c r="W491" s="56">
        <v>-40.420056390977415</v>
      </c>
      <c r="X491" s="56" cm="1">
        <f t="array" ref="X491:Y491">LINEST(F467:F491,D467:D491)</f>
        <v>40.214769230769264</v>
      </c>
      <c r="Y491" s="56">
        <v>-18.364143846153862</v>
      </c>
      <c r="Z491" s="56" cm="1">
        <f t="array" ref="Z491:AA491">LINEST(F462:F491,D462:D491)</f>
        <v>8.3837152391546912</v>
      </c>
      <c r="AA491" s="56">
        <v>-3.8543792361883904</v>
      </c>
      <c r="AB491" s="37" cm="1">
        <f t="array" ref="AB491:AC491">LINEST(G482:G491,D482:D491)</f>
        <v>16.232727272727331</v>
      </c>
      <c r="AC491" s="59">
        <v>-7.5236000000000249</v>
      </c>
      <c r="AD491" s="37" cm="1">
        <f t="array" ref="AD491:AE491">LINEST(G477:G491,D477:D491)</f>
        <v>19.51714285714284</v>
      </c>
      <c r="AE491" s="59">
        <v>-9.0472249999999903</v>
      </c>
      <c r="AF491" s="37" cm="1">
        <f t="array" ref="AF491:AG491">LINEST(G472:G491,D472:D491)</f>
        <v>3.2751879699247888</v>
      </c>
      <c r="AG491" s="59">
        <v>-1.5758909774435983</v>
      </c>
      <c r="AH491" s="37" cm="1">
        <f t="array" ref="AH491:AI491">LINEST(G467:G491,D467:D491)</f>
        <v>-18.797538461538434</v>
      </c>
      <c r="AI491" s="59">
        <v>8.5335676923076793</v>
      </c>
      <c r="AJ491" s="37" cm="1">
        <f t="array" ref="AJ491:AK491">LINEST(G462:G491,D462:D491)</f>
        <v>-24.912480533926558</v>
      </c>
      <c r="AK491" s="59">
        <v>11.321335038932133</v>
      </c>
    </row>
    <row r="492" spans="1:37" x14ac:dyDescent="0.25">
      <c r="A492" s="61">
        <v>502</v>
      </c>
      <c r="B492" s="14">
        <f t="shared" si="8"/>
        <v>486</v>
      </c>
      <c r="C492" s="15">
        <v>44012</v>
      </c>
      <c r="D492" s="16">
        <v>0.46902777777777777</v>
      </c>
      <c r="E492" s="36">
        <v>19.93</v>
      </c>
      <c r="F492" s="36">
        <v>1.27</v>
      </c>
      <c r="G492" s="36">
        <v>0.22</v>
      </c>
      <c r="H492" s="56" cm="1">
        <f t="array" ref="H492:I492">LINEST(E483:E492,D483:D492)</f>
        <v>-3.9709090909089668</v>
      </c>
      <c r="I492" s="56">
        <v>21.96264848484843</v>
      </c>
      <c r="J492" s="56" cm="1">
        <f t="array" ref="J492:K492">LINEST(E478:E492,D478:D492)</f>
        <v>1.9028571428571968</v>
      </c>
      <c r="K492" s="56">
        <v>19.236007142857122</v>
      </c>
      <c r="L492" s="56" cm="1">
        <f t="array" ref="L492:M492">LINEST(E473:E492,D473:D492)</f>
        <v>-0.7308270676691504</v>
      </c>
      <c r="M492" s="56">
        <v>20.451635338345856</v>
      </c>
      <c r="N492" s="56" cm="1">
        <f t="array" ref="N492:O492">LINEST(E468:E492,D468:D492)</f>
        <v>-50.073230769230719</v>
      </c>
      <c r="O492" s="56">
        <v>43.12118230769228</v>
      </c>
      <c r="P492" s="56" cm="1">
        <f t="array" ref="P492:Q492">LINEST(E463:E492,D463:D492)</f>
        <v>-60.721868743047743</v>
      </c>
      <c r="Q492" s="56">
        <v>47.992372191323646</v>
      </c>
      <c r="R492" s="56" cm="1">
        <f t="array" ref="R492:S492">LINEST(F483:F492,D483:D492)</f>
        <v>85.876363636363934</v>
      </c>
      <c r="S492" s="56">
        <v>-39.335672727272872</v>
      </c>
      <c r="T492" s="56" cm="1">
        <f t="array" ref="T492:U492">LINEST(F478:F492,D478:D492)</f>
        <v>64.208571428571602</v>
      </c>
      <c r="U492" s="56">
        <v>-29.222686904761982</v>
      </c>
      <c r="V492" s="56" cm="1">
        <f t="array" ref="V492:W492">LINEST(F473:F492,D473:D492)</f>
        <v>89.496541353383392</v>
      </c>
      <c r="W492" s="56">
        <v>-40.890506766917255</v>
      </c>
      <c r="X492" s="56" cm="1">
        <f t="array" ref="X492:Y492">LINEST(F468:F492,D468:D492)</f>
        <v>58.153846153846153</v>
      </c>
      <c r="Y492" s="56">
        <v>-26.51933846153846</v>
      </c>
      <c r="Z492" s="56" cm="1">
        <f t="array" ref="Z492:AA492">LINEST(F463:F492,D463:D492)</f>
        <v>17.007697441601831</v>
      </c>
      <c r="AA492" s="56">
        <v>-7.7065664071190429</v>
      </c>
      <c r="AB492" s="37" cm="1">
        <f t="array" ref="AB492:AC492">LINEST(G483:G492,D483:D492)</f>
        <v>21.600000000000072</v>
      </c>
      <c r="AC492" s="59">
        <v>-9.9950000000000347</v>
      </c>
      <c r="AD492" s="37" cm="1">
        <f t="array" ref="AD492:AE492">LINEST(G478:G492,D478:D492)</f>
        <v>22.988571428571458</v>
      </c>
      <c r="AE492" s="59">
        <v>-10.638778571428585</v>
      </c>
      <c r="AF492" s="37" cm="1">
        <f t="array" ref="AF492:AG492">LINEST(G473:G492,D473:D492)</f>
        <v>10.04751879699244</v>
      </c>
      <c r="AG492" s="59">
        <v>-4.6679939849623864</v>
      </c>
      <c r="AH492" s="37" cm="1">
        <f t="array" ref="AH492:AI492">LINEST(G468:G492,D468:D492)</f>
        <v>-12.788307692307681</v>
      </c>
      <c r="AI492" s="59">
        <v>5.8205330769230708</v>
      </c>
      <c r="AJ492" s="37" cm="1">
        <f t="array" ref="AJ492:AK492">LINEST(G463:G492,D463:D492)</f>
        <v>-21.630433815350376</v>
      </c>
      <c r="AK492" s="59">
        <v>9.8636614015572786</v>
      </c>
    </row>
    <row r="493" spans="1:37" x14ac:dyDescent="0.25">
      <c r="A493" s="61">
        <v>502</v>
      </c>
      <c r="B493" s="14">
        <f t="shared" si="8"/>
        <v>487</v>
      </c>
      <c r="C493" s="15">
        <v>44013</v>
      </c>
      <c r="D493" s="16">
        <v>0.47041666666666665</v>
      </c>
      <c r="E493" s="36">
        <v>19.98</v>
      </c>
      <c r="F493" s="36">
        <v>1.27</v>
      </c>
      <c r="G493" s="36">
        <v>0.3</v>
      </c>
      <c r="H493" s="56" cm="1">
        <f t="array" ref="H493:I493">LINEST(E484:E493,D484:D493)</f>
        <v>-9.4254545454544676</v>
      </c>
      <c r="I493" s="56">
        <v>24.48498181818178</v>
      </c>
      <c r="J493" s="56" cm="1">
        <f t="array" ref="J493:K493">LINEST(E479:E493,D479:D493)</f>
        <v>-0.84857142857137269</v>
      </c>
      <c r="K493" s="56">
        <v>20.493598809523785</v>
      </c>
      <c r="L493" s="56" cm="1">
        <f t="array" ref="L493:M493">LINEST(E474:E493,D474:D493)</f>
        <v>-1.7972932330826883</v>
      </c>
      <c r="M493" s="56">
        <v>20.931762406015032</v>
      </c>
      <c r="N493" s="56" cm="1">
        <f t="array" ref="N493:O493">LINEST(E469:E493,D469:D493)</f>
        <v>-41.161846153846135</v>
      </c>
      <c r="O493" s="56">
        <v>39.059987692307686</v>
      </c>
      <c r="P493" s="56" cm="1">
        <f t="array" ref="P493:Q493">LINEST(E464:E493,D464:D493)</f>
        <v>-57.897931034482696</v>
      </c>
      <c r="Q493" s="56">
        <v>46.737485057471233</v>
      </c>
      <c r="R493" s="56" cm="1">
        <f t="array" ref="R493:S493">LINEST(F484:F493,D484:D493)</f>
        <v>118.0800000000004</v>
      </c>
      <c r="S493" s="56">
        <v>-54.31280000000018</v>
      </c>
      <c r="T493" s="56" cm="1">
        <f t="array" ref="T493:U493">LINEST(F479:F493,D479:D493)</f>
        <v>59.631428571428764</v>
      </c>
      <c r="U493" s="56">
        <v>-27.063201190476281</v>
      </c>
      <c r="V493" s="56" cm="1">
        <f t="array" ref="V493:W493">LINEST(F474:F493,D474:D493)</f>
        <v>87.563909774436041</v>
      </c>
      <c r="W493" s="56">
        <v>-39.992665413533807</v>
      </c>
      <c r="X493" s="56" cm="1">
        <f t="array" ref="X493:Y493">LINEST(F469:F493,D469:D493)</f>
        <v>80.556923076923027</v>
      </c>
      <c r="Y493" s="56">
        <v>-36.775903846153824</v>
      </c>
      <c r="Z493" s="56" cm="1">
        <f t="array" ref="Z493:AA493">LINEST(F464:F493,D464:D493)</f>
        <v>24.492814238042328</v>
      </c>
      <c r="AA493" s="56">
        <v>-11.06423663329628</v>
      </c>
      <c r="AB493" s="37" cm="1">
        <f t="array" ref="AB493:AC493">LINEST(G484:G493,D484:D493)</f>
        <v>28.974545454545552</v>
      </c>
      <c r="AC493" s="59">
        <v>-13.409018181818228</v>
      </c>
      <c r="AD493" s="37" cm="1">
        <f t="array" ref="AD493:AE493">LINEST(G479:G493,D479:D493)</f>
        <v>25.920000000000087</v>
      </c>
      <c r="AE493" s="59">
        <v>-11.983200000000041</v>
      </c>
      <c r="AF493" s="37" cm="1">
        <f t="array" ref="AF493:AG493">LINEST(G474:G493,D474:D493)</f>
        <v>16.061954887218</v>
      </c>
      <c r="AG493" s="59">
        <v>-7.421382706766896</v>
      </c>
      <c r="AH493" s="37" cm="1">
        <f t="array" ref="AH493:AI493">LINEST(G469:G493,D469:D493)</f>
        <v>-5.5273846153846247</v>
      </c>
      <c r="AI493" s="59">
        <v>2.5236507692307732</v>
      </c>
      <c r="AJ493" s="37" cm="1">
        <f t="array" ref="AJ493:AK493">LINEST(G464:G493,D464:D493)</f>
        <v>-18.042447163515014</v>
      </c>
      <c r="AK493" s="59">
        <v>8.2634463477938436</v>
      </c>
    </row>
    <row r="494" spans="1:37" x14ac:dyDescent="0.25">
      <c r="A494" s="61">
        <v>502</v>
      </c>
      <c r="B494" s="14">
        <f t="shared" si="8"/>
        <v>488</v>
      </c>
      <c r="C494" s="15">
        <v>44014</v>
      </c>
      <c r="D494" s="16">
        <v>0.47180555555555559</v>
      </c>
      <c r="E494" s="36">
        <v>19.989999999999998</v>
      </c>
      <c r="F494" s="36">
        <v>1.27</v>
      </c>
      <c r="G494" s="36">
        <v>0.38</v>
      </c>
      <c r="H494" s="56" cm="1">
        <f t="array" ref="H494:I494">LINEST(E485:E494,D485:D494)</f>
        <v>-13.17818181818186</v>
      </c>
      <c r="I494" s="56">
        <v>26.231175757575777</v>
      </c>
      <c r="J494" s="56" cm="1">
        <f t="array" ref="J494:K494">LINEST(E480:E494,D480:D494)</f>
        <v>-3.9599999999999702</v>
      </c>
      <c r="K494" s="56">
        <v>21.928516666666653</v>
      </c>
      <c r="L494" s="56" cm="1">
        <f t="array" ref="L494:M494">LINEST(E475:E494,D475:D494)</f>
        <v>-2.3494736842105044</v>
      </c>
      <c r="M494" s="56">
        <v>21.178494736842097</v>
      </c>
      <c r="N494" s="56" cm="1">
        <f t="array" ref="N494:O494">LINEST(E470:E494,D470:D494)</f>
        <v>-31.120615384615348</v>
      </c>
      <c r="O494" s="56">
        <v>34.461002307692297</v>
      </c>
      <c r="P494" s="56" cm="1">
        <f t="array" ref="P494:Q494">LINEST(E465:E494,D465:D494)</f>
        <v>-54.228253615127834</v>
      </c>
      <c r="Q494" s="56">
        <v>45.092094549499393</v>
      </c>
      <c r="R494" s="56" cm="1">
        <f t="array" ref="R494:S494">LINEST(F485:F494,D485:D494)</f>
        <v>135.70909090909103</v>
      </c>
      <c r="S494" s="56">
        <v>-62.580121212121263</v>
      </c>
      <c r="T494" s="56" cm="1">
        <f t="array" ref="T494:U494">LINEST(F480:F494,D480:D494)</f>
        <v>45.540000000000155</v>
      </c>
      <c r="U494" s="56">
        <v>-20.481275000000071</v>
      </c>
      <c r="V494" s="56" cm="1">
        <f t="array" ref="V494:W494">LINEST(F475:F494,D475:D494)</f>
        <v>82.632180451127823</v>
      </c>
      <c r="W494" s="56">
        <v>-37.714036090225555</v>
      </c>
      <c r="X494" s="56" cm="1">
        <f t="array" ref="X494:Y494">LINEST(F470:F494,D470:D494)</f>
        <v>88.847999999999942</v>
      </c>
      <c r="Y494" s="56">
        <v>-40.592579999999977</v>
      </c>
      <c r="Z494" s="56" cm="1">
        <f t="array" ref="Z494:AA494">LINEST(F465:F494,D465:D494)</f>
        <v>35.303225806451636</v>
      </c>
      <c r="AA494" s="56">
        <v>-15.969290322580653</v>
      </c>
      <c r="AB494" s="37" cm="1">
        <f t="array" ref="AB494:AC494">LINEST(G485:G494,D485:D494)</f>
        <v>37.527272727272809</v>
      </c>
      <c r="AC494" s="59">
        <v>-17.38703030303034</v>
      </c>
      <c r="AD494" s="37" cm="1">
        <f t="array" ref="AD494:AE494">LINEST(G480:G494,D480:D494)</f>
        <v>27.591428571428658</v>
      </c>
      <c r="AE494" s="59">
        <v>-12.744205952380993</v>
      </c>
      <c r="AF494" s="37" cm="1">
        <f t="array" ref="AF494:AG494">LINEST(G475:G494,D475:D494)</f>
        <v>21.307669172932297</v>
      </c>
      <c r="AG494" s="59">
        <v>-9.828933834586449</v>
      </c>
      <c r="AH494" s="37" cm="1">
        <f t="array" ref="AH494:AI494">LINEST(G470:G494,D470:D494)</f>
        <v>1.8941538461538294</v>
      </c>
      <c r="AI494" s="59">
        <v>-0.85970307692306935</v>
      </c>
      <c r="AJ494" s="37" cm="1">
        <f t="array" ref="AJ494:AK494">LINEST(G465:G494,D465:D494)</f>
        <v>-13.84258064516127</v>
      </c>
      <c r="AK494" s="59">
        <v>6.3788989247311729</v>
      </c>
    </row>
    <row r="495" spans="1:37" x14ac:dyDescent="0.25">
      <c r="A495" s="61">
        <v>502</v>
      </c>
      <c r="B495" s="14">
        <f t="shared" si="8"/>
        <v>489</v>
      </c>
      <c r="C495" s="15">
        <v>44015</v>
      </c>
      <c r="D495" s="16">
        <v>0.47319444444444447</v>
      </c>
      <c r="E495" s="36">
        <v>19.989999999999998</v>
      </c>
      <c r="F495" s="36">
        <v>-0.24</v>
      </c>
      <c r="G495" s="36">
        <v>0.33</v>
      </c>
      <c r="H495" s="56" cm="1">
        <f t="array" ref="H495:I495">LINEST(E486:E495,D486:D495)</f>
        <v>-16.189090909090936</v>
      </c>
      <c r="I495" s="56">
        <v>27.642406060606074</v>
      </c>
      <c r="J495" s="56" cm="1">
        <f t="array" ref="J495:K495">LINEST(E481:E495,D481:D495)</f>
        <v>-6.5057142857142729</v>
      </c>
      <c r="K495" s="56">
        <v>23.108551190476188</v>
      </c>
      <c r="L495" s="56" cm="1">
        <f t="array" ref="L495:M495">LINEST(E476:E495,D476:D495)</f>
        <v>-2.5930827067669093</v>
      </c>
      <c r="M495" s="56">
        <v>21.28431804511278</v>
      </c>
      <c r="N495" s="56" cm="1">
        <f t="array" ref="N495:O495">LINEST(E471:E495,D471:D495)</f>
        <v>-21.040615384615382</v>
      </c>
      <c r="O495" s="56">
        <v>29.822825384615385</v>
      </c>
      <c r="P495" s="56" cm="1">
        <f t="array" ref="P495:Q495">LINEST(E466:E495,D466:D495)</f>
        <v>-49.802536151279163</v>
      </c>
      <c r="Q495" s="56">
        <v>43.093315684093419</v>
      </c>
      <c r="R495" s="56" cm="1">
        <f t="array" ref="R495:S495">LINEST(F486:F495,D486:D495)</f>
        <v>54.239999999999739</v>
      </c>
      <c r="S495" s="56">
        <v>-24.710066666666538</v>
      </c>
      <c r="T495" s="56" cm="1">
        <f t="array" ref="T495:U495">LINEST(F481:F495,D481:D495)</f>
        <v>32.708571428571432</v>
      </c>
      <c r="U495" s="56">
        <v>-14.656180952380954</v>
      </c>
      <c r="V495" s="56" cm="1">
        <f t="array" ref="V495:W495">LINEST(F476:F495,D476:D495)</f>
        <v>59.169924812030082</v>
      </c>
      <c r="W495" s="56">
        <v>-26.973165413533835</v>
      </c>
      <c r="X495" s="56" cm="1">
        <f t="array" ref="X495:Y495">LINEST(F471:F495,D471:D495)</f>
        <v>78.590769230769212</v>
      </c>
      <c r="Y495" s="56">
        <v>-35.982869230769218</v>
      </c>
      <c r="Z495" s="56" cm="1">
        <f t="array" ref="Z495:AA495">LINEST(F466:F495,D466:D495)</f>
        <v>38.242491657397146</v>
      </c>
      <c r="AA495" s="56">
        <v>-17.383639970337427</v>
      </c>
      <c r="AB495" s="37" cm="1">
        <f t="array" ref="AB495:AC495">LINEST(G486:G495,D486:D495)</f>
        <v>38.836363636363629</v>
      </c>
      <c r="AC495" s="59">
        <v>-18.008424242424233</v>
      </c>
      <c r="AD495" s="37" cm="1">
        <f t="array" ref="AD495:AE495">LINEST(G481:G495,D481:D495)</f>
        <v>27.977142857142915</v>
      </c>
      <c r="AE495" s="59">
        <v>-12.921961904761933</v>
      </c>
      <c r="AF495" s="37" cm="1">
        <f t="array" ref="AF495:AG495">LINEST(G476:G495,D476:D495)</f>
        <v>24.344661654135315</v>
      </c>
      <c r="AG495" s="59">
        <v>-11.232044360902243</v>
      </c>
      <c r="AH495" s="37" cm="1">
        <f t="array" ref="AH495:AI495">LINEST(G471:G495,D471:D495)</f>
        <v>7.8701538461538227</v>
      </c>
      <c r="AI495" s="59">
        <v>-3.5985438461538348</v>
      </c>
      <c r="AJ495" s="37" cm="1">
        <f t="array" ref="AJ495:AK495">LINEST(G466:G495,D466:D495)</f>
        <v>-9.7532369299221298</v>
      </c>
      <c r="AK495" s="59">
        <v>4.5310915090841641</v>
      </c>
    </row>
    <row r="496" spans="1:37" x14ac:dyDescent="0.25">
      <c r="A496" s="61">
        <v>502</v>
      </c>
      <c r="B496" s="14">
        <f t="shared" si="8"/>
        <v>490</v>
      </c>
      <c r="C496" s="15">
        <v>44016</v>
      </c>
      <c r="D496" s="16">
        <v>0.47458333333333336</v>
      </c>
      <c r="E496" s="36">
        <v>20.010000000000002</v>
      </c>
      <c r="F496" s="36">
        <v>0.8</v>
      </c>
      <c r="G496" s="36">
        <v>0.36</v>
      </c>
      <c r="H496" s="56" cm="1">
        <f t="array" ref="H496:I496">LINEST(E487:E496,D487:D496)</f>
        <v>-15.839999999999995</v>
      </c>
      <c r="I496" s="56">
        <v>27.487399999999997</v>
      </c>
      <c r="J496" s="56" cm="1">
        <f t="array" ref="J496:K496">LINEST(E482:E496,D482:D496)</f>
        <v>-8.2799999999999763</v>
      </c>
      <c r="K496" s="56">
        <v>23.937716666666656</v>
      </c>
      <c r="L496" s="56" cm="1">
        <f t="array" ref="L496:M496">LINEST(E477:E496,D477:D496)</f>
        <v>-3.2210526315789272</v>
      </c>
      <c r="M496" s="56">
        <v>21.572657894736835</v>
      </c>
      <c r="N496" s="56" cm="1">
        <f t="array" ref="N496:O496">LINEST(E472:E496,D472:D496)</f>
        <v>-12.461538461538444</v>
      </c>
      <c r="O496" s="56">
        <v>25.859946153846145</v>
      </c>
      <c r="P496" s="56" cm="1">
        <f t="array" ref="P496:Q496">LINEST(E467:E496,D467:D496)</f>
        <v>-44.521468298108964</v>
      </c>
      <c r="Q496" s="56">
        <v>40.693533926585076</v>
      </c>
      <c r="R496" s="56" cm="1">
        <f t="array" ref="R496:S496">LINEST(F487:F496,D487:D496)</f>
        <v>67.810909090908638</v>
      </c>
      <c r="S496" s="56">
        <v>-31.136109090908882</v>
      </c>
      <c r="T496" s="56" cm="1">
        <f t="array" ref="T496:U496">LINEST(F482:F496,D482:D496)</f>
        <v>32.63142857142855</v>
      </c>
      <c r="U496" s="56">
        <v>-14.628415476190465</v>
      </c>
      <c r="V496" s="56" cm="1">
        <f t="array" ref="V496:W496">LINEST(F477:F496,D477:D496)</f>
        <v>45.04060150375939</v>
      </c>
      <c r="W496" s="56">
        <v>-20.421233082706763</v>
      </c>
      <c r="X496" s="56" cm="1">
        <f t="array" ref="X496:Y496">LINEST(F472:F496,D472:D496)</f>
        <v>74.547692307692259</v>
      </c>
      <c r="Y496" s="56">
        <v>-34.148630769230742</v>
      </c>
      <c r="Z496" s="56" cm="1">
        <f t="array" ref="Z496:AA496">LINEST(F467:F496,D467:D496)</f>
        <v>44.548698553948824</v>
      </c>
      <c r="AA496" s="56">
        <v>-20.289575231738965</v>
      </c>
      <c r="AB496" s="37" cm="1">
        <f t="array" ref="AB496:AC496">LINEST(G487:G496,D487:D496)</f>
        <v>41.018181818181723</v>
      </c>
      <c r="AC496" s="59">
        <v>-19.046181818181775</v>
      </c>
      <c r="AD496" s="37" cm="1">
        <f t="array" ref="AD496:AE496">LINEST(G482:G496,D482:D496)</f>
        <v>28.208571428571474</v>
      </c>
      <c r="AE496" s="59">
        <v>-13.029734523809543</v>
      </c>
      <c r="AF496" s="37" cm="1">
        <f t="array" ref="AF496:AG496">LINEST(G477:G496,D477:D496)</f>
        <v>25.930827067669163</v>
      </c>
      <c r="AG496" s="59">
        <v>-11.967195488721801</v>
      </c>
      <c r="AH496" s="37" cm="1">
        <f t="array" ref="AH496:AI496">LINEST(G472:G496,D472:D496)</f>
        <v>13.076307692307662</v>
      </c>
      <c r="AI496" s="59">
        <v>-5.9942592307692166</v>
      </c>
      <c r="AJ496" s="37" cm="1">
        <f t="array" ref="AJ496:AK496">LINEST(G467:G496,D467:D496)</f>
        <v>-5.5357508342602877</v>
      </c>
      <c r="AK496" s="59">
        <v>2.6156912124582865</v>
      </c>
    </row>
    <row r="497" spans="1:37" x14ac:dyDescent="0.25">
      <c r="A497" s="61">
        <v>502</v>
      </c>
      <c r="B497" s="14">
        <f t="shared" si="8"/>
        <v>491</v>
      </c>
      <c r="C497" s="15">
        <v>44017</v>
      </c>
      <c r="D497" s="16">
        <v>0.47597222222222224</v>
      </c>
      <c r="E497" s="36">
        <v>20.02</v>
      </c>
      <c r="F497" s="36">
        <v>0.1</v>
      </c>
      <c r="G497" s="36">
        <v>0.34</v>
      </c>
      <c r="H497" s="56" cm="1">
        <f t="array" ref="H497:I497">LINEST(E488:E497,D488:D497)</f>
        <v>-15.796363636363672</v>
      </c>
      <c r="I497" s="56">
        <v>27.479903030303049</v>
      </c>
      <c r="J497" s="56" cm="1">
        <f t="array" ref="J497:K497">LINEST(E483:E497,D483:D497)</f>
        <v>-9.0771428571428423</v>
      </c>
      <c r="K497" s="56">
        <v>24.314884523809518</v>
      </c>
      <c r="L497" s="56" cm="1">
        <f t="array" ref="L497:M497">LINEST(E478:E497,D478:D497)</f>
        <v>-3.637894736842096</v>
      </c>
      <c r="M497" s="56">
        <v>21.765536842105259</v>
      </c>
      <c r="N497" s="56" cm="1">
        <f t="array" ref="N497:O497">LINEST(E473:E497,D473:D497)</f>
        <v>-3.6553846153846039</v>
      </c>
      <c r="O497" s="56">
        <v>21.773338461538458</v>
      </c>
      <c r="P497" s="56" cm="1">
        <f t="array" ref="P497:Q497">LINEST(E468:E497,D468:D497)</f>
        <v>-38.381846496106753</v>
      </c>
      <c r="Q497" s="56">
        <v>37.887058361141996</v>
      </c>
      <c r="R497" s="56" cm="1">
        <f t="array" ref="R497:S497">LINEST(F488:F497,D488:D497)</f>
        <v>-29.105454545454656</v>
      </c>
      <c r="S497" s="56">
        <v>14.400478787878839</v>
      </c>
      <c r="T497" s="56" cm="1">
        <f t="array" ref="T497:U497">LINEST(F483:F497,D483:D497)</f>
        <v>33.119999999999905</v>
      </c>
      <c r="U497" s="56">
        <v>-14.958199999999955</v>
      </c>
      <c r="V497" s="56" cm="1">
        <f t="array" ref="V497:W497">LINEST(F478:F497,D478:D497)</f>
        <v>39.069473684210557</v>
      </c>
      <c r="W497" s="56">
        <v>-17.71898421052633</v>
      </c>
      <c r="X497" s="56" cm="1">
        <f t="array" ref="X497:Y497">LINEST(F473:F497,D473:D497)</f>
        <v>64.578461538461525</v>
      </c>
      <c r="Y497" s="56">
        <v>-29.609246153846147</v>
      </c>
      <c r="Z497" s="56" cm="1">
        <f t="array" ref="Z497:AA497">LINEST(F468:F497,D468:D497)</f>
        <v>49.812146829810885</v>
      </c>
      <c r="AA497" s="56">
        <v>-22.776703596588796</v>
      </c>
      <c r="AB497" s="37" cm="1">
        <f t="array" ref="AB497:AC497">LINEST(G488:G497,D488:D497)</f>
        <v>35.258181818181733</v>
      </c>
      <c r="AC497" s="59">
        <v>-16.353551515151477</v>
      </c>
      <c r="AD497" s="37" cm="1">
        <f t="array" ref="AD497:AE497">LINEST(G483:G497,D483:D497)</f>
        <v>28.440000000000023</v>
      </c>
      <c r="AE497" s="59">
        <v>-13.145483333333344</v>
      </c>
      <c r="AF497" s="37" cm="1">
        <f t="array" ref="AF497:AG497">LINEST(G478:G497,D478:D497)</f>
        <v>26.878195488721818</v>
      </c>
      <c r="AG497" s="59">
        <v>-12.413131578947375</v>
      </c>
      <c r="AH497" s="37" cm="1">
        <f t="array" ref="AH497:AI497">LINEST(G473:G497,D473:D497)</f>
        <v>17.080615384615353</v>
      </c>
      <c r="AI497" s="59">
        <v>-7.8472215384615227</v>
      </c>
      <c r="AJ497" s="37" cm="1">
        <f t="array" ref="AJ497:AK497">LINEST(G468:G497,D468:D497)</f>
        <v>-1.2429810901001124</v>
      </c>
      <c r="AK497" s="59">
        <v>0.65325888023730116</v>
      </c>
    </row>
    <row r="498" spans="1:37" x14ac:dyDescent="0.25">
      <c r="A498" s="61">
        <v>502</v>
      </c>
      <c r="B498" s="14">
        <f t="shared" si="8"/>
        <v>492</v>
      </c>
      <c r="C498" s="15">
        <v>44018</v>
      </c>
      <c r="D498" s="16">
        <v>0.47736111111111112</v>
      </c>
      <c r="E498" s="36">
        <v>20.02</v>
      </c>
      <c r="F498" s="36">
        <v>0</v>
      </c>
      <c r="G498" s="36">
        <v>0.32</v>
      </c>
      <c r="H498" s="56" cm="1">
        <f t="array" ref="H498:I498">LINEST(E489:E498,D489:D498)</f>
        <v>-14.007272727272841</v>
      </c>
      <c r="I498" s="56">
        <v>26.647981818181872</v>
      </c>
      <c r="J498" s="56" cm="1">
        <f t="array" ref="J498:K498">LINEST(E484:E498,D484:D498)</f>
        <v>-9.2314285714285713</v>
      </c>
      <c r="K498" s="56">
        <v>24.392308333333332</v>
      </c>
      <c r="L498" s="56" cm="1">
        <f t="array" ref="L498:M498">LINEST(E479:E498,D479:D498)</f>
        <v>-4.1846616541353399</v>
      </c>
      <c r="M498" s="56">
        <v>22.02088045112782</v>
      </c>
      <c r="N498" s="56" cm="1">
        <f t="array" ref="N498:O498">LINEST(E474:E498,D474:D498)</f>
        <v>-3.7495384615384597</v>
      </c>
      <c r="O498" s="56">
        <v>21.816591538461537</v>
      </c>
      <c r="P498" s="56" cm="1">
        <f t="array" ref="P498:Q498">LINEST(E469:E498,D469:D498)</f>
        <v>-31.324404894327003</v>
      </c>
      <c r="Q498" s="56">
        <v>34.642214015572847</v>
      </c>
      <c r="R498" s="56" cm="1">
        <f t="array" ref="R498:S498">LINEST(F489:F498,D489:D498)</f>
        <v>-70.16727272727266</v>
      </c>
      <c r="S498" s="56">
        <v>33.738581818181792</v>
      </c>
      <c r="T498" s="56" cm="1">
        <f t="array" ref="T498:U498">LINEST(F484:F498,D484:D498)</f>
        <v>22.06285714285703</v>
      </c>
      <c r="U498" s="56">
        <v>-9.8581166666666142</v>
      </c>
      <c r="V498" s="56" cm="1">
        <f t="array" ref="V498:W498">LINEST(F479:F498,D479:D498)</f>
        <v>21.805714285714263</v>
      </c>
      <c r="W498" s="56">
        <v>-9.7184857142857037</v>
      </c>
      <c r="X498" s="56" cm="1">
        <f t="array" ref="X498:Y498">LINEST(F474:F498,D474:D498)</f>
        <v>53.058461538461529</v>
      </c>
      <c r="Y498" s="56">
        <v>-24.331738461538457</v>
      </c>
      <c r="Z498" s="56" cm="1">
        <f t="array" ref="Z498:AA498">LINEST(F469:F498,D469:D498)</f>
        <v>58.088542825361479</v>
      </c>
      <c r="AA498" s="56">
        <v>-26.681039302929165</v>
      </c>
      <c r="AB498" s="37" cm="1">
        <f t="array" ref="AB498:AC498">LINEST(G489:G498,D489:D498)</f>
        <v>27.272727272727217</v>
      </c>
      <c r="AC498" s="59">
        <v>-12.603484848484825</v>
      </c>
      <c r="AD498" s="37" cm="1">
        <f t="array" ref="AD498:AE498">LINEST(G484:G498,D484:D498)</f>
        <v>27.925714285714292</v>
      </c>
      <c r="AE498" s="59">
        <v>-12.917150000000005</v>
      </c>
      <c r="AF498" s="37" cm="1">
        <f t="array" ref="AF498:AG498">LINEST(G479:G498,D479:D498)</f>
        <v>26.547969924812069</v>
      </c>
      <c r="AG498" s="59">
        <v>-12.267682706766937</v>
      </c>
      <c r="AH498" s="37" cm="1">
        <f t="array" ref="AH498:AI498">LINEST(G474:G498,D474:D498)</f>
        <v>19.883076923076896</v>
      </c>
      <c r="AI498" s="59">
        <v>-9.152823076923065</v>
      </c>
      <c r="AJ498" s="37" cm="1">
        <f t="array" ref="AJ498:AK498">LINEST(G469:G498,D469:D498)</f>
        <v>3.3829588431590567</v>
      </c>
      <c r="AK498" s="59">
        <v>-1.4760972932888354</v>
      </c>
    </row>
    <row r="499" spans="1:37" x14ac:dyDescent="0.25">
      <c r="A499" s="61">
        <v>502</v>
      </c>
      <c r="B499" s="14">
        <f t="shared" si="8"/>
        <v>493</v>
      </c>
      <c r="C499" s="15">
        <v>44019</v>
      </c>
      <c r="D499" s="16">
        <v>0.47875000000000001</v>
      </c>
      <c r="E499" s="36">
        <v>20.04</v>
      </c>
      <c r="F499" s="36">
        <v>0.82</v>
      </c>
      <c r="G499" s="36">
        <v>0.36</v>
      </c>
      <c r="H499" s="56" cm="1">
        <f t="array" ref="H499:I499">LINEST(E490:E499,D490:D499)</f>
        <v>-8.5527272727273811</v>
      </c>
      <c r="I499" s="56">
        <v>24.077163636363689</v>
      </c>
      <c r="J499" s="56" cm="1">
        <f t="array" ref="J499:K499">LINEST(E485:E499,D485:D499)</f>
        <v>-8.7428571428571757</v>
      </c>
      <c r="K499" s="56">
        <v>24.169976190476209</v>
      </c>
      <c r="L499" s="56" cm="1">
        <f t="array" ref="L499:M499">LINEST(E480:E499,D480:D499)</f>
        <v>-4.9046616541353325</v>
      </c>
      <c r="M499" s="56">
        <v>22.361392481203005</v>
      </c>
      <c r="N499" s="56" cm="1">
        <f t="array" ref="N499:O499">LINEST(E475:E499,D475:D499)</f>
        <v>-3.4947692307692226</v>
      </c>
      <c r="O499" s="56">
        <v>21.698874615384611</v>
      </c>
      <c r="P499" s="56" cm="1">
        <f t="array" ref="P499:Q499">LINEST(E470:E499,D470:D499)</f>
        <v>-23.587808676307002</v>
      </c>
      <c r="Q499" s="56">
        <v>31.06763114571746</v>
      </c>
      <c r="R499" s="56" cm="1">
        <f t="array" ref="R499:S499">LINEST(F490:F499,D490:D499)</f>
        <v>-41.32363636363641</v>
      </c>
      <c r="S499" s="56">
        <v>20.172418181818202</v>
      </c>
      <c r="T499" s="56" cm="1">
        <f t="array" ref="T499:U499">LINEST(F485:F499,D485:D499)</f>
        <v>23.837142857142734</v>
      </c>
      <c r="U499" s="56">
        <v>-10.681615476190418</v>
      </c>
      <c r="V499" s="56" cm="1">
        <f t="array" ref="V499:W499">LINEST(F480:F499,D480:D499)</f>
        <v>9.8039097744360699</v>
      </c>
      <c r="W499" s="56">
        <v>-4.0687646616541269</v>
      </c>
      <c r="X499" s="56" cm="1">
        <f t="array" ref="X499:Y499">LINEST(F475:F499,D475:D499)</f>
        <v>46.157538461538479</v>
      </c>
      <c r="Y499" s="56">
        <v>-21.123829230769239</v>
      </c>
      <c r="Z499" s="56" cm="1">
        <f t="array" ref="Z499:AA499">LINEST(F470:F499,D470:D499)</f>
        <v>60.83239154616237</v>
      </c>
      <c r="AA499" s="56">
        <v>-27.97774401186502</v>
      </c>
      <c r="AB499" s="37" cm="1">
        <f t="array" ref="AB499:AC499">LINEST(G490:G499,D490:D499)</f>
        <v>21.949090909090881</v>
      </c>
      <c r="AC499" s="59">
        <v>-10.093945454545441</v>
      </c>
      <c r="AD499" s="37" cm="1">
        <f t="array" ref="AD499:AE499">LINEST(G485:G499,D485:D499)</f>
        <v>27.694285714285709</v>
      </c>
      <c r="AE499" s="59">
        <v>-12.819389285714283</v>
      </c>
      <c r="AF499" s="37" cm="1">
        <f t="array" ref="AF499:AG499">LINEST(G480:G499,D480:D499)</f>
        <v>25.308270676691762</v>
      </c>
      <c r="AG499" s="59">
        <v>-11.692906015037611</v>
      </c>
      <c r="AH499" s="37" cm="1">
        <f t="array" ref="AH499:AI499">LINEST(G475:G499,D475:D499)</f>
        <v>21.95999999999998</v>
      </c>
      <c r="AI499" s="59">
        <v>-10.124549999999989</v>
      </c>
      <c r="AJ499" s="37" cm="1">
        <f t="array" ref="AJ499:AK499">LINEST(G470:G499,D470:D499)</f>
        <v>7.901579532814222</v>
      </c>
      <c r="AK499" s="59">
        <v>-3.5647521690767441</v>
      </c>
    </row>
    <row r="500" spans="1:37" x14ac:dyDescent="0.25">
      <c r="A500" s="61">
        <v>502</v>
      </c>
      <c r="B500" s="14">
        <f t="shared" si="8"/>
        <v>494</v>
      </c>
      <c r="C500" s="15">
        <v>44020</v>
      </c>
      <c r="D500" s="16">
        <v>0.48013888888888889</v>
      </c>
      <c r="E500" s="36">
        <v>20.05</v>
      </c>
      <c r="F500" s="36">
        <v>0.23</v>
      </c>
      <c r="G500" s="36">
        <v>0.35</v>
      </c>
      <c r="H500" s="56" cm="1">
        <f t="array" ref="H500:I500">LINEST(E491:E500,D491:D500)</f>
        <v>-1.5709090909091075</v>
      </c>
      <c r="I500" s="56">
        <v>20.768436363636372</v>
      </c>
      <c r="J500" s="56" cm="1">
        <f t="array" ref="J500:K500">LINEST(E486:E500,D486:D500)</f>
        <v>-8.0485714285714245</v>
      </c>
      <c r="K500" s="56">
        <v>23.850848809523807</v>
      </c>
      <c r="L500" s="56" cm="1">
        <f t="array" ref="L500:M500">LINEST(E481:E500,D481:D500)</f>
        <v>-5.2836090225563694</v>
      </c>
      <c r="M500" s="56">
        <v>22.544151879699239</v>
      </c>
      <c r="N500" s="56" cm="1">
        <f t="array" ref="N500:O500">LINEST(E476:E500,D476:D500)</f>
        <v>-3.0295384615384493</v>
      </c>
      <c r="O500" s="56">
        <v>21.482906923076918</v>
      </c>
      <c r="P500" s="56" cm="1">
        <f t="array" ref="P500:Q500">LINEST(E471:E500,D471:D500)</f>
        <v>-15.926496106785303</v>
      </c>
      <c r="Q500" s="56">
        <v>27.511854875787904</v>
      </c>
      <c r="R500" s="56" cm="1">
        <f t="array" ref="R500:S500">LINEST(F491:F500,D491:D500)</f>
        <v>-93.076363636363638</v>
      </c>
      <c r="S500" s="56">
        <v>44.786854545454553</v>
      </c>
      <c r="T500" s="56" cm="1">
        <f t="array" ref="T500:U500">LINEST(F486:F500,D486:D500)</f>
        <v>0.30857142857137504</v>
      </c>
      <c r="U500" s="56">
        <v>0.39617619047621566</v>
      </c>
      <c r="V500" s="56" cm="1">
        <f t="array" ref="V500:W500">LINEST(F481:F500,D481:D500)</f>
        <v>8.7157894736841808</v>
      </c>
      <c r="W500" s="56">
        <v>-3.5947894736841968</v>
      </c>
      <c r="X500" s="56" cm="1">
        <f t="array" ref="X500:Y500">LINEST(F476:F500,D476:D500)</f>
        <v>34.050461538461555</v>
      </c>
      <c r="Y500" s="56">
        <v>-15.507443076923082</v>
      </c>
      <c r="Z500" s="56" cm="1">
        <f t="array" ref="Z500:AA500">LINEST(F471:F500,D471:D500)</f>
        <v>55.214949944382624</v>
      </c>
      <c r="AA500" s="56">
        <v>-25.42054364108267</v>
      </c>
      <c r="AB500" s="37" cm="1">
        <f t="array" ref="AB500:AC500">LINEST(G491:G500,D491:D500)</f>
        <v>12.960000000000013</v>
      </c>
      <c r="AC500" s="59">
        <v>-5.8326000000000064</v>
      </c>
      <c r="AD500" s="37" cm="1">
        <f t="array" ref="AD500:AE500">LINEST(G486:G500,D486:D500)</f>
        <v>25.585714285714275</v>
      </c>
      <c r="AE500" s="59">
        <v>-11.836613095238089</v>
      </c>
      <c r="AF500" s="37" cm="1">
        <f t="array" ref="AF500:AG500">LINEST(G481:G500,D481:D500)</f>
        <v>24.014436090225587</v>
      </c>
      <c r="AG500" s="59">
        <v>-11.093407518797004</v>
      </c>
      <c r="AH500" s="37" cm="1">
        <f t="array" ref="AH500:AI500">LINEST(G476:G500,D476:D500)</f>
        <v>22.962461538461525</v>
      </c>
      <c r="AI500" s="59">
        <v>-10.600063076923067</v>
      </c>
      <c r="AJ500" s="37" cm="1">
        <f t="array" ref="AJ500:AK500">LINEST(G471:G500,D471:D500)</f>
        <v>11.592080088987744</v>
      </c>
      <c r="AK500" s="59">
        <v>-5.2793568409343612</v>
      </c>
    </row>
    <row r="501" spans="1:37" x14ac:dyDescent="0.25">
      <c r="A501" s="61">
        <v>502</v>
      </c>
      <c r="B501" s="14">
        <f t="shared" si="8"/>
        <v>495</v>
      </c>
      <c r="C501" s="15">
        <v>44021</v>
      </c>
      <c r="D501" s="16">
        <v>0.48152777777777778</v>
      </c>
      <c r="E501" s="36">
        <v>20.059999999999999</v>
      </c>
      <c r="F501" s="36">
        <v>0.39</v>
      </c>
      <c r="G501" s="36">
        <v>0.35</v>
      </c>
      <c r="H501" s="56" cm="1">
        <f t="array" ref="H501:I501">LINEST(E492:E501,D492:D501)</f>
        <v>8.7709090909090826</v>
      </c>
      <c r="I501" s="56">
        <v>15.840381818181822</v>
      </c>
      <c r="J501" s="56" cm="1">
        <f t="array" ref="J501:K501">LINEST(E487:E501,D487:D501)</f>
        <v>-6.3771428571429034</v>
      </c>
      <c r="K501" s="56">
        <v>23.067438095238121</v>
      </c>
      <c r="L501" s="56" cm="1">
        <f t="array" ref="L501:M501">LINEST(E482:E501,D482:D501)</f>
        <v>-5.4243609022556418</v>
      </c>
      <c r="M501" s="56">
        <v>22.616409022556393</v>
      </c>
      <c r="N501" s="56" cm="1">
        <f t="array" ref="N501:O501">LINEST(E477:E501,D477:D501)</f>
        <v>-2.9298461538461535</v>
      </c>
      <c r="O501" s="56">
        <v>21.438771538461541</v>
      </c>
      <c r="P501" s="56" cm="1">
        <f t="array" ref="P501:Q501">LINEST(E472:E501,D472:D501)</f>
        <v>-9.4873414905450453</v>
      </c>
      <c r="Q501" s="56">
        <v>24.511687282165362</v>
      </c>
      <c r="R501" s="56" cm="1">
        <f t="array" ref="R501:S501">LINEST(F492:F501,D492:D501)</f>
        <v>-76.058181818181978</v>
      </c>
      <c r="S501" s="56">
        <v>36.739763636363712</v>
      </c>
      <c r="T501" s="56" cm="1">
        <f t="array" ref="T501:U501">LINEST(F487:F501,D487:D501)</f>
        <v>1.8771428571427751</v>
      </c>
      <c r="U501" s="56">
        <v>-0.36831309523805644</v>
      </c>
      <c r="V501" s="56" cm="1">
        <f t="array" ref="V501:W501">LINEST(F482:F501,D482:D501)</f>
        <v>5.1699248120300467</v>
      </c>
      <c r="W501" s="56">
        <v>-1.9387481203007391</v>
      </c>
      <c r="X501" s="56" cm="1">
        <f t="array" ref="X501:Y501">LINEST(F477:F501,D477:D501)</f>
        <v>22.048615384615381</v>
      </c>
      <c r="Y501" s="56">
        <v>-9.899943846153846</v>
      </c>
      <c r="Z501" s="56" cm="1">
        <f t="array" ref="Z501:AA501">LINEST(F472:F501,D472:D501)</f>
        <v>49.786518353726358</v>
      </c>
      <c r="AA501" s="56">
        <v>-22.929613051538741</v>
      </c>
      <c r="AB501" s="37" cm="1">
        <f t="array" ref="AB501:AC501">LINEST(G492:G501,D492:D501)</f>
        <v>5.9781818181818416</v>
      </c>
      <c r="AC501" s="59">
        <v>-2.5102969696969808</v>
      </c>
      <c r="AD501" s="37" cm="1">
        <f t="array" ref="AD501:AE501">LINEST(G487:G501,D487:D501)</f>
        <v>23.785714285714278</v>
      </c>
      <c r="AE501" s="59">
        <v>-10.998232142857137</v>
      </c>
      <c r="AF501" s="37" cm="1">
        <f t="array" ref="AF501:AG501">LINEST(G482:G501,D482:D501)</f>
        <v>22.514887218045136</v>
      </c>
      <c r="AG501" s="59">
        <v>-10.395972180451139</v>
      </c>
      <c r="AH501" s="37" cm="1">
        <f t="array" ref="AH501:AI501">LINEST(G477:G501,D477:D501)</f>
        <v>22.901538461538465</v>
      </c>
      <c r="AI501" s="59">
        <v>-10.579634615384618</v>
      </c>
      <c r="AJ501" s="37" cm="1">
        <f t="array" ref="AJ501:AK501">LINEST(G472:G501,D472:D501)</f>
        <v>14.595417130144581</v>
      </c>
      <c r="AK501" s="59">
        <v>-6.6821632925472629</v>
      </c>
    </row>
    <row r="502" spans="1:37" x14ac:dyDescent="0.25">
      <c r="A502" s="61">
        <v>502</v>
      </c>
      <c r="B502" s="14">
        <f t="shared" si="8"/>
        <v>496</v>
      </c>
      <c r="C502" s="15">
        <v>44022</v>
      </c>
      <c r="D502" s="16">
        <v>0.48291666666666666</v>
      </c>
      <c r="E502" s="36">
        <v>20.07</v>
      </c>
      <c r="F502" s="36">
        <v>0.23</v>
      </c>
      <c r="G502" s="36">
        <v>0.34</v>
      </c>
      <c r="H502" s="56" cm="1">
        <f t="array" ref="H502:I502">LINEST(E493:E502,D493:D502)</f>
        <v>7.374545454545486</v>
      </c>
      <c r="I502" s="56">
        <v>16.507799999999985</v>
      </c>
      <c r="J502" s="56" cm="1">
        <f t="array" ref="J502:K502">LINEST(E488:E502,D488:D502)</f>
        <v>-5.1171428571429143</v>
      </c>
      <c r="K502" s="56">
        <v>22.477403571428599</v>
      </c>
      <c r="L502" s="56" cm="1">
        <f t="array" ref="L502:M502">LINEST(E483:E502,D483:D502)</f>
        <v>-5.0995488721804518</v>
      </c>
      <c r="M502" s="56">
        <v>22.469371428571431</v>
      </c>
      <c r="N502" s="56" cm="1">
        <f t="array" ref="N502:O502">LINEST(E478:E502,D478:D502)</f>
        <v>-2.7360000000000002</v>
      </c>
      <c r="O502" s="56">
        <v>21.350860000000001</v>
      </c>
      <c r="P502" s="56" cm="1">
        <f t="array" ref="P502:Q502">LINEST(E473:E502,D473:D502)</f>
        <v>-3.0049388209121219</v>
      </c>
      <c r="Q502" s="56">
        <v>21.477285576566551</v>
      </c>
      <c r="R502" s="56" cm="1">
        <f t="array" ref="R502:S502">LINEST(F493:F502,D493:D502)</f>
        <v>-57.643636363636567</v>
      </c>
      <c r="S502" s="56">
        <v>27.963800000000099</v>
      </c>
      <c r="T502" s="56" cm="1">
        <f t="array" ref="T502:U502">LINEST(F488:F502,D488:D502)</f>
        <v>-33.891428571428619</v>
      </c>
      <c r="U502" s="56">
        <v>16.634569047619067</v>
      </c>
      <c r="V502" s="56" cm="1">
        <f t="array" ref="V502:W502">LINEST(F483:F502,D483:D502)</f>
        <v>7.887518796992441</v>
      </c>
      <c r="W502" s="56">
        <v>-3.2584428571428381</v>
      </c>
      <c r="X502" s="56" cm="1">
        <f t="array" ref="X502:Y502">LINEST(F478:F502,D478:D502)</f>
        <v>19.240615384615396</v>
      </c>
      <c r="Y502" s="56">
        <v>-8.614936923076927</v>
      </c>
      <c r="Z502" s="56" cm="1">
        <f t="array" ref="Z502:AA502">LINEST(F473:F502,D473:D502)</f>
        <v>43.009388209121269</v>
      </c>
      <c r="AA502" s="56">
        <v>-19.804789098998892</v>
      </c>
      <c r="AB502" s="37" cm="1">
        <f t="array" ref="AB502:AC502">LINEST(G493:G502,D493:D502)</f>
        <v>1.0036363636363781</v>
      </c>
      <c r="AC502" s="59">
        <v>-0.13540000000000696</v>
      </c>
      <c r="AD502" s="37" cm="1">
        <f t="array" ref="AD502:AE502">LINEST(G488:G502,D488:D502)</f>
        <v>19.208571428571435</v>
      </c>
      <c r="AE502" s="59">
        <v>-8.8360559523809545</v>
      </c>
      <c r="AF502" s="37" cm="1">
        <f t="array" ref="AF502:AG502">LINEST(G483:G502,D483:D502)</f>
        <v>21.318496240601529</v>
      </c>
      <c r="AG502" s="59">
        <v>-9.8417714285714393</v>
      </c>
      <c r="AH502" s="37" cm="1">
        <f t="array" ref="AH502:AI502">LINEST(G478:G502,D478:D502)</f>
        <v>22.585846153846173</v>
      </c>
      <c r="AI502" s="59">
        <v>-10.441450769230777</v>
      </c>
      <c r="AJ502" s="37" cm="1">
        <f t="array" ref="AJ502:AK502">LINEST(G473:G502,D473:D502)</f>
        <v>16.817085650723001</v>
      </c>
      <c r="AK502" s="59">
        <v>-7.7269068594734769</v>
      </c>
    </row>
    <row r="503" spans="1:37" x14ac:dyDescent="0.25">
      <c r="A503" s="61">
        <v>502</v>
      </c>
      <c r="B503" s="14">
        <f t="shared" si="8"/>
        <v>497</v>
      </c>
      <c r="C503" s="15">
        <v>44023</v>
      </c>
      <c r="D503" s="16">
        <v>0.48430555555555554</v>
      </c>
      <c r="E503" s="36">
        <v>20.07</v>
      </c>
      <c r="F503" s="36">
        <v>0.03</v>
      </c>
      <c r="G503" s="36">
        <v>0.32</v>
      </c>
      <c r="H503" s="56" cm="1">
        <f t="array" ref="H503:I503">LINEST(E494:E503,D494:D503)</f>
        <v>7.156363636363742</v>
      </c>
      <c r="I503" s="56">
        <v>16.610860606060555</v>
      </c>
      <c r="J503" s="56" cm="1">
        <f t="array" ref="J503:K503">LINEST(E489:E503,D489:D503)</f>
        <v>-3.3428571428572176</v>
      </c>
      <c r="K503" s="56">
        <v>21.638464285714321</v>
      </c>
      <c r="L503" s="56" cm="1">
        <f t="array" ref="L503:M503">LINEST(E484:E503,D484:D503)</f>
        <v>-4.5040601503759472</v>
      </c>
      <c r="M503" s="56">
        <v>22.192912781954892</v>
      </c>
      <c r="N503" s="56" cm="1">
        <f t="array" ref="N503:O503">LINEST(E479:E503,D479:D503)</f>
        <v>-2.6639999999999997</v>
      </c>
      <c r="O503" s="56">
        <v>21.32019</v>
      </c>
      <c r="P503" s="56" cm="1">
        <f t="array" ref="P503:Q503">LINEST(E474:E503,D474:D503)</f>
        <v>-2.7678754171301456</v>
      </c>
      <c r="Q503" s="56">
        <v>21.36875550611791</v>
      </c>
      <c r="R503" s="56" cm="1">
        <f t="array" ref="R503:S503">LINEST(F494:F503,D494:D503)</f>
        <v>-38.007272727272856</v>
      </c>
      <c r="S503" s="56">
        <v>18.53258787878794</v>
      </c>
      <c r="T503" s="56" cm="1">
        <f t="array" ref="T503:U503">LINEST(F489:F503,D489:D503)</f>
        <v>-46.722857142857187</v>
      </c>
      <c r="U503" s="56">
        <v>22.741889285714311</v>
      </c>
      <c r="V503" s="56" cm="1">
        <f t="array" ref="V503:W503">LINEST(F484:F503,D484:D503)</f>
        <v>2.7338345864661235</v>
      </c>
      <c r="W503" s="56">
        <v>-0.85843984962404063</v>
      </c>
      <c r="X503" s="56" cm="1">
        <f t="array" ref="X503:Y503">LINEST(F479:F503,D479:D503)</f>
        <v>8.5347692307692107</v>
      </c>
      <c r="Y503" s="56">
        <v>-3.6007899999999915</v>
      </c>
      <c r="Z503" s="56" cm="1">
        <f t="array" ref="Z503:AA503">LINEST(F474:F503,D474:D503)</f>
        <v>34.749010011123502</v>
      </c>
      <c r="AA503" s="56">
        <v>-15.979332146829824</v>
      </c>
      <c r="AB503" s="37" cm="1">
        <f t="array" ref="AB503:AC503">LINEST(G494:G503,D494:D503)</f>
        <v>-1.9636363636363707</v>
      </c>
      <c r="AC503" s="59">
        <v>1.2837272727272762</v>
      </c>
      <c r="AD503" s="37" cm="1">
        <f t="array" ref="AD503:AE503">LINEST(G489:G503,D489:D503)</f>
        <v>14.168571428571447</v>
      </c>
      <c r="AE503" s="59">
        <v>-6.4461678571428678</v>
      </c>
      <c r="AF503" s="37" cm="1">
        <f t="array" ref="AF503:AG503">LINEST(G484:G503,D484:D503)</f>
        <v>19.862255639097761</v>
      </c>
      <c r="AG503" s="59">
        <v>-9.1648293233082789</v>
      </c>
      <c r="AH503" s="37" cm="1">
        <f t="array" ref="AH503:AI503">LINEST(G479:G503,D479:D503)</f>
        <v>21.533538461538487</v>
      </c>
      <c r="AI503" s="59">
        <v>-9.957120000000014</v>
      </c>
      <c r="AJ503" s="37" cm="1">
        <f t="array" ref="AJ503:AK503">LINEST(G474:G503,D474:D503)</f>
        <v>18.215439377085641</v>
      </c>
      <c r="AK503" s="59">
        <v>-8.3916664441972522</v>
      </c>
    </row>
    <row r="504" spans="1:37" x14ac:dyDescent="0.25">
      <c r="A504" s="61">
        <v>502</v>
      </c>
      <c r="B504" s="14">
        <f t="shared" si="8"/>
        <v>498</v>
      </c>
      <c r="C504" s="15">
        <v>44024</v>
      </c>
      <c r="D504" s="16">
        <v>0.48569444444444443</v>
      </c>
      <c r="E504" s="36">
        <v>20.14</v>
      </c>
      <c r="F504" s="36">
        <v>1.97</v>
      </c>
      <c r="G504" s="36">
        <v>0.44</v>
      </c>
      <c r="H504" s="56" cm="1">
        <f t="array" ref="H504:I504">LINEST(E495:E504,D495:D504)</f>
        <v>9.3818181818182715</v>
      </c>
      <c r="I504" s="56">
        <v>15.548939393939348</v>
      </c>
      <c r="J504" s="56" cm="1">
        <f t="array" ref="J504:K504">LINEST(E490:E504,D490:D504)</f>
        <v>0.66857142857139507</v>
      </c>
      <c r="K504" s="56">
        <v>19.731778571428588</v>
      </c>
      <c r="L504" s="56" cm="1">
        <f t="array" ref="L504:M504">LINEST(E485:E504,D485:D504)</f>
        <v>-3.1236090225564044</v>
      </c>
      <c r="M504" s="56">
        <v>21.547405263157902</v>
      </c>
      <c r="N504" s="56" cm="1">
        <f t="array" ref="N504:O504">LINEST(E480:E504,D480:D504)</f>
        <v>-2.403692307692296</v>
      </c>
      <c r="O504" s="56">
        <v>21.205398461538454</v>
      </c>
      <c r="P504" s="56" cm="1">
        <f t="array" ref="P504:Q504">LINEST(E475:E504,D475:D504)</f>
        <v>-2.080711902113451</v>
      </c>
      <c r="Q504" s="56">
        <v>21.051686985539487</v>
      </c>
      <c r="R504" s="56" cm="1">
        <f t="array" ref="R504:S504">LINEST(F495:F504,D495:D504)</f>
        <v>68.640000000000242</v>
      </c>
      <c r="S504" s="56">
        <v>-32.476066666666789</v>
      </c>
      <c r="T504" s="56" cm="1">
        <f t="array" ref="T504:U504">LINEST(F490:F504,D490:D504)</f>
        <v>-9.1028571428572445</v>
      </c>
      <c r="U504" s="56">
        <v>4.9540404761905243</v>
      </c>
      <c r="V504" s="56" cm="1">
        <f t="array" ref="V504:W504">LINEST(F485:F504,D485:D504)</f>
        <v>16.310977443608973</v>
      </c>
      <c r="W504" s="56">
        <v>-7.1904368421052407</v>
      </c>
      <c r="X504" s="56" cm="1">
        <f t="array" ref="X504:Y504">LINEST(F480:F504,D480:D504)</f>
        <v>8.8061538461538387</v>
      </c>
      <c r="Y504" s="56">
        <v>-3.6199307692307667</v>
      </c>
      <c r="Z504" s="56" cm="1">
        <f t="array" ref="Z504:AA504">LINEST(F475:F504,D475:D504)</f>
        <v>35.010100111234728</v>
      </c>
      <c r="AA504" s="56">
        <v>-16.03347994067483</v>
      </c>
      <c r="AB504" s="37" cm="1">
        <f t="array" ref="AB504:AC504">LINEST(G495:G504,D495:D504)</f>
        <v>3.4472727272727393</v>
      </c>
      <c r="AC504" s="59">
        <v>-1.3017757575757636</v>
      </c>
      <c r="AD504" s="37" cm="1">
        <f t="array" ref="AD504:AE504">LINEST(G490:G504,D490:D504)</f>
        <v>12.188571428571452</v>
      </c>
      <c r="AE504" s="59">
        <v>-5.4967547619047732</v>
      </c>
      <c r="AF504" s="37" cm="1">
        <f t="array" ref="AF504:AG504">LINEST(G485:G504,D485:D504)</f>
        <v>19.537443609022571</v>
      </c>
      <c r="AG504" s="59">
        <v>-9.0139421052631654</v>
      </c>
      <c r="AH504" s="37" cm="1">
        <f t="array" ref="AH504:AI504">LINEST(G480:G504,D480:D504)</f>
        <v>20.520000000000028</v>
      </c>
      <c r="AI504" s="59">
        <v>-9.4808500000000162</v>
      </c>
      <c r="AJ504" s="37" cm="1">
        <f t="array" ref="AJ504:AK504">LINEST(G475:G504,D475:D504)</f>
        <v>19.501668520578416</v>
      </c>
      <c r="AK504" s="59">
        <v>-9.0001101223581728</v>
      </c>
    </row>
    <row r="505" spans="1:37" x14ac:dyDescent="0.25">
      <c r="A505" s="61">
        <v>502</v>
      </c>
      <c r="B505" s="14">
        <f t="shared" si="8"/>
        <v>499</v>
      </c>
      <c r="C505" s="15">
        <v>44025</v>
      </c>
      <c r="D505" s="16">
        <v>0.48708333333333331</v>
      </c>
      <c r="E505" s="36">
        <v>20.149999999999999</v>
      </c>
      <c r="F505" s="36">
        <v>0.24</v>
      </c>
      <c r="G505" s="36">
        <v>0.43</v>
      </c>
      <c r="H505" s="56" cm="1">
        <f t="array" ref="H505:I505">LINEST(E496:E505,D496:D505)</f>
        <v>10.690909090909065</v>
      </c>
      <c r="I505" s="56">
        <v>14.92245454545456</v>
      </c>
      <c r="J505" s="56" cm="1">
        <f t="array" ref="J505:K505">LINEST(E491:E505,D491:D505)</f>
        <v>4.9371428571428391</v>
      </c>
      <c r="K505" s="56">
        <v>17.691866666666673</v>
      </c>
      <c r="L505" s="56" cm="1">
        <f t="array" ref="L505:M505">LINEST(E486:E505,D486:D505)</f>
        <v>-1.7648120300752046</v>
      </c>
      <c r="M505" s="56">
        <v>20.909324812030082</v>
      </c>
      <c r="N505" s="56" cm="1">
        <f t="array" ref="N505:O505">LINEST(E481:E505,D481:D505)</f>
        <v>-1.9827692307692231</v>
      </c>
      <c r="O505" s="56">
        <v>21.013927692307689</v>
      </c>
      <c r="P505" s="56" cm="1">
        <f t="array" ref="P505:Q505">LINEST(E476:E505,D476:D505)</f>
        <v>-1.2878309232480509</v>
      </c>
      <c r="Q505" s="56">
        <v>20.683345494994438</v>
      </c>
      <c r="R505" s="56" cm="1">
        <f t="array" ref="R505:S505">LINEST(F496:F505,D496:D505)</f>
        <v>28.756363636363709</v>
      </c>
      <c r="S505" s="56">
        <v>-13.346018181818216</v>
      </c>
      <c r="T505" s="56" cm="1">
        <f t="array" ref="T505:U505">LINEST(F491:F505,D491:D505)</f>
        <v>-30.600000000000151</v>
      </c>
      <c r="U505" s="56">
        <v>15.250583333333402</v>
      </c>
      <c r="V505" s="56" cm="1">
        <f t="array" ref="V505:W505">LINEST(F486:F505,D486:D505)</f>
        <v>2.93413533834581</v>
      </c>
      <c r="W505" s="56">
        <v>-0.84145413533831992</v>
      </c>
      <c r="X505" s="56" cm="1">
        <f t="array" ref="X505:Y505">LINEST(F481:F505,D481:D505)</f>
        <v>7.9421538461538352</v>
      </c>
      <c r="Y505" s="56">
        <v>-3.2417215384615332</v>
      </c>
      <c r="Z505" s="56" cm="1">
        <f t="array" ref="Z505:AA505">LINEST(F476:F505,D476:D505)</f>
        <v>26.123426028921049</v>
      </c>
      <c r="AA505" s="56">
        <v>-11.874521987393411</v>
      </c>
      <c r="AB505" s="37" cm="1">
        <f t="array" ref="AB505:AC505">LINEST(G496:G505,D496:D505)</f>
        <v>5.5418181818181989</v>
      </c>
      <c r="AC505" s="59">
        <v>-2.3036909090909177</v>
      </c>
      <c r="AD505" s="37" cm="1">
        <f t="array" ref="AD505:AE505">LINEST(G491:G505,D491:D505)</f>
        <v>8.7942857142857349</v>
      </c>
      <c r="AE505" s="59">
        <v>-3.8667166666666759</v>
      </c>
      <c r="AF505" s="37" cm="1">
        <f t="array" ref="AF505:AG505">LINEST(G486:G505,D486:D505)</f>
        <v>18.227368421052653</v>
      </c>
      <c r="AG505" s="59">
        <v>-8.3942473684210643</v>
      </c>
      <c r="AH505" s="37" cm="1">
        <f t="array" ref="AH505:AI505">LINEST(G481:G505,D481:D505)</f>
        <v>19.517538461538493</v>
      </c>
      <c r="AI505" s="59">
        <v>-9.0101753846153976</v>
      </c>
      <c r="AJ505" s="37" cm="1">
        <f t="array" ref="AJ505:AK505">LINEST(G476:G505,D476:D505)</f>
        <v>20.044671857619583</v>
      </c>
      <c r="AK505" s="59">
        <v>-9.2617481646273649</v>
      </c>
    </row>
    <row r="506" spans="1:37" x14ac:dyDescent="0.25">
      <c r="A506" s="61">
        <v>502</v>
      </c>
      <c r="B506" s="14">
        <f t="shared" si="8"/>
        <v>500</v>
      </c>
      <c r="C506" s="15">
        <v>44026</v>
      </c>
      <c r="D506" s="16">
        <v>0.4884722222222222</v>
      </c>
      <c r="E506" s="36">
        <v>20.170000000000002</v>
      </c>
      <c r="F506" s="36">
        <v>0.85</v>
      </c>
      <c r="G506" s="36">
        <v>0.46</v>
      </c>
      <c r="H506" s="56" cm="1">
        <f t="array" ref="H506:I506">LINEST(E497:E506,D497:D506)</f>
        <v>12.349090909091039</v>
      </c>
      <c r="I506" s="56">
        <v>14.123993939393873</v>
      </c>
      <c r="J506" s="56" cm="1">
        <f t="array" ref="J506:K506">LINEST(E492:E506,D492:D506)</f>
        <v>10.44000000000006</v>
      </c>
      <c r="K506" s="56">
        <v>15.04784999999997</v>
      </c>
      <c r="L506" s="56" cm="1">
        <f t="array" ref="L506:M506">LINEST(E487:E506,D487:D506)</f>
        <v>0.10827067669171668</v>
      </c>
      <c r="M506" s="56">
        <v>20.022541353383467</v>
      </c>
      <c r="N506" s="56" cm="1">
        <f t="array" ref="N506:O506">LINEST(E482:E506,D482:D506)</f>
        <v>-1.4012307692307597</v>
      </c>
      <c r="O506" s="56">
        <v>20.745908461538459</v>
      </c>
      <c r="P506" s="56" cm="1">
        <f t="array" ref="P506:Q506">LINEST(E477:E506,D477:D506)</f>
        <v>-0.74002224694103635</v>
      </c>
      <c r="Q506" s="56">
        <v>20.430577085650718</v>
      </c>
      <c r="R506" s="56" cm="1">
        <f t="array" ref="R506:S506">LINEST(F497:F506,D497:D506)</f>
        <v>58.560000000000201</v>
      </c>
      <c r="S506" s="56">
        <v>-27.752933333333434</v>
      </c>
      <c r="T506" s="56" cm="1">
        <f t="array" ref="T506:U506">LINEST(F492:F506,D492:D506)</f>
        <v>-13.988571428571555</v>
      </c>
      <c r="U506" s="56">
        <v>7.312361904761965</v>
      </c>
      <c r="V506" s="56" cm="1">
        <f t="array" ref="V506:W506">LINEST(F487:F506,D487:D506)</f>
        <v>8.3151879699247591</v>
      </c>
      <c r="W506" s="56">
        <v>-3.3980240601503509</v>
      </c>
      <c r="X506" s="56" cm="1">
        <f t="array" ref="X506:Y506">LINEST(F482:F506,D482:D506)</f>
        <v>8.4738461538461447</v>
      </c>
      <c r="Y506" s="56">
        <v>-3.4792076923076882</v>
      </c>
      <c r="Z506" s="56" cm="1">
        <f t="array" ref="Z506:AA506">LINEST(F477:F506,D477:D506)</f>
        <v>19.512880978865397</v>
      </c>
      <c r="AA506" s="56">
        <v>-8.7365325917686292</v>
      </c>
      <c r="AB506" s="37" cm="1">
        <f t="array" ref="AB506:AC506">LINEST(G497:G506,D497:D506)</f>
        <v>9.3818181818182147</v>
      </c>
      <c r="AC506" s="59">
        <v>-4.1531212121212278</v>
      </c>
      <c r="AD506" s="37" cm="1">
        <f t="array" ref="AD506:AE506">LINEST(G492:G506,D492:D506)</f>
        <v>6.9685714285714484</v>
      </c>
      <c r="AE506" s="59">
        <v>-2.9828702380952477</v>
      </c>
      <c r="AF506" s="37" cm="1">
        <f t="array" ref="AF506:AG506">LINEST(G487:G506,D487:D506)</f>
        <v>17.458646616541383</v>
      </c>
      <c r="AG506" s="59">
        <v>-8.0302067669173081</v>
      </c>
      <c r="AH506" s="37" cm="1">
        <f t="array" ref="AH506:AI506">LINEST(G482:G506,D482:D506)</f>
        <v>18.620307692307716</v>
      </c>
      <c r="AI506" s="59">
        <v>-8.5867646153846273</v>
      </c>
      <c r="AJ506" s="37" cm="1">
        <f t="array" ref="AJ506:AK506">LINEST(G477:G506,D477:D506)</f>
        <v>19.998220244716361</v>
      </c>
      <c r="AK506" s="59">
        <v>-9.2441664812754976</v>
      </c>
    </row>
    <row r="507" spans="1:37" x14ac:dyDescent="0.25">
      <c r="A507" s="61">
        <v>502</v>
      </c>
      <c r="B507" s="14">
        <f t="shared" si="8"/>
        <v>501</v>
      </c>
      <c r="C507" s="15">
        <v>44027</v>
      </c>
      <c r="D507" s="16">
        <v>0.48986111111111108</v>
      </c>
      <c r="E507" s="36">
        <v>20.170000000000002</v>
      </c>
      <c r="F507" s="36">
        <v>-0.02</v>
      </c>
      <c r="G507" s="36">
        <v>0.42</v>
      </c>
      <c r="H507" s="56" cm="1">
        <f t="array" ref="H507:I507">LINEST(E498:E507,D498:D507)</f>
        <v>13.090909090909282</v>
      </c>
      <c r="I507" s="56">
        <v>13.763090909090819</v>
      </c>
      <c r="J507" s="56" cm="1">
        <f t="array" ref="J507:K507">LINEST(E493:E507,D493:D507)</f>
        <v>10.285714285714384</v>
      </c>
      <c r="K507" s="56">
        <v>15.123428571428525</v>
      </c>
      <c r="L507" s="56" cm="1">
        <f t="array" ref="L507:M507">LINEST(E488:E507,D488:D507)</f>
        <v>1.5049624060150364</v>
      </c>
      <c r="M507" s="56">
        <v>19.359634586466168</v>
      </c>
      <c r="N507" s="56" cm="1">
        <f t="array" ref="N507:O507">LINEST(E483:E507,D483:D507)</f>
        <v>-0.65353846153844342</v>
      </c>
      <c r="O507" s="56">
        <v>20.396450769230761</v>
      </c>
      <c r="P507" s="56" cm="1">
        <f t="array" ref="P507:Q507">LINEST(E478:E507,D478:D507)</f>
        <v>-0.21143492769742647</v>
      </c>
      <c r="Q507" s="56">
        <v>20.185315684093428</v>
      </c>
      <c r="R507" s="56" cm="1">
        <f t="array" ref="R507:S507">LINEST(F498:F507,D498:D507)</f>
        <v>20.160000000000071</v>
      </c>
      <c r="S507" s="56">
        <v>-9.2756000000000327</v>
      </c>
      <c r="T507" s="56" cm="1">
        <f t="array" ref="T507:U507">LINEST(F493:F507,D493:D507)</f>
        <v>-11.957142857142941</v>
      </c>
      <c r="U507" s="56">
        <v>6.2704226190476602</v>
      </c>
      <c r="V507" s="56" cm="1">
        <f t="array" ref="V507:W507">LINEST(F488:F507,D488:D507)</f>
        <v>-14.914285714285766</v>
      </c>
      <c r="W507" s="56">
        <v>7.7106428571428802</v>
      </c>
      <c r="X507" s="56" cm="1">
        <f t="array" ref="X507:Y507">LINEST(F483:F507,D483:D507)</f>
        <v>7.9975384615384524</v>
      </c>
      <c r="Y507" s="56">
        <v>-3.3043907692307646</v>
      </c>
      <c r="Z507" s="56" cm="1">
        <f t="array" ref="Z507:AA507">LINEST(F478:F507,D478:D507)</f>
        <v>15.904071190211367</v>
      </c>
      <c r="AA507" s="56">
        <v>-7.0714956618465044</v>
      </c>
      <c r="AB507" s="37" cm="1">
        <f t="array" ref="AB507:AC507">LINEST(G498:G507,D498:D507)</f>
        <v>9.8181818181818539</v>
      </c>
      <c r="AC507" s="59">
        <v>-4.3691818181818345</v>
      </c>
      <c r="AD507" s="37" cm="1">
        <f t="array" ref="AD507:AE507">LINEST(G493:G507,D493:D507)</f>
        <v>5.4257142857143021</v>
      </c>
      <c r="AE507" s="59">
        <v>-2.2384297619047699</v>
      </c>
      <c r="AF507" s="37" cm="1">
        <f t="array" ref="AF507:AG507">LINEST(G488:G507,D488:D507)</f>
        <v>14.849323308270701</v>
      </c>
      <c r="AG507" s="59">
        <v>-6.7846774436090334</v>
      </c>
      <c r="AH507" s="37" cm="1">
        <f t="array" ref="AH507:AI507">LINEST(G483:G507,D483:D507)</f>
        <v>17.728615384615409</v>
      </c>
      <c r="AI507" s="59">
        <v>-8.1686823076923201</v>
      </c>
      <c r="AJ507" s="37" cm="1">
        <f t="array" ref="AJ507:AK507">LINEST(G478:G507,D478:D507)</f>
        <v>19.637819799777546</v>
      </c>
      <c r="AK507" s="59">
        <v>-9.0809870226177303</v>
      </c>
    </row>
    <row r="508" spans="1:37" x14ac:dyDescent="0.25">
      <c r="A508" s="61">
        <v>502</v>
      </c>
      <c r="B508" s="14">
        <f t="shared" si="8"/>
        <v>502</v>
      </c>
      <c r="C508" s="15">
        <v>44028</v>
      </c>
      <c r="D508" s="16">
        <v>0.49124999999999996</v>
      </c>
      <c r="E508" s="36">
        <v>19.96</v>
      </c>
      <c r="F508" s="36">
        <v>-0.02</v>
      </c>
      <c r="G508" s="36">
        <v>0.39</v>
      </c>
      <c r="H508" s="56" cm="1">
        <f t="array" ref="H508:I508">LINEST(E499:E508,D499:D508)</f>
        <v>4.2763636363637918</v>
      </c>
      <c r="I508" s="56">
        <v>18.013963636363563</v>
      </c>
      <c r="J508" s="56" cm="1">
        <f t="array" ref="J508:K508">LINEST(E494:E508,D494:D508)</f>
        <v>6.762857142857265</v>
      </c>
      <c r="K508" s="56">
        <v>16.804163095238035</v>
      </c>
      <c r="L508" s="56" cm="1">
        <f t="array" ref="L508:M508">LINEST(E489:E508,D489:D508)</f>
        <v>0.90406015037593457</v>
      </c>
      <c r="M508" s="56">
        <v>19.636309022556389</v>
      </c>
      <c r="N508" s="56" cm="1">
        <f t="array" ref="N508:O508">LINEST(E484:E508,D484:D508)</f>
        <v>-1.1907692307692139</v>
      </c>
      <c r="O508" s="56">
        <v>20.645519230769224</v>
      </c>
      <c r="P508" s="56" cm="1">
        <f t="array" ref="P508:Q508">LINEST(E479:E508,D479:D508)</f>
        <v>-0.77686318131255094</v>
      </c>
      <c r="Q508" s="56">
        <v>20.447655543196131</v>
      </c>
      <c r="R508" s="56" cm="1">
        <f t="array" ref="R508:S508">LINEST(F499:F508,D499:D508)</f>
        <v>-21.992727272727358</v>
      </c>
      <c r="S508" s="56">
        <v>11.138472727272768</v>
      </c>
      <c r="T508" s="56" cm="1">
        <f t="array" ref="T508:U508">LINEST(F494:F508,D494:D508)</f>
        <v>-6.6085714285714552</v>
      </c>
      <c r="U508" s="56">
        <v>3.6255440476190608</v>
      </c>
      <c r="V508" s="56" cm="1">
        <f t="array" ref="V508:W508">LINEST(F489:F508,D489:D508)</f>
        <v>-22.801804511278259</v>
      </c>
      <c r="W508" s="56">
        <v>11.477529323308303</v>
      </c>
      <c r="X508" s="56" cm="1">
        <f t="array" ref="X508:Y508">LINEST(F484:F508,D484:D508)</f>
        <v>3.8824615384615226</v>
      </c>
      <c r="Y508" s="56">
        <v>-1.3781515384615308</v>
      </c>
      <c r="Z508" s="56" cm="1">
        <f t="array" ref="Z508:AA508">LINEST(F479:F508,D479:D508)</f>
        <v>7.8551279199110082</v>
      </c>
      <c r="AA508" s="56">
        <v>-3.2746380422691868</v>
      </c>
      <c r="AB508" s="37" cm="1">
        <f t="array" ref="AB508:AC508">LINEST(G499:G508,D499:D508)</f>
        <v>7.4181818181818464</v>
      </c>
      <c r="AC508" s="59">
        <v>-3.2118181818181957</v>
      </c>
      <c r="AD508" s="37" cm="1">
        <f t="array" ref="AD508:AE508">LINEST(G494:G508,D494:D508)</f>
        <v>4.4742857142857302</v>
      </c>
      <c r="AE508" s="59">
        <v>-1.7818261904761985</v>
      </c>
      <c r="AF508" s="37" cm="1">
        <f t="array" ref="AF508:AG508">LINEST(G489:G508,D489:D508)</f>
        <v>11.93684210526318</v>
      </c>
      <c r="AG508" s="59">
        <v>-5.3909736842105378</v>
      </c>
      <c r="AH508" s="37" cm="1">
        <f t="array" ref="AH508:AI508">LINEST(G484:G508,D484:D508)</f>
        <v>16.620923076923109</v>
      </c>
      <c r="AI508" s="59">
        <v>-7.6484130769230916</v>
      </c>
      <c r="AJ508" s="37" cm="1">
        <f t="array" ref="AJ508:AK508">LINEST(G479:G508,D479:D508)</f>
        <v>18.731212458287018</v>
      </c>
      <c r="AK508" s="59">
        <v>-8.6591489803485526</v>
      </c>
    </row>
    <row r="509" spans="1:37" x14ac:dyDescent="0.25">
      <c r="A509" s="61">
        <v>502</v>
      </c>
      <c r="B509" s="14">
        <f t="shared" si="8"/>
        <v>503</v>
      </c>
      <c r="C509" s="15">
        <v>44029</v>
      </c>
      <c r="D509" s="16">
        <v>0.4926388888888889</v>
      </c>
      <c r="E509" s="36">
        <v>20</v>
      </c>
      <c r="F509" s="36">
        <v>-0.02</v>
      </c>
      <c r="G509" s="36">
        <v>0.36</v>
      </c>
      <c r="H509" s="56" cm="1">
        <f t="array" ref="H509:I509">LINEST(E500:E509,D500:D509)</f>
        <v>-1.4836363636363126</v>
      </c>
      <c r="I509" s="56">
        <v>20.805624242424216</v>
      </c>
      <c r="J509" s="56" cm="1">
        <f t="array" ref="J509:K509">LINEST(E495:E509,D495:D509)</f>
        <v>4.2171428571429237</v>
      </c>
      <c r="K509" s="56">
        <v>18.024804761904726</v>
      </c>
      <c r="L509" s="56" cm="1">
        <f t="array" ref="L509:M509">LINEST(E490:E509,D490:D509)</f>
        <v>1.3533834586466256</v>
      </c>
      <c r="M509" s="56">
        <v>19.411127819548867</v>
      </c>
      <c r="N509" s="56" cm="1">
        <f t="array" ref="N509:O509">LINEST(E485:E509,D485:D509)</f>
        <v>-1.367999999999991</v>
      </c>
      <c r="O509" s="56">
        <v>20.726329999999994</v>
      </c>
      <c r="P509" s="56" cm="1">
        <f t="array" ref="P509:Q509">LINEST(E480:E509,D480:D509)</f>
        <v>-1.3134593993325707</v>
      </c>
      <c r="Q509" s="56">
        <v>20.700609566184639</v>
      </c>
      <c r="R509" s="56" cm="1">
        <f t="array" ref="R509:S509">LINEST(F500:F509,D500:D509)</f>
        <v>-24.610909090909221</v>
      </c>
      <c r="S509" s="56">
        <v>12.35847272727279</v>
      </c>
      <c r="T509" s="56" cm="1">
        <f t="array" ref="T509:U509">LINEST(F495:F509,D495:D509)</f>
        <v>2.0571428571428219</v>
      </c>
      <c r="U509" s="56">
        <v>-0.63609523809522117</v>
      </c>
      <c r="V509" s="56" cm="1">
        <f t="array" ref="V509:W509">LINEST(F490:F509,D490:D509)</f>
        <v>-22.200902255639143</v>
      </c>
      <c r="W509" s="56">
        <v>11.161599248120323</v>
      </c>
      <c r="X509" s="56" cm="1">
        <f t="array" ref="X509:Y509">LINEST(F485:F509,D485:D509)</f>
        <v>-1.0246153846154047</v>
      </c>
      <c r="Y509" s="56">
        <v>0.94208846153847114</v>
      </c>
      <c r="Z509" s="56" cm="1">
        <f t="array" ref="Z509:AA509">LINEST(F480:F509,D480:D509)</f>
        <v>-1.4464071190211545</v>
      </c>
      <c r="AA509" s="56">
        <v>1.1430940304041624</v>
      </c>
      <c r="AB509" s="37" cm="1">
        <f t="array" ref="AB509:AC509">LINEST(G500:G509,D500:D509)</f>
        <v>5.1490909090908978</v>
      </c>
      <c r="AC509" s="59">
        <v>-2.1184606060606002</v>
      </c>
      <c r="AD509" s="37" cm="1">
        <f t="array" ref="AD509:AE509">LINEST(G495:G509,D495:D509)</f>
        <v>4.397142857142863</v>
      </c>
      <c r="AE509" s="59">
        <v>-1.7521202380952414</v>
      </c>
      <c r="AF509" s="37" cm="1">
        <f t="array" ref="AF509:AG509">LINEST(G490:G509,D490:D509)</f>
        <v>9.2625563909774566</v>
      </c>
      <c r="AG509" s="59">
        <v>-4.1093812030075254</v>
      </c>
      <c r="AH509" s="37" cm="1">
        <f t="array" ref="AH509:AI509">LINEST(G485:G509,D485:D509)</f>
        <v>15.264000000000019</v>
      </c>
      <c r="AI509" s="59">
        <v>-7.0088400000000091</v>
      </c>
      <c r="AJ509" s="37" cm="1">
        <f t="array" ref="AJ509:AK509">LINEST(G480:G509,D480:D509)</f>
        <v>17.175884315906583</v>
      </c>
      <c r="AK509" s="59">
        <v>-7.9272720059325286</v>
      </c>
    </row>
    <row r="510" spans="1:37" x14ac:dyDescent="0.25">
      <c r="A510" s="61">
        <v>502</v>
      </c>
      <c r="B510" s="14">
        <f t="shared" si="8"/>
        <v>504</v>
      </c>
      <c r="C510" s="15">
        <v>44030</v>
      </c>
      <c r="D510" s="16">
        <v>0.49402777777777779</v>
      </c>
      <c r="E510" s="36">
        <v>20.05</v>
      </c>
      <c r="F510" s="36">
        <v>-0.02</v>
      </c>
      <c r="G510" s="36">
        <v>0.33</v>
      </c>
      <c r="H510" s="56" cm="1">
        <f t="array" ref="H510:I510">LINEST(E501:E510,D501:D510)</f>
        <v>-4.4509090909090023</v>
      </c>
      <c r="I510" s="56">
        <v>22.255054545454506</v>
      </c>
      <c r="J510" s="56" cm="1">
        <f t="array" ref="J510:K510">LINEST(E496:E510,D496:D510)</f>
        <v>2.5457142857143191</v>
      </c>
      <c r="K510" s="56">
        <v>18.832429761904748</v>
      </c>
      <c r="L510" s="56" cm="1">
        <f t="array" ref="L510:M510">LINEST(E491:E510,D491:D510)</f>
        <v>2.5010526315789821</v>
      </c>
      <c r="M510" s="56">
        <v>18.851410526315771</v>
      </c>
      <c r="N510" s="56" cm="1">
        <f t="array" ref="N510:O510">LINEST(E486:E510,D486:D510)</f>
        <v>-1.2129230769230588</v>
      </c>
      <c r="O510" s="56">
        <v>20.651402307692301</v>
      </c>
      <c r="P510" s="56" cm="1">
        <f t="array" ref="P510:Q510">LINEST(E481:E510,D481:D510)</f>
        <v>-1.5024694104560354</v>
      </c>
      <c r="Q510" s="56">
        <v>20.791336892843887</v>
      </c>
      <c r="R510" s="56" cm="1">
        <f t="array" ref="R510:S510">LINEST(F501:F510,D501:D510)</f>
        <v>-48.218181818181897</v>
      </c>
      <c r="S510" s="56">
        <v>23.882757575757616</v>
      </c>
      <c r="T510" s="56" cm="1">
        <f t="array" ref="T510:U510">LINEST(F496:F510,D496:D510)</f>
        <v>-17.022857142857227</v>
      </c>
      <c r="U510" s="56">
        <v>8.6162642857143261</v>
      </c>
      <c r="V510" s="56" cm="1">
        <f t="array" ref="V510:W510">LINEST(F491:F510,D491:D510)</f>
        <v>-34.635789473684305</v>
      </c>
      <c r="W510" s="56">
        <v>17.175042105263202</v>
      </c>
      <c r="X510" s="56" cm="1">
        <f t="array" ref="X510:Y510">LINEST(F486:F510,D486:D510)</f>
        <v>-10.401230769230798</v>
      </c>
      <c r="Y510" s="56">
        <v>5.4351430769230902</v>
      </c>
      <c r="Z510" s="56" cm="1">
        <f t="array" ref="Z510:AA510">LINEST(F481:F510,D481:D510)</f>
        <v>-2.7790878754171495</v>
      </c>
      <c r="AA510" s="56">
        <v>1.7546455320726828</v>
      </c>
      <c r="AB510" s="37" cm="1">
        <f t="array" ref="AB510:AC510">LINEST(G501:G510,D501:D510)</f>
        <v>1.2218181818181493</v>
      </c>
      <c r="AC510" s="59">
        <v>-0.21197575757574172</v>
      </c>
      <c r="AD510" s="37" cm="1">
        <f t="array" ref="AD510:AE510">LINEST(G496:G510,D496:D510)</f>
        <v>2.8028571428571389</v>
      </c>
      <c r="AE510" s="59">
        <v>-0.98610595238095056</v>
      </c>
      <c r="AF510" s="37" cm="1">
        <f t="array" ref="AF510:AG510">LINEST(G491:G510,D491:D510)</f>
        <v>5.8195488721804569</v>
      </c>
      <c r="AG510" s="59">
        <v>-2.4517330827067694</v>
      </c>
      <c r="AH510" s="37" cm="1">
        <f t="array" ref="AH510:AI510">LINEST(G486:G510,D486:D510)</f>
        <v>13.259076923076934</v>
      </c>
      <c r="AI510" s="59">
        <v>-6.0561676923076968</v>
      </c>
      <c r="AJ510" s="37" cm="1">
        <f t="array" ref="AJ510:AK510">LINEST(G481:G510,D481:D510)</f>
        <v>15.60774193548389</v>
      </c>
      <c r="AK510" s="59">
        <v>-7.1883354838709774</v>
      </c>
    </row>
    <row r="511" spans="1:37" x14ac:dyDescent="0.25">
      <c r="A511" s="61">
        <v>502</v>
      </c>
      <c r="B511" s="14">
        <f t="shared" si="8"/>
        <v>505</v>
      </c>
      <c r="C511" s="15">
        <v>44031</v>
      </c>
      <c r="D511" s="16">
        <v>0.49541666666666667</v>
      </c>
      <c r="E511" s="36">
        <v>20.059999999999999</v>
      </c>
      <c r="F511" s="36">
        <v>0.3</v>
      </c>
      <c r="G511" s="36">
        <v>0.33</v>
      </c>
      <c r="H511" s="56" cm="1">
        <f t="array" ref="H511:I511">LINEST(E502:E511,D502:D511)</f>
        <v>-6.5454545454545832</v>
      </c>
      <c r="I511" s="56">
        <v>23.285818181818204</v>
      </c>
      <c r="J511" s="56" cm="1">
        <f t="array" ref="J511:K511">LINEST(E497:E511,D497:D511)</f>
        <v>1.3114285714286</v>
      </c>
      <c r="K511" s="56">
        <v>19.431713095238081</v>
      </c>
      <c r="L511" s="56" cm="1">
        <f t="array" ref="L511:M511">LINEST(E492:E511,D492:D511)</f>
        <v>4.3362406015037926</v>
      </c>
      <c r="M511" s="56">
        <v>17.955468421052618</v>
      </c>
      <c r="N511" s="56" cm="1">
        <f t="array" ref="N511:O511">LINEST(E487:E511,D487:D511)</f>
        <v>-0.73661538461538489</v>
      </c>
      <c r="O511" s="56">
        <v>20.421454615384615</v>
      </c>
      <c r="P511" s="56" cm="1">
        <f t="array" ref="P511:Q511">LINEST(E482:E511,D482:D511)</f>
        <v>-1.588965517241367</v>
      </c>
      <c r="Q511" s="56">
        <v>20.833866666666658</v>
      </c>
      <c r="R511" s="56" cm="1">
        <f t="array" ref="R511:S511">LINEST(F502:F511,D502:D511)</f>
        <v>-49.396363636363589</v>
      </c>
      <c r="S511" s="56">
        <v>24.517054545454521</v>
      </c>
      <c r="T511" s="56" cm="1">
        <f t="array" ref="T511:U511">LINEST(F497:F511,D497:D511)</f>
        <v>-9.5142857142857764</v>
      </c>
      <c r="U511" s="56">
        <v>4.9597023809524119</v>
      </c>
      <c r="V511" s="56" cm="1">
        <f t="array" ref="V511:W511">LINEST(F492:F511,D492:D511)</f>
        <v>-28.393984962406101</v>
      </c>
      <c r="W511" s="56">
        <v>14.164710526315831</v>
      </c>
      <c r="X511" s="56" cm="1">
        <f t="array" ref="X511:Y511">LINEST(F487:F511,D487:D511)</f>
        <v>-9.5150769230769416</v>
      </c>
      <c r="Y511" s="56">
        <v>5.0073430769230862</v>
      </c>
      <c r="Z511" s="56" cm="1">
        <f t="array" ref="Z511:AA511">LINEST(F482:F511,D482:D511)</f>
        <v>-4.4000889877641978</v>
      </c>
      <c r="AA511" s="56">
        <v>2.5309311827957064</v>
      </c>
      <c r="AB511" s="37" cm="1">
        <f t="array" ref="AB511:AC511">LINEST(G502:G511,D502:D511)</f>
        <v>-2.5309090909091188</v>
      </c>
      <c r="AC511" s="59">
        <v>1.6200363636363773</v>
      </c>
      <c r="AD511" s="37" cm="1">
        <f t="array" ref="AD511:AE511">LINEST(G497:G511,D497:D511)</f>
        <v>1.8257142857142747</v>
      </c>
      <c r="AE511" s="59">
        <v>-0.51740595238094711</v>
      </c>
      <c r="AF511" s="37" cm="1">
        <f t="array" ref="AF511:AG511">LINEST(G492:G511,D492:D511)</f>
        <v>3.1885714285714295</v>
      </c>
      <c r="AG511" s="59">
        <v>-1.1811000000000005</v>
      </c>
      <c r="AH511" s="37" cm="1">
        <f t="array" ref="AH511:AI511">LINEST(G487:G511,D487:D511)</f>
        <v>11.525538461538471</v>
      </c>
      <c r="AI511" s="59">
        <v>-5.2306515384615428</v>
      </c>
      <c r="AJ511" s="37" cm="1">
        <f t="array" ref="AJ511:AK511">LINEST(G482:G511,D482:D511)</f>
        <v>14.049210233592891</v>
      </c>
      <c r="AK511" s="59">
        <v>-6.4509440860215106</v>
      </c>
    </row>
    <row r="512" spans="1:37" x14ac:dyDescent="0.25">
      <c r="A512" s="61">
        <v>502</v>
      </c>
      <c r="B512" s="14">
        <f t="shared" si="8"/>
        <v>506</v>
      </c>
      <c r="C512" s="15">
        <v>44032</v>
      </c>
      <c r="D512" s="16">
        <v>0.49680555555555556</v>
      </c>
      <c r="E512" s="36">
        <v>20.059999999999999</v>
      </c>
      <c r="F512" s="36">
        <v>0.11</v>
      </c>
      <c r="G512" s="36">
        <v>0.31</v>
      </c>
      <c r="H512" s="56" cm="1">
        <f t="array" ref="H512:I512">LINEST(E503:E512,D503:D512)</f>
        <v>-8.1600000000000872</v>
      </c>
      <c r="I512" s="56">
        <v>24.085933333333379</v>
      </c>
      <c r="J512" s="56" cm="1">
        <f t="array" ref="J512:K512">LINEST(E498:E512,D498:D512)</f>
        <v>0.15428571428570706</v>
      </c>
      <c r="K512" s="56">
        <v>19.996183333333335</v>
      </c>
      <c r="L512" s="56" cm="1">
        <f t="array" ref="L512:M512">LINEST(E493:E512,D493:D512)</f>
        <v>3.1506766917293372</v>
      </c>
      <c r="M512" s="56">
        <v>18.529297744360896</v>
      </c>
      <c r="N512" s="56" cm="1">
        <f t="array" ref="N512:O512">LINEST(E488:E512,D488:D512)</f>
        <v>-0.4984615384615535</v>
      </c>
      <c r="O512" s="56">
        <v>20.306130769230776</v>
      </c>
      <c r="P512" s="56" cm="1">
        <f t="array" ref="P512:Q512">LINEST(E483:E512,D483:D512)</f>
        <v>-1.5200889877641772</v>
      </c>
      <c r="Q512" s="56">
        <v>20.801575750834253</v>
      </c>
      <c r="R512" s="56" cm="1">
        <f t="array" ref="R512:S512">LINEST(F503:F512,D503:D512)</f>
        <v>-64.930909090908926</v>
      </c>
      <c r="S512" s="56">
        <v>32.194218181818101</v>
      </c>
      <c r="T512" s="56" cm="1">
        <f t="array" ref="T512:U512">LINEST(F498:F512,D498:D512)</f>
        <v>-18.540000000000052</v>
      </c>
      <c r="U512" s="56">
        <v>9.3698583333333598</v>
      </c>
      <c r="V512" s="56" cm="1">
        <f t="array" ref="V512:W512">LINEST(F493:F512,D493:D512)</f>
        <v>-23.056240601503813</v>
      </c>
      <c r="W512" s="56">
        <v>11.564754135338372</v>
      </c>
      <c r="X512" s="56" cm="1">
        <f t="array" ref="X512:Y512">LINEST(F488:F512,D488:D512)</f>
        <v>-22.026461538461575</v>
      </c>
      <c r="Y512" s="56">
        <v>11.070960769230787</v>
      </c>
      <c r="Z512" s="56" cm="1">
        <f t="array" ref="Z512:AA512">LINEST(F483:F512,D483:D512)</f>
        <v>-3.3973748609566345</v>
      </c>
      <c r="AA512" s="56">
        <v>2.0310820170559958</v>
      </c>
      <c r="AB512" s="37" cm="1">
        <f t="array" ref="AB512:AC512">LINEST(G503:G512,D503:D512)</f>
        <v>-7.3745454545454603</v>
      </c>
      <c r="AC512" s="59">
        <v>3.9966242424242453</v>
      </c>
      <c r="AD512" s="37" cm="1">
        <f t="array" ref="AD512:AE512">LINEST(G498:G512,D498:D512)</f>
        <v>0.15428571428569982</v>
      </c>
      <c r="AE512" s="59">
        <v>0.2921833333333404</v>
      </c>
      <c r="AF512" s="37" cm="1">
        <f t="array" ref="AF512:AG512">LINEST(G493:G512,D493:D512)</f>
        <v>1.1584962406014998</v>
      </c>
      <c r="AG512" s="59">
        <v>-0.19926165413533647</v>
      </c>
      <c r="AH512" s="37" cm="1">
        <f t="array" ref="AH512:AI512">LINEST(G488:G512,D488:D512)</f>
        <v>8.8892307692307782</v>
      </c>
      <c r="AI512" s="59">
        <v>-3.9644653846153886</v>
      </c>
      <c r="AJ512" s="37" cm="1">
        <f t="array" ref="AJ512:AK512">LINEST(G483:G512,D483:D512)</f>
        <v>12.668476084538375</v>
      </c>
      <c r="AK512" s="59">
        <v>-5.7976402669632927</v>
      </c>
    </row>
    <row r="513" spans="1:38" x14ac:dyDescent="0.25">
      <c r="A513" s="61">
        <v>502</v>
      </c>
      <c r="B513" s="14">
        <f t="shared" si="8"/>
        <v>507</v>
      </c>
      <c r="C513" s="15">
        <v>44033</v>
      </c>
      <c r="D513" s="16">
        <v>0.49819444444444444</v>
      </c>
      <c r="E513" s="36">
        <v>20.11</v>
      </c>
      <c r="F513" s="36">
        <v>1.34</v>
      </c>
      <c r="G513" s="36">
        <v>0.39</v>
      </c>
      <c r="H513" s="56" cm="1">
        <f t="array" ref="H513:I513">LINEST(E504:E513,D504:D513)</f>
        <v>-7.7236363636364747</v>
      </c>
      <c r="I513" s="56">
        <v>23.886600000000055</v>
      </c>
      <c r="J513" s="56" cm="1">
        <f t="array" ref="J513:K513">LINEST(E499:E513,D499:D513)</f>
        <v>-0.20571428571430991</v>
      </c>
      <c r="K513" s="56">
        <v>20.17781904761906</v>
      </c>
      <c r="L513" s="56" cm="1">
        <f t="array" ref="L513:M513">LINEST(E494:E513,D494:D513)</f>
        <v>2.9070676691729465</v>
      </c>
      <c r="M513" s="56">
        <v>18.64957218045112</v>
      </c>
      <c r="N513" s="56" cm="1">
        <f t="array" ref="N513:O513">LINEST(E489:E513,D489:D513)</f>
        <v>0.24369230769228239</v>
      </c>
      <c r="O513" s="56">
        <v>19.948655384615396</v>
      </c>
      <c r="P513" s="56" cm="1">
        <f t="array" ref="P513:Q513">LINEST(E484:E513,D484:D513)</f>
        <v>-1.1036262513904365</v>
      </c>
      <c r="Q513" s="56">
        <v>20.603927994067476</v>
      </c>
      <c r="R513" s="56" cm="1">
        <f t="array" ref="R513:S513">LINEST(F504:F513,D504:D513)</f>
        <v>-40.712727272727136</v>
      </c>
      <c r="S513" s="56">
        <v>20.501399999999936</v>
      </c>
      <c r="T513" s="56" cm="1">
        <f t="array" ref="T513:U513">LINEST(F499:F513,D499:D513)</f>
        <v>-7.5085714285714449</v>
      </c>
      <c r="U513" s="56">
        <v>4.0963952380952469</v>
      </c>
      <c r="V513" s="56" cm="1">
        <f t="array" ref="V513:W513">LINEST(F494:F513,D494:D513)</f>
        <v>-3.8111278195488767</v>
      </c>
      <c r="W513" s="56">
        <v>2.2663969924812055</v>
      </c>
      <c r="X513" s="56" cm="1">
        <f t="array" ref="X513:Y513">LINEST(F489:F513,D489:D513)</f>
        <v>-16.5932307692308</v>
      </c>
      <c r="Y513" s="56">
        <v>8.5201015384615548</v>
      </c>
      <c r="Z513" s="56" cm="1">
        <f t="array" ref="Z513:AA513">LINEST(F484:F513,D484:D513)</f>
        <v>0.70798665183535392</v>
      </c>
      <c r="AA513" s="56">
        <v>0.10554304783093227</v>
      </c>
      <c r="AB513" s="37" cm="1">
        <f t="array" ref="AB513:AC513">LINEST(G504:G513,D504:D513)</f>
        <v>-9.7745454545454429</v>
      </c>
      <c r="AC513" s="59">
        <v>5.1945333333333288</v>
      </c>
      <c r="AD513" s="37" cm="1">
        <f t="array" ref="AD513:AE513">LINEST(G499:G513,D499:D513)</f>
        <v>-0.41142857142858336</v>
      </c>
      <c r="AE513" s="59">
        <v>0.57297142857143446</v>
      </c>
      <c r="AF513" s="37" cm="1">
        <f t="array" ref="AF513:AG513">LINEST(G494:G513,D494:D513)</f>
        <v>0.76330827067668672</v>
      </c>
      <c r="AG513" s="59">
        <v>-4.7045112781931575E-3</v>
      </c>
      <c r="AH513" s="37" cm="1">
        <f t="array" ref="AH513:AI513">LINEST(G489:G513,D489:D513)</f>
        <v>6.9175384615384656</v>
      </c>
      <c r="AI513" s="59">
        <v>-3.0097869230769252</v>
      </c>
      <c r="AJ513" s="37" cm="1">
        <f t="array" ref="AJ513:AK513">LINEST(G484:G513,D484:D513)</f>
        <v>11.717018909899901</v>
      </c>
      <c r="AK513" s="59">
        <v>-5.3443859844271469</v>
      </c>
    </row>
    <row r="514" spans="1:38" x14ac:dyDescent="0.25">
      <c r="A514" s="61">
        <v>502</v>
      </c>
      <c r="B514" s="55">
        <f t="shared" si="8"/>
        <v>508</v>
      </c>
      <c r="C514" s="15">
        <v>44034</v>
      </c>
      <c r="D514" s="16">
        <v>0.49958333333333332</v>
      </c>
      <c r="E514" s="36">
        <v>19.95</v>
      </c>
      <c r="F514" s="36">
        <v>-1.5</v>
      </c>
      <c r="G514" s="36">
        <v>0.24</v>
      </c>
      <c r="H514" s="56" cm="1">
        <f t="array" ref="H514:I514">LINEST(E505:E514,D505:D514)</f>
        <v>-10.560000000000111</v>
      </c>
      <c r="I514" s="56">
        <v>25.277600000000056</v>
      </c>
      <c r="J514" s="56" cm="1">
        <f t="array" ref="J514:K514">LINEST(E500:E514,D500:D514)</f>
        <v>-3.2657142857143375</v>
      </c>
      <c r="K514" s="56">
        <v>21.671079761904785</v>
      </c>
      <c r="L514" s="56" cm="1">
        <f t="array" ref="L514:M514">LINEST(E495:E514,D495:D514)</f>
        <v>0.99067669172931228</v>
      </c>
      <c r="M514" s="56">
        <v>19.575645864661656</v>
      </c>
      <c r="N514" s="56" cm="1">
        <f t="array" ref="N514:O514">LINEST(E490:E514,D490:D514)</f>
        <v>0.22153846153844239</v>
      </c>
      <c r="O514" s="56">
        <v>19.950215384615394</v>
      </c>
      <c r="P514" s="56" cm="1">
        <f t="array" ref="P514:Q514">LINEST(E485:E514,D485:D514)</f>
        <v>-1.4239822024471736</v>
      </c>
      <c r="Q514" s="56">
        <v>20.753053689284393</v>
      </c>
      <c r="R514" s="56" cm="1">
        <f t="array" ref="R514:S514">LINEST(F505:F514,D505:D514)</f>
        <v>-46.341818181817999</v>
      </c>
      <c r="S514" s="56">
        <v>22.987963636363549</v>
      </c>
      <c r="T514" s="56" cm="1">
        <f t="array" ref="T514:U514">LINEST(F500:F514,D500:D514)</f>
        <v>-34.174285714285723</v>
      </c>
      <c r="U514" s="56">
        <v>17.014653571428578</v>
      </c>
      <c r="V514" s="56" cm="1">
        <f t="array" ref="V514:W514">LINEST(F495:F514,D495:D514)</f>
        <v>-13.853233082706812</v>
      </c>
      <c r="W514" s="56">
        <v>7.017558646616564</v>
      </c>
      <c r="X514" s="56" cm="1">
        <f t="array" ref="X514:Y514">LINEST(F490:F514,D490:D514)</f>
        <v>-25.476923076923107</v>
      </c>
      <c r="Y514" s="56">
        <v>12.726430769230785</v>
      </c>
      <c r="Z514" s="56" cm="1">
        <f t="array" ref="Z514:AA514">LINEST(F485:F514,D485:D514)</f>
        <v>-9.384827586206919</v>
      </c>
      <c r="AA514" s="56">
        <v>4.8858367816092061</v>
      </c>
      <c r="AB514" s="37" cm="1">
        <f t="array" ref="AB514:AC514">LINEST(G505:G514,D505:D514)</f>
        <v>-12.916363636363618</v>
      </c>
      <c r="AC514" s="59">
        <v>6.7380727272727183</v>
      </c>
      <c r="AD514" s="37" cm="1">
        <f t="array" ref="AD514:AE514">LINEST(G500:G514,D500:D514)</f>
        <v>-3.0342857142857245</v>
      </c>
      <c r="AE514" s="59">
        <v>1.8503785714285763</v>
      </c>
      <c r="AF514" s="37" cm="1">
        <f t="array" ref="AF514:AG514">LINEST(G495:G514,D495:D514)</f>
        <v>-0.36270676691730075</v>
      </c>
      <c r="AG514" s="59">
        <v>0.53491654135338718</v>
      </c>
      <c r="AH514" s="37" cm="1">
        <f t="array" ref="AH514:AI514">LINEST(G490:G514,D490:D514)</f>
        <v>4.3532307692307715</v>
      </c>
      <c r="AI514" s="59">
        <v>-1.7730476923076937</v>
      </c>
      <c r="AJ514" s="37" cm="1">
        <f t="array" ref="AJ514:AK514">LINEST(G485:G514,D485:D514)</f>
        <v>10.063982202447171</v>
      </c>
      <c r="AK514" s="59">
        <v>-4.5581203559510604</v>
      </c>
      <c r="AL514" s="54" t="s">
        <v>93</v>
      </c>
    </row>
    <row r="515" spans="1:38" x14ac:dyDescent="0.25">
      <c r="A515" s="61">
        <v>502</v>
      </c>
      <c r="B515" s="14">
        <f t="shared" si="8"/>
        <v>509</v>
      </c>
      <c r="C515" s="15">
        <v>44035</v>
      </c>
      <c r="D515" s="16">
        <v>0.50097222222222226</v>
      </c>
      <c r="E515" s="36">
        <v>19.63</v>
      </c>
      <c r="F515" s="36">
        <v>-1.5</v>
      </c>
      <c r="G515" s="36">
        <v>0.11</v>
      </c>
      <c r="H515" s="56" cm="1">
        <f t="array" ref="H515:I515">LINEST(E506:E515,D506:D515)</f>
        <v>-23.825454545454743</v>
      </c>
      <c r="I515" s="56">
        <v>31.802981818181912</v>
      </c>
      <c r="J515" s="56" cm="1">
        <f t="array" ref="J515:K515">LINEST(E501:E515,D501:D515)</f>
        <v>-11.648571428571488</v>
      </c>
      <c r="K515" s="56">
        <v>25.765694047619078</v>
      </c>
      <c r="L515" s="56" cm="1">
        <f t="array" ref="L515:M515">LINEST(E496:E515,D496:D515)</f>
        <v>-4.173834586466219</v>
      </c>
      <c r="M515" s="56">
        <v>22.075403759398522</v>
      </c>
      <c r="N515" s="56" cm="1">
        <f t="array" ref="N515:O515">LINEST(E491:E515,D491:D515)</f>
        <v>-1.8055384615384831</v>
      </c>
      <c r="O515" s="56">
        <v>20.910032307692315</v>
      </c>
      <c r="P515" s="56" cm="1">
        <f t="array" ref="P515:Q515">LINEST(E486:E515,D486:D515)</f>
        <v>-3.2227808676307137</v>
      </c>
      <c r="Q515" s="56">
        <v>21.603620467185767</v>
      </c>
      <c r="R515" s="56" cm="1">
        <f t="array" ref="R515:S515">LINEST(F506:F515,D506:D515)</f>
        <v>-104.72727272727245</v>
      </c>
      <c r="S515" s="56">
        <v>51.762909090908948</v>
      </c>
      <c r="T515" s="56" cm="1">
        <f t="array" ref="T515:U515">LINEST(F501:F515,D501:D515)</f>
        <v>-67.011428571428553</v>
      </c>
      <c r="U515" s="56">
        <v>33.078030952380949</v>
      </c>
      <c r="V515" s="56" cm="1">
        <f t="array" ref="V515:W515">LINEST(F496:F515,D496:D515)</f>
        <v>-38.06255639097752</v>
      </c>
      <c r="W515" s="56">
        <v>18.782569172932369</v>
      </c>
      <c r="X515" s="56" cm="1">
        <f t="array" ref="X515:Y515">LINEST(F491:F515,D491:D515)</f>
        <v>-41.9538461538462</v>
      </c>
      <c r="Y515" s="56">
        <v>20.68528076923079</v>
      </c>
      <c r="Z515" s="56" cm="1">
        <f t="array" ref="Z515:AA515">LINEST(F486:F515,D486:D515)</f>
        <v>-22.101357063403814</v>
      </c>
      <c r="AA515" s="56">
        <v>10.977069187986666</v>
      </c>
      <c r="AB515" s="37" cm="1">
        <f t="array" ref="AB515:AC515">LINEST(G506:G515,D506:D515)</f>
        <v>-19.898181818181769</v>
      </c>
      <c r="AC515" s="59">
        <v>10.178072727272701</v>
      </c>
      <c r="AD515" s="37" cm="1">
        <f t="array" ref="AD515:AE515">LINEST(G501:G515,D501:D515)</f>
        <v>-7.8942857142857239</v>
      </c>
      <c r="AE515" s="59">
        <v>4.226067857142862</v>
      </c>
      <c r="AF515" s="37" cm="1">
        <f t="array" ref="AF515:AG515">LINEST(G496:G515,D496:D515)</f>
        <v>-3.2427067669173084</v>
      </c>
      <c r="AG515" s="59">
        <v>1.9292203007518873</v>
      </c>
      <c r="AH515" s="37" cm="1">
        <f t="array" ref="AH515:AI515">LINEST(G491:G515,D491:D515)</f>
        <v>0.74215384615383995</v>
      </c>
      <c r="AI515" s="59">
        <v>-2.7029230769227752E-2</v>
      </c>
      <c r="AJ515" s="37" cm="1">
        <f t="array" ref="AJ515:AK515">LINEST(G486:G515,D486:D515)</f>
        <v>7.5620022246940923</v>
      </c>
      <c r="AK515" s="59">
        <v>-3.3623960697070756</v>
      </c>
      <c r="AL515" s="82" t="s">
        <v>84</v>
      </c>
    </row>
    <row r="516" spans="1:38" x14ac:dyDescent="0.25">
      <c r="A516" s="61">
        <v>502</v>
      </c>
      <c r="B516" s="14">
        <f t="shared" si="8"/>
        <v>510</v>
      </c>
      <c r="C516" s="15">
        <v>44036</v>
      </c>
      <c r="D516" s="16">
        <v>0.50236111111111115</v>
      </c>
      <c r="E516" s="36">
        <v>19.96</v>
      </c>
      <c r="F516" s="36">
        <v>-1.5</v>
      </c>
      <c r="G516" s="36">
        <v>-0.02</v>
      </c>
      <c r="H516" s="56" cm="1">
        <f t="array" ref="H516:I516">LINEST(E507:E516,D507:D516)</f>
        <v>-18.632727272727362</v>
      </c>
      <c r="I516" s="56">
        <v>29.238903030303078</v>
      </c>
      <c r="J516" s="56" cm="1">
        <f t="array" ref="J516:K516">LINEST(E502:E516,D502:D516)</f>
        <v>-12.805714285714336</v>
      </c>
      <c r="K516" s="56">
        <v>26.345259523809553</v>
      </c>
      <c r="L516" s="56" cm="1">
        <f t="array" ref="L516:M516">LINEST(E497:E516,D497:D516)</f>
        <v>-5.3269172932331035</v>
      </c>
      <c r="M516" s="56">
        <v>22.642750375939858</v>
      </c>
      <c r="N516" s="56" cm="1">
        <f t="array" ref="N516:O516">LINEST(E492:E516,D492:D516)</f>
        <v>-1.0523076923076993</v>
      </c>
      <c r="O516" s="56">
        <v>20.536700000000003</v>
      </c>
      <c r="P516" s="56" cm="1">
        <f t="array" ref="P516:Q516">LINEST(E487:E516,D487:D516)</f>
        <v>-3.1827363737486256</v>
      </c>
      <c r="Q516" s="56">
        <v>21.582452873563227</v>
      </c>
      <c r="R516" s="56" cm="1">
        <f t="array" ref="R516:S516">LINEST(F507:F516,D507:D516)</f>
        <v>-118.64727272727234</v>
      </c>
      <c r="S516" s="56">
        <v>58.579230303030108</v>
      </c>
      <c r="T516" s="56" cm="1">
        <f t="array" ref="T516:U516">LINEST(F502:F516,D502:D516)</f>
        <v>-92.108571428571295</v>
      </c>
      <c r="U516" s="56">
        <v>45.408930952380885</v>
      </c>
      <c r="V516" s="56" cm="1">
        <f t="array" ref="V516:W516">LINEST(F497:F516,D497:D516)</f>
        <v>-49.084511278195563</v>
      </c>
      <c r="W516" s="56">
        <v>24.112006766917336</v>
      </c>
      <c r="X516" s="56" cm="1">
        <f t="array" ref="X516:Y516">LINEST(F492:F516,D492:D516)</f>
        <v>-47.857846153846232</v>
      </c>
      <c r="Y516" s="56">
        <v>23.500290000000039</v>
      </c>
      <c r="Z516" s="56" cm="1">
        <f t="array" ref="Z516:AA516">LINEST(F487:F516,D487:D516)</f>
        <v>-28.708698553948874</v>
      </c>
      <c r="AA516" s="56">
        <v>14.118972413793125</v>
      </c>
      <c r="AB516" s="37" cm="1">
        <f t="array" ref="AB516:AC516">LINEST(G507:G516,D507:D516)</f>
        <v>-27.752727272727196</v>
      </c>
      <c r="AC516" s="59">
        <v>14.054436363636325</v>
      </c>
      <c r="AD516" s="37" cm="1">
        <f t="array" ref="AD516:AE516">LINEST(G502:G516,D502:D516)</f>
        <v>-14.477142857142852</v>
      </c>
      <c r="AE516" s="59">
        <v>7.4553369047619018</v>
      </c>
      <c r="AF516" s="37" cm="1">
        <f t="array" ref="AF516:AG516">LINEST(G497:G516,D497:D516)</f>
        <v>-6.8806015037594177</v>
      </c>
      <c r="AG516" s="59">
        <v>3.6942609022556492</v>
      </c>
      <c r="AH516" s="37" cm="1">
        <f t="array" ref="AH516:AI516">LINEST(G492:G516,D492:D516)</f>
        <v>-3.0572307692307801</v>
      </c>
      <c r="AI516" s="59">
        <v>1.8112800000000053</v>
      </c>
      <c r="AJ516" s="37" cm="1">
        <f t="array" ref="AJ516:AK516">LINEST(G487:G516,D487:D516)</f>
        <v>4.7396662958843043</v>
      </c>
      <c r="AK516" s="59">
        <v>-2.0119057471264314</v>
      </c>
      <c r="AL516" s="83"/>
    </row>
    <row r="517" spans="1:38" x14ac:dyDescent="0.25">
      <c r="A517" s="61">
        <v>502</v>
      </c>
      <c r="B517" s="14">
        <f t="shared" si="8"/>
        <v>511</v>
      </c>
      <c r="C517" s="15">
        <v>44037</v>
      </c>
      <c r="D517" s="16">
        <v>0.50375000000000003</v>
      </c>
      <c r="E517" s="36">
        <v>19.86</v>
      </c>
      <c r="F517" s="36">
        <v>-1.5</v>
      </c>
      <c r="G517" s="36">
        <v>-0.13</v>
      </c>
      <c r="H517" s="56" cm="1">
        <f t="array" ref="H517:I517">LINEST(E508:E517,D508:D517)</f>
        <v>-15.534545454545494</v>
      </c>
      <c r="I517" s="56">
        <v>27.692436363636382</v>
      </c>
      <c r="J517" s="56" cm="1">
        <f t="array" ref="J517:K517">LINEST(E503:E517,D503:D517)</f>
        <v>-15.300000000000042</v>
      </c>
      <c r="K517" s="56">
        <v>27.581291666666687</v>
      </c>
      <c r="L517" s="56" cm="1">
        <f t="array" ref="L517:M517">LINEST(E498:E517,D498:D517)</f>
        <v>-7.3407518796992717</v>
      </c>
      <c r="M517" s="56">
        <v>23.630046616541364</v>
      </c>
      <c r="N517" s="56" cm="1">
        <f t="array" ref="N517:O517">LINEST(E493:E517,D493:D517)</f>
        <v>-2.841230769230783</v>
      </c>
      <c r="O517" s="56">
        <v>21.406716153846162</v>
      </c>
      <c r="P517" s="56" cm="1">
        <f t="array" ref="P517:Q517">LINEST(E488:E517,D488:D517)</f>
        <v>-3.7449610678531924</v>
      </c>
      <c r="Q517" s="56">
        <v>21.850438116425671</v>
      </c>
      <c r="R517" s="56" cm="1">
        <f t="array" ref="R517:S517">LINEST(F508:F517,D508:D517)</f>
        <v>-153.81818181818139</v>
      </c>
      <c r="S517" s="56">
        <v>76.09354545454525</v>
      </c>
      <c r="T517" s="56" cm="1">
        <f t="array" ref="T517:U517">LINEST(F503:F517,D503:D517)</f>
        <v>-115.63714285714255</v>
      </c>
      <c r="U517" s="56">
        <v>57.045294047618903</v>
      </c>
      <c r="V517" s="56" cm="1">
        <f t="array" ref="V517:W517">LINEST(F498:F517,D498:D517)</f>
        <v>-65.574135338345883</v>
      </c>
      <c r="W517" s="56">
        <v>32.189256390977455</v>
      </c>
      <c r="X517" s="56" cm="1">
        <f t="array" ref="X517:Y517">LINEST(F493:F517,D493:D517)</f>
        <v>-52.227692307692394</v>
      </c>
      <c r="Y517" s="56">
        <v>25.584438461538504</v>
      </c>
      <c r="Z517" s="56" cm="1">
        <f t="array" ref="Z517:AA517">LINEST(F488:F517,D488:D517)</f>
        <v>-43.135928809788687</v>
      </c>
      <c r="AA517" s="56">
        <v>21.118347793845029</v>
      </c>
      <c r="AB517" s="37" cm="1">
        <f t="array" ref="AB517:AC517">LINEST(G508:G517,D508:D517)</f>
        <v>-37.658181818181717</v>
      </c>
      <c r="AC517" s="59">
        <v>18.965945454545409</v>
      </c>
      <c r="AD517" s="37" cm="1">
        <f t="array" ref="AD517:AE517">LINEST(G503:G517,D503:D517)</f>
        <v>-22.294285714285671</v>
      </c>
      <c r="AE517" s="59">
        <v>11.305996428571408</v>
      </c>
      <c r="AF517" s="37" cm="1">
        <f t="array" ref="AF517:AG517">LINEST(G498:G517,D498:D517)</f>
        <v>-11.465864661654152</v>
      </c>
      <c r="AG517" s="59">
        <v>5.9296436090225644</v>
      </c>
      <c r="AH517" s="37" cm="1">
        <f t="array" ref="AH517:AI517">LINEST(G493:G517,D493:D517)</f>
        <v>-6.8566153846154023</v>
      </c>
      <c r="AI517" s="59">
        <v>3.6521430769230854</v>
      </c>
      <c r="AJ517" s="37" cm="1">
        <f t="array" ref="AJ517:AK517">LINEST(G488:G517,D488:D517)</f>
        <v>1.0091212458286873</v>
      </c>
      <c r="AK517" s="59">
        <v>-0.21535558027437357</v>
      </c>
      <c r="AL517" s="83"/>
    </row>
    <row r="518" spans="1:38" x14ac:dyDescent="0.25">
      <c r="A518" s="61">
        <v>502</v>
      </c>
      <c r="B518" s="14">
        <f t="shared" si="8"/>
        <v>512</v>
      </c>
      <c r="C518" s="15">
        <v>44038</v>
      </c>
      <c r="D518" s="16">
        <v>0.50513888888888892</v>
      </c>
      <c r="E518" s="36">
        <v>19.87</v>
      </c>
      <c r="F518" s="36">
        <v>-1.5</v>
      </c>
      <c r="G518" s="36">
        <v>-0.24</v>
      </c>
      <c r="H518" s="56" cm="1">
        <f t="array" ref="H518:I518">LINEST(E509:E518,D509:D518)</f>
        <v>-19.418181818181782</v>
      </c>
      <c r="I518" s="56">
        <v>29.642515151515134</v>
      </c>
      <c r="J518" s="56" cm="1">
        <f t="array" ref="J518:K518">LINEST(E504:E518,D504:D518)</f>
        <v>-17.074285714285704</v>
      </c>
      <c r="K518" s="56">
        <v>28.468219047619044</v>
      </c>
      <c r="L518" s="56" cm="1">
        <f t="array" ref="L518:M518">LINEST(E499:E518,D499:D518)</f>
        <v>-9.0784962406015151</v>
      </c>
      <c r="M518" s="56">
        <v>24.48761578947369</v>
      </c>
      <c r="N518" s="56" cm="1">
        <f t="array" ref="N518:O518">LINEST(E494:E518,D494:D518)</f>
        <v>-4.1649230769230803</v>
      </c>
      <c r="O518" s="56">
        <v>22.052849230769233</v>
      </c>
      <c r="P518" s="56" cm="1">
        <f t="array" ref="P518:Q518">LINEST(E489:E518,D489:D518)</f>
        <v>-4.0813348164627596</v>
      </c>
      <c r="Q518" s="56">
        <v>22.010114052651108</v>
      </c>
      <c r="R518" s="56" cm="1">
        <f t="array" ref="R518:S518">LINEST(F509:F518,D509:D518)</f>
        <v>-176.07272727272712</v>
      </c>
      <c r="S518" s="56">
        <v>87.2617272727272</v>
      </c>
      <c r="T518" s="56" cm="1">
        <f t="array" ref="T518:U518">LINEST(F504:F518,D504:D518)</f>
        <v>-138.83142857142812</v>
      </c>
      <c r="U518" s="56">
        <v>68.594736904761689</v>
      </c>
      <c r="V518" s="56" cm="1">
        <f t="array" ref="V518:W518">LINEST(F499:F518,D499:D518)</f>
        <v>-81.46827067669166</v>
      </c>
      <c r="W518" s="56">
        <v>40.024363157894712</v>
      </c>
      <c r="X518" s="56" cm="1">
        <f t="array" ref="X518:Y518">LINEST(F494:F518,D494:D518)</f>
        <v>-55.063384615384692</v>
      </c>
      <c r="Y518" s="56">
        <v>26.93133384615389</v>
      </c>
      <c r="Z518" s="56" cm="1">
        <f t="array" ref="Z518:AA518">LINEST(F489:F518,D489:D518)</f>
        <v>-50.243025583982238</v>
      </c>
      <c r="AA518" s="56">
        <v>24.559534074898057</v>
      </c>
      <c r="AB518" s="37" cm="1">
        <f t="array" ref="AB518:AC518">LINEST(G509:G518,D509:D518)</f>
        <v>-48.5236363636363</v>
      </c>
      <c r="AC518" s="59">
        <v>24.375903030302997</v>
      </c>
      <c r="AD518" s="37" cm="1">
        <f t="array" ref="AD518:AE518">LINEST(G504:G518,D504:D518)</f>
        <v>-31.294285714285628</v>
      </c>
      <c r="AE518" s="59">
        <v>15.758377380952341</v>
      </c>
      <c r="AF518" s="37" cm="1">
        <f t="array" ref="AF518:AG518">LINEST(G499:G518,D499:D518)</f>
        <v>-16.901052631578949</v>
      </c>
      <c r="AG518" s="59">
        <v>8.5913789473684226</v>
      </c>
      <c r="AH518" s="37" cm="1">
        <f t="array" ref="AH518:AI518">LINEST(G494:G518,D494:D518)</f>
        <v>-10.61723076923079</v>
      </c>
      <c r="AI518" s="59">
        <v>5.4770223076923186</v>
      </c>
      <c r="AJ518" s="37" cm="1">
        <f t="array" ref="AJ518:AK518">LINEST(G489:G518,D489:D518)</f>
        <v>-2.974505005561745</v>
      </c>
      <c r="AK518" s="59">
        <v>1.7089682610307799</v>
      </c>
      <c r="AL518" s="83"/>
    </row>
    <row r="519" spans="1:38" x14ac:dyDescent="0.25">
      <c r="A519" s="61">
        <v>502</v>
      </c>
      <c r="B519" s="14">
        <f t="shared" si="8"/>
        <v>513</v>
      </c>
      <c r="C519" s="15">
        <v>44039</v>
      </c>
      <c r="D519" s="16">
        <v>0.5065277777777778</v>
      </c>
      <c r="E519" s="36">
        <v>19.89</v>
      </c>
      <c r="F519" s="36">
        <v>0.6</v>
      </c>
      <c r="G519" s="36">
        <v>-0.18</v>
      </c>
      <c r="H519" s="56" cm="1">
        <f t="array" ref="H519:I519">LINEST(E510:E519,D510:D519)</f>
        <v>-19.810909090909004</v>
      </c>
      <c r="I519" s="56">
        <v>29.854957575757531</v>
      </c>
      <c r="J519" s="56" cm="1">
        <f t="array" ref="J519:K519">LINEST(E505:E519,D505:D519)</f>
        <v>-16.534285714285694</v>
      </c>
      <c r="K519" s="56">
        <v>28.206991666666653</v>
      </c>
      <c r="L519" s="56" cm="1">
        <f t="array" ref="L519:M519">LINEST(E500:E519,D500:D519)</f>
        <v>-10.22075187969925</v>
      </c>
      <c r="M519" s="56">
        <v>25.056237593984964</v>
      </c>
      <c r="N519" s="56" cm="1">
        <f t="array" ref="N519:O519">LINEST(E495:E519,D495:D519)</f>
        <v>-5.222769230769237</v>
      </c>
      <c r="O519" s="56">
        <v>22.572831538461539</v>
      </c>
      <c r="P519" s="56" cm="1">
        <f t="array" ref="P519:Q519">LINEST(E490:E519,D490:D519)</f>
        <v>-4.0428921023359408</v>
      </c>
      <c r="Q519" s="56">
        <v>21.987751130886181</v>
      </c>
      <c r="R519" s="56" cm="1">
        <f t="array" ref="R519:S519">LINEST(F510:F519,D510:D519)</f>
        <v>-102.93818181818195</v>
      </c>
      <c r="S519" s="56">
        <v>50.980684848484913</v>
      </c>
      <c r="T519" s="56" cm="1">
        <f t="array" ref="T519:U519">LINEST(F505:F519,D505:D519)</f>
        <v>-80.382857142857006</v>
      </c>
      <c r="U519" s="56">
        <v>39.65864999999993</v>
      </c>
      <c r="V519" s="56" cm="1">
        <f t="array" ref="V519:W519">LINEST(F500:F519,D500:D519)</f>
        <v>-64.816240601503722</v>
      </c>
      <c r="W519" s="56">
        <v>31.911512030075173</v>
      </c>
      <c r="X519" s="56" cm="1">
        <f t="array" ref="X519:Y519">LINEST(F495:F519,D495:D519)</f>
        <v>-42.408000000000065</v>
      </c>
      <c r="Y519" s="56">
        <v>20.781630000000035</v>
      </c>
      <c r="Z519" s="56" cm="1">
        <f t="array" ref="Z519:AA519">LINEST(F490:F519,D490:D519)</f>
        <v>-43.488320355951082</v>
      </c>
      <c r="AA519" s="56">
        <v>21.324902484241765</v>
      </c>
      <c r="AB519" s="37" cm="1">
        <f t="array" ref="AB519:AC519">LINEST(G510:G519,D510:D519)</f>
        <v>-52.974545454545364</v>
      </c>
      <c r="AC519" s="59">
        <v>26.615987878787838</v>
      </c>
      <c r="AD519" s="37" cm="1">
        <f t="array" ref="AD519:AE519">LINEST(G505:G519,D505:D519)</f>
        <v>-35.305714285714181</v>
      </c>
      <c r="AE519" s="59">
        <v>17.753408333333283</v>
      </c>
      <c r="AF519" s="37" cm="1">
        <f t="array" ref="AF519:AG519">LINEST(G500:G519,D500:D519)</f>
        <v>-20.658045112781938</v>
      </c>
      <c r="AG519" s="59">
        <v>10.441302255639089</v>
      </c>
      <c r="AH519" s="37" cm="1">
        <f t="array" ref="AH519:AI519">LINEST(G495:G519,D495:D519)</f>
        <v>-13.104000000000015</v>
      </c>
      <c r="AI519" s="59">
        <v>6.6875400000000083</v>
      </c>
      <c r="AJ519" s="37" cm="1">
        <f t="array" ref="AJ519:AK519">LINEST(G490:G519,D490:D519)</f>
        <v>-6.1716573971079063</v>
      </c>
      <c r="AK519" s="59">
        <v>3.2608255839822067</v>
      </c>
      <c r="AL519" s="83"/>
    </row>
    <row r="520" spans="1:38" x14ac:dyDescent="0.25">
      <c r="A520" s="61">
        <v>502</v>
      </c>
      <c r="B520" s="14">
        <f t="shared" si="8"/>
        <v>514</v>
      </c>
      <c r="C520" s="15">
        <v>44040</v>
      </c>
      <c r="D520" s="16">
        <v>0.50791666666666668</v>
      </c>
      <c r="E520" s="36">
        <v>19.920000000000002</v>
      </c>
      <c r="F520" s="36">
        <v>0.9</v>
      </c>
      <c r="G520" s="36">
        <v>-0.09</v>
      </c>
      <c r="H520" s="56" cm="1">
        <f t="array" ref="H520:I520">LINEST(E511:E520,D511:D520)</f>
        <v>-15.665454545454358</v>
      </c>
      <c r="I520" s="56">
        <v>27.789836363636269</v>
      </c>
      <c r="J520" s="56" cm="1">
        <f t="array" ref="J520:K520">LINEST(E506:E520,D506:D520)</f>
        <v>-14.605714285714281</v>
      </c>
      <c r="K520" s="56">
        <v>27.253819047619043</v>
      </c>
      <c r="L520" s="56" cm="1">
        <f t="array" ref="L520:M520">LINEST(E501:E520,D501:D520)</f>
        <v>-10.778345864661636</v>
      </c>
      <c r="M520" s="56">
        <v>25.339787218045103</v>
      </c>
      <c r="N520" s="56" cm="1">
        <f t="array" ref="N520:O520">LINEST(E496:E520,D496:D520)</f>
        <v>-6.0258461538461585</v>
      </c>
      <c r="O520" s="56">
        <v>22.971796923076926</v>
      </c>
      <c r="P520" s="56" cm="1">
        <f t="array" ref="P520:Q520">LINEST(E491:E520,D491:D520)</f>
        <v>-3.7753948832035547</v>
      </c>
      <c r="Q520" s="56">
        <v>21.854553726362621</v>
      </c>
      <c r="R520" s="56" cm="1">
        <f t="array" ref="R520:S520">LINEST(F511:F520,D511:D520)</f>
        <v>-23.432727272727774</v>
      </c>
      <c r="S520" s="56">
        <v>11.330418181818434</v>
      </c>
      <c r="T520" s="56" cm="1">
        <f t="array" ref="T520:U520">LINEST(F506:F520,D506:D520)</f>
        <v>-48.6</v>
      </c>
      <c r="U520" s="56">
        <v>23.980250000000002</v>
      </c>
      <c r="V520" s="56" cm="1">
        <f t="array" ref="V520:W520">LINEST(F501:F520,D501:D520)</f>
        <v>-51.547669172932331</v>
      </c>
      <c r="W520" s="56">
        <v>25.47077744360902</v>
      </c>
      <c r="X520" s="56" cm="1">
        <f t="array" ref="X520:Y520">LINEST(F496:F520,D496:D520)</f>
        <v>-38.259692307692362</v>
      </c>
      <c r="Y520" s="56">
        <v>18.848273846153877</v>
      </c>
      <c r="Z520" s="56" cm="1">
        <f t="array" ref="Z520:AA520">LINEST(F491:F520,D491:D520)</f>
        <v>-41.414015572858759</v>
      </c>
      <c r="AA520" s="56">
        <v>20.406503151649993</v>
      </c>
      <c r="AB520" s="37" cm="1">
        <f t="array" ref="AB520:AC520">LINEST(G511:G520,D511:D520)</f>
        <v>-50.618181818181746</v>
      </c>
      <c r="AC520" s="59">
        <v>25.465454545454509</v>
      </c>
      <c r="AD520" s="37" cm="1">
        <f t="array" ref="AD520:AE520">LINEST(G506:G520,D506:D520)</f>
        <v>-36.308571428571327</v>
      </c>
      <c r="AE520" s="59">
        <v>18.26739523809519</v>
      </c>
      <c r="AF520" s="37" cm="1">
        <f t="array" ref="AF520:AG520">LINEST(G501:G520,D501:D520)</f>
        <v>-23.018345864661626</v>
      </c>
      <c r="AG520" s="59">
        <v>11.615687218045098</v>
      </c>
      <c r="AH520" s="37" cm="1">
        <f t="array" ref="AH520:AI520">LINEST(G496:G520,D496:D520)</f>
        <v>-15.04246153846155</v>
      </c>
      <c r="AI520" s="59">
        <v>7.6412092307692374</v>
      </c>
      <c r="AJ520" s="37" cm="1">
        <f t="array" ref="AJ520:AK520">LINEST(G491:G520,D491:D520)</f>
        <v>-8.9299221357063487</v>
      </c>
      <c r="AK520" s="59">
        <v>4.6108175750834297</v>
      </c>
      <c r="AL520" s="83"/>
    </row>
    <row r="521" spans="1:38" x14ac:dyDescent="0.25">
      <c r="A521" s="61">
        <v>502</v>
      </c>
      <c r="B521" s="14">
        <f t="shared" si="8"/>
        <v>515</v>
      </c>
      <c r="C521" s="15">
        <v>44041</v>
      </c>
      <c r="D521" s="16">
        <v>0.50930555555555557</v>
      </c>
      <c r="E521" s="36">
        <v>19.920000000000002</v>
      </c>
      <c r="F521" s="36">
        <v>0.16</v>
      </c>
      <c r="G521" s="36">
        <v>-7.0000000000000007E-2</v>
      </c>
      <c r="H521" s="56" cm="1">
        <f t="array" ref="H521:I521">LINEST(E512:E521,D512:D521)</f>
        <v>-9.9054545454543756</v>
      </c>
      <c r="I521" s="56">
        <v>24.899993939393855</v>
      </c>
      <c r="J521" s="56" cm="1">
        <f t="array" ref="J521:K521">LINEST(E507:E521,D507:D521)</f>
        <v>-11.67428571428567</v>
      </c>
      <c r="K521" s="56">
        <v>25.792945238095218</v>
      </c>
      <c r="L521" s="56" cm="1">
        <f t="array" ref="L521:M521">LINEST(E502:E521,D502:D521)</f>
        <v>-11.081503759398469</v>
      </c>
      <c r="M521" s="56">
        <v>25.498157142857131</v>
      </c>
      <c r="N521" s="56" cm="1">
        <f t="array" ref="N521:O521">LINEST(E497:E521,D497:D521)</f>
        <v>-6.6461538461538243</v>
      </c>
      <c r="O521" s="56">
        <v>23.282153846153836</v>
      </c>
      <c r="P521" s="56" cm="1">
        <f t="array" ref="P521:Q521">LINEST(E492:E521,D492:D521)</f>
        <v>-3.2291879866518181</v>
      </c>
      <c r="Q521" s="56">
        <v>21.582944456803844</v>
      </c>
      <c r="R521" s="56" cm="1">
        <f t="array" ref="R521:S521">LINEST(F512:F521,D512:D521)</f>
        <v>34.341818181817537</v>
      </c>
      <c r="S521" s="56">
        <v>-17.7148424242421</v>
      </c>
      <c r="T521" s="56" cm="1">
        <f t="array" ref="T521:U521">LINEST(F507:F521,D507:D521)</f>
        <v>-19.285714285714441</v>
      </c>
      <c r="U521" s="56">
        <v>9.3568214285715072</v>
      </c>
      <c r="V521" s="56" cm="1">
        <f t="array" ref="V521:W521">LINEST(F502:F521,D502:D521)</f>
        <v>-44.796992481203006</v>
      </c>
      <c r="W521" s="56">
        <v>22.181785714285713</v>
      </c>
      <c r="X521" s="56" cm="1">
        <f t="array" ref="X521:Y521">LINEST(F497:F521,D497:D521)</f>
        <v>-32.172923076923119</v>
      </c>
      <c r="Y521" s="56">
        <v>15.877233076923098</v>
      </c>
      <c r="Z521" s="56" cm="1">
        <f t="array" ref="Z521:AA521">LINEST(F492:F521,D492:D521)</f>
        <v>-36.341179087875425</v>
      </c>
      <c r="AA521" s="56">
        <v>17.945560103819062</v>
      </c>
      <c r="AB521" s="37" cm="1">
        <f t="array" ref="AB521:AC521">LINEST(G512:G521,D512:D521)</f>
        <v>-43.810909090909099</v>
      </c>
      <c r="AC521" s="59">
        <v>22.071321212121219</v>
      </c>
      <c r="AD521" s="37" cm="1">
        <f t="array" ref="AD521:AE521">LINEST(G507:G521,D507:D521)</f>
        <v>-34.997142857142784</v>
      </c>
      <c r="AE521" s="59">
        <v>17.627322619047586</v>
      </c>
      <c r="AF521" s="37" cm="1">
        <f t="array" ref="AF521:AG521">LINEST(G502:G521,D502:D521)</f>
        <v>-24.696541353383427</v>
      </c>
      <c r="AG521" s="59">
        <v>12.459228571428557</v>
      </c>
      <c r="AH521" s="37" cm="1">
        <f t="array" ref="AH521:AI521">LINEST(G497:G521,D497:D521)</f>
        <v>-16.399384615384623</v>
      </c>
      <c r="AI521" s="59">
        <v>8.3133746153846193</v>
      </c>
      <c r="AJ521" s="37" cm="1">
        <f t="array" ref="AJ521:AK521">LINEST(G492:G521,D492:D521)</f>
        <v>-11.060289210233602</v>
      </c>
      <c r="AK521" s="59">
        <v>5.6586581386726031</v>
      </c>
      <c r="AL521" s="83"/>
    </row>
    <row r="522" spans="1:38" x14ac:dyDescent="0.25">
      <c r="A522" s="61">
        <v>502</v>
      </c>
      <c r="B522" s="14">
        <f t="shared" si="8"/>
        <v>516</v>
      </c>
      <c r="C522" s="15">
        <v>44042</v>
      </c>
      <c r="D522" s="16">
        <v>0.51069444444444445</v>
      </c>
      <c r="E522" s="36">
        <v>19.940000000000001</v>
      </c>
      <c r="F522" s="36">
        <v>0.4</v>
      </c>
      <c r="G522" s="36">
        <v>-0.04</v>
      </c>
      <c r="H522" s="56" cm="1">
        <f t="array" ref="H522:I522">LINEST(E513:E522,D513:D522)</f>
        <v>-2.1381818181816867</v>
      </c>
      <c r="I522" s="56">
        <v>20.983593939393874</v>
      </c>
      <c r="J522" s="56" cm="1">
        <f t="array" ref="J522:K522">LINEST(E508:E522,D508:D522)</f>
        <v>-7.7399999999999229</v>
      </c>
      <c r="K522" s="56">
        <v>23.822858333333297</v>
      </c>
      <c r="L522" s="56" cm="1">
        <f t="array" ref="L522:M522">LINEST(E503:E522,D503:D522)</f>
        <v>-10.913684210526283</v>
      </c>
      <c r="M522" s="56">
        <v>25.423557894736824</v>
      </c>
      <c r="N522" s="56" cm="1">
        <f t="array" ref="N522:O522">LINEST(E498:E522,D498:D522)</f>
        <v>-7.0116923076922815</v>
      </c>
      <c r="O522" s="56">
        <v>23.468770769230755</v>
      </c>
      <c r="P522" s="56" cm="1">
        <f t="array" ref="P522:Q522">LINEST(E493:E522,D493:D522)</f>
        <v>-3.8875194660733956</v>
      </c>
      <c r="Q522" s="56">
        <v>21.910710938079337</v>
      </c>
      <c r="R522" s="56" cm="1">
        <f t="array" ref="R522:S522">LINEST(F513:F522,D513:D522)</f>
        <v>93.64363636363565</v>
      </c>
      <c r="S522" s="56">
        <v>-47.648012121211764</v>
      </c>
      <c r="T522" s="56" cm="1">
        <f t="array" ref="T522:U522">LINEST(F508:F522,D508:D522)</f>
        <v>-1.7742857142859121</v>
      </c>
      <c r="U522" s="56">
        <v>0.63886785714295624</v>
      </c>
      <c r="V522" s="56" cm="1">
        <f t="array" ref="V522:W522">LINEST(F503:F522,D503:D522)</f>
        <v>-37.147669172932396</v>
      </c>
      <c r="W522" s="56">
        <v>18.446965413533871</v>
      </c>
      <c r="X522" s="56" cm="1">
        <f t="array" ref="X522:Y522">LINEST(F498:F522,D498:D522)</f>
        <v>-29.176615384615417</v>
      </c>
      <c r="Y522" s="56">
        <v>14.453658461538478</v>
      </c>
      <c r="Z522" s="56" cm="1">
        <f t="array" ref="Z522:AA522">LINEST(F493:F522,D493:D522)</f>
        <v>-29.797908787541751</v>
      </c>
      <c r="AA522" s="56">
        <v>14.757196366332982</v>
      </c>
      <c r="AB522" s="37" cm="1">
        <f t="array" ref="AB522:AC522">LINEST(G513:G522,D513:D522)</f>
        <v>-33.294545454545542</v>
      </c>
      <c r="AC522" s="59">
        <v>16.792248484848528</v>
      </c>
      <c r="AD522" s="37" cm="1">
        <f t="array" ref="AD522:AE522">LINEST(G508:G522,D508:D522)</f>
        <v>-32.605714285714264</v>
      </c>
      <c r="AE522" s="59">
        <v>16.447223809523798</v>
      </c>
      <c r="AF522" s="37" cm="1">
        <f t="array" ref="AF522:AG522">LINEST(G503:G522,D503:D522)</f>
        <v>-25.725112781954852</v>
      </c>
      <c r="AG522" s="59">
        <v>12.986243609022541</v>
      </c>
      <c r="AH522" s="37" cm="1">
        <f t="array" ref="AH522:AI522">LINEST(G498:G522,D498:D522)</f>
        <v>-17.462769230769229</v>
      </c>
      <c r="AI522" s="59">
        <v>8.846293076923077</v>
      </c>
      <c r="AJ522" s="37" cm="1">
        <f t="array" ref="AJ522:AK522">LINEST(G493:G522,D493:D522)</f>
        <v>-12.540333704115696</v>
      </c>
      <c r="AK522" s="59">
        <v>6.3913970337411996</v>
      </c>
    </row>
    <row r="523" spans="1:38" x14ac:dyDescent="0.25">
      <c r="A523" s="61">
        <v>502</v>
      </c>
      <c r="B523" s="14">
        <f t="shared" si="8"/>
        <v>517</v>
      </c>
      <c r="C523" s="15">
        <v>44043</v>
      </c>
      <c r="D523" s="16">
        <v>0.51208333333333333</v>
      </c>
      <c r="E523" s="36">
        <v>19.96</v>
      </c>
      <c r="F523" s="36">
        <v>0.56999999999999995</v>
      </c>
      <c r="G523" s="36">
        <v>0.01</v>
      </c>
      <c r="H523" s="56" cm="1">
        <f t="array" ref="H523:I523">LINEST(E514:E523,D514:D523)</f>
        <v>9.8618181818183253</v>
      </c>
      <c r="I523" s="56">
        <v>14.901563636363564</v>
      </c>
      <c r="J523" s="56" cm="1">
        <f t="array" ref="J523:K523">LINEST(E509:E523,D509:D523)</f>
        <v>-7.17428571428563</v>
      </c>
      <c r="K523" s="56">
        <v>23.549415476190436</v>
      </c>
      <c r="L523" s="56" cm="1">
        <f t="array" ref="L523:M523">LINEST(E504:E523,D504:D523)</f>
        <v>-10.399398496240565</v>
      </c>
      <c r="M523" s="56">
        <v>25.176644360902237</v>
      </c>
      <c r="N523" s="56" cm="1">
        <f t="array" ref="N523:O523">LINEST(E499:E523,D499:D523)</f>
        <v>-7.1999999999999735</v>
      </c>
      <c r="O523" s="56">
        <v>23.569399999999987</v>
      </c>
      <c r="P523" s="56" cm="1">
        <f t="array" ref="P523:Q523">LINEST(E494:E523,D494:D523)</f>
        <v>-4.2078754171301176</v>
      </c>
      <c r="Q523" s="56">
        <v>22.073040934371512</v>
      </c>
      <c r="R523" s="56" cm="1">
        <f t="array" ref="R523:S523">LINEST(F514:F523,D514:D523)</f>
        <v>216.13090909090926</v>
      </c>
      <c r="S523" s="56">
        <v>-109.81321818181827</v>
      </c>
      <c r="T523" s="56" cm="1">
        <f t="array" ref="T523:U523">LINEST(F509:F523,D509:D523)</f>
        <v>17.717142857142637</v>
      </c>
      <c r="U523" s="56">
        <v>-9.1110702380951274</v>
      </c>
      <c r="V523" s="56" cm="1">
        <f t="array" ref="V523:W523">LINEST(F504:F523,D504:D523)</f>
        <v>-30.207518796992552</v>
      </c>
      <c r="W523" s="56">
        <v>15.06319548872184</v>
      </c>
      <c r="X523" s="56" cm="1">
        <f t="array" ref="X523:Y523">LINEST(F499:F523,D499:D523)</f>
        <v>-25.936615384615404</v>
      </c>
      <c r="Y523" s="56">
        <v>12.91183153846155</v>
      </c>
      <c r="Z523" s="56" cm="1">
        <f t="array" ref="Z523:AA523">LINEST(F494:F523,D494:D523)</f>
        <v>-22.186251390433849</v>
      </c>
      <c r="AA523" s="56">
        <v>11.030736447905097</v>
      </c>
      <c r="AB523" s="37" cm="1">
        <f t="array" ref="AB523:AC523">LINEST(G514:G523,D514:D523)</f>
        <v>-13.920000000000087</v>
      </c>
      <c r="AC523" s="59">
        <v>7.0002000000000439</v>
      </c>
      <c r="AD523" s="37" cm="1">
        <f t="array" ref="AD523:AE523">LINEST(G509:G523,D509:D523)</f>
        <v>-28.748571428571445</v>
      </c>
      <c r="AE523" s="59">
        <v>14.529497619047628</v>
      </c>
      <c r="AF523" s="37" cm="1">
        <f t="array" ref="AF523:AG523">LINEST(G504:G523,D504:D523)</f>
        <v>-26.055338345864627</v>
      </c>
      <c r="AG523" s="59">
        <v>13.171218796992463</v>
      </c>
      <c r="AH523" s="37" cm="1">
        <f t="array" ref="AH523:AI523">LINEST(G499:G523,D499:D523)</f>
        <v>-18.127384615384614</v>
      </c>
      <c r="AI523" s="59">
        <v>9.1874084615384604</v>
      </c>
      <c r="AJ523" s="37" cm="1">
        <f t="array" ref="AJ523:AK523">LINEST(G494:G523,D494:D523)</f>
        <v>-13.307586206896563</v>
      </c>
      <c r="AK523" s="59">
        <v>6.7765931034482811</v>
      </c>
    </row>
    <row r="524" spans="1:38" x14ac:dyDescent="0.25">
      <c r="A524" s="61">
        <v>502</v>
      </c>
      <c r="B524" s="14">
        <f t="shared" si="8"/>
        <v>518</v>
      </c>
      <c r="C524" s="15">
        <v>44044</v>
      </c>
      <c r="D524" s="16">
        <v>0.51347222222222222</v>
      </c>
      <c r="E524" s="36">
        <v>19.98</v>
      </c>
      <c r="F524" s="36">
        <v>0.63</v>
      </c>
      <c r="G524" s="36">
        <v>0.06</v>
      </c>
      <c r="H524" s="56" cm="1">
        <f t="array" ref="H524:I524">LINEST(E515:E524,D515:D524)</f>
        <v>16.276363636363804</v>
      </c>
      <c r="I524" s="56">
        <v>11.637266666666582</v>
      </c>
      <c r="J524" s="56" cm="1">
        <f t="array" ref="J524:K524">LINEST(E510:E524,D510:D524)</f>
        <v>-5.4257142857142053</v>
      </c>
      <c r="K524" s="56">
        <v>22.677203571428535</v>
      </c>
      <c r="L524" s="56" cm="1">
        <f t="array" ref="L524:M524">LINEST(E505:E524,D505:D524)</f>
        <v>-8.7645112781954548</v>
      </c>
      <c r="M524" s="56">
        <v>24.365190225563893</v>
      </c>
      <c r="N524" s="56" cm="1">
        <f t="array" ref="N524:O524">LINEST(E500:E524,D500:D524)</f>
        <v>-7.0781538461538229</v>
      </c>
      <c r="O524" s="56">
        <v>23.516466153846142</v>
      </c>
      <c r="P524" s="56" cm="1">
        <f t="array" ref="P524:Q524">LINEST(E495:E524,D495:D524)</f>
        <v>-4.379265850945476</v>
      </c>
      <c r="Q524" s="56">
        <v>22.163104486466434</v>
      </c>
      <c r="R524" s="56" cm="1">
        <f t="array" ref="R524:S524">LINEST(F515:F524,D515:D524)</f>
        <v>211.37454545454617</v>
      </c>
      <c r="S524" s="56">
        <v>-107.48786666666703</v>
      </c>
      <c r="T524" s="56" cm="1">
        <f t="array" ref="T524:U524">LINEST(F510:F524,D510:D524)</f>
        <v>36.771428571428331</v>
      </c>
      <c r="U524" s="56">
        <v>-18.690940476190356</v>
      </c>
      <c r="V524" s="56" cm="1">
        <f t="array" ref="V524:W524">LINEST(F505:F524,D505:D524)</f>
        <v>-1.1801503759399929</v>
      </c>
      <c r="W524" s="56">
        <v>0.5164030075188687</v>
      </c>
      <c r="X524" s="56" cm="1">
        <f t="array" ref="X524:Y524">LINEST(F500:F524,D500:D524)</f>
        <v>-16.709538461538511</v>
      </c>
      <c r="Y524" s="56">
        <v>8.3561915384615624</v>
      </c>
      <c r="Z524" s="56" cm="1">
        <f t="array" ref="Z524:AA524">LINEST(F495:F524,D495:D524)</f>
        <v>-14.071635150166895</v>
      </c>
      <c r="AA524" s="56">
        <v>7.0370066740823356</v>
      </c>
      <c r="AB524" s="37" cm="1">
        <f t="array" ref="AB524:AC524">LINEST(G515:G524,D515:D524)</f>
        <v>3.5345454545454653</v>
      </c>
      <c r="AC524" s="59">
        <v>-1.8518000000000054</v>
      </c>
      <c r="AD524" s="37" cm="1">
        <f t="array" ref="AD524:AE524">LINEST(G510:G524,D510:D524)</f>
        <v>-23.631428571428618</v>
      </c>
      <c r="AE524" s="59">
        <v>11.9716654761905</v>
      </c>
      <c r="AF524" s="37" cm="1">
        <f t="array" ref="AF524:AG524">LINEST(G505:G524,D505:D524)</f>
        <v>-24.17142857142856</v>
      </c>
      <c r="AG524" s="59">
        <v>12.245928571428566</v>
      </c>
      <c r="AH524" s="37" cm="1">
        <f t="array" ref="AH524:AI524">LINEST(G500:G524,D500:D524)</f>
        <v>-18</v>
      </c>
      <c r="AI524" s="59">
        <v>9.1373000000000015</v>
      </c>
      <c r="AJ524" s="37" cm="1">
        <f t="array" ref="AJ524:AK524">LINEST(G495:G524,D495:D524)</f>
        <v>-13.3524360400445</v>
      </c>
      <c r="AK524" s="59">
        <v>6.8065351130886205</v>
      </c>
    </row>
    <row r="525" spans="1:38" x14ac:dyDescent="0.25">
      <c r="A525" s="61">
        <v>502</v>
      </c>
      <c r="B525" s="14">
        <f t="shared" si="8"/>
        <v>519</v>
      </c>
      <c r="C525" s="15">
        <v>44045</v>
      </c>
      <c r="D525" s="16">
        <v>0.5148611111111111</v>
      </c>
      <c r="E525" s="36">
        <v>20.02</v>
      </c>
      <c r="F525" s="36">
        <v>1.28</v>
      </c>
      <c r="G525" s="36">
        <v>0.16</v>
      </c>
      <c r="H525" s="56" cm="1">
        <f t="array" ref="H525:I525">LINEST(E516:E525,D516:D525)</f>
        <v>8.6400000000000183</v>
      </c>
      <c r="I525" s="56">
        <v>15.537599999999992</v>
      </c>
      <c r="J525" s="56" cm="1">
        <f t="array" ref="J525:K525">LINEST(E511:E525,D511:D525)</f>
        <v>-1.8771428571427891</v>
      </c>
      <c r="K525" s="56">
        <v>20.890217857142822</v>
      </c>
      <c r="L525" s="56" cm="1">
        <f t="array" ref="L525:M525">LINEST(E506:E525,D506:D525)</f>
        <v>-6.4312781954887281</v>
      </c>
      <c r="M525" s="56">
        <v>23.200357894736843</v>
      </c>
      <c r="N525" s="56" cm="1">
        <f t="array" ref="N525:O525">LINEST(E501:E525,D501:D525)</f>
        <v>-6.585230769230753</v>
      </c>
      <c r="O525" s="56">
        <v>23.279525384615379</v>
      </c>
      <c r="P525" s="56" cm="1">
        <f t="array" ref="P525:Q525">LINEST(E496:E525,D496:D525)</f>
        <v>-4.3616462736373682</v>
      </c>
      <c r="Q525" s="56">
        <v>22.161470003707826</v>
      </c>
      <c r="R525" s="56" cm="1">
        <f t="array" ref="R525:S525">LINEST(F516:F525,D516:D525)</f>
        <v>213.55636363636438</v>
      </c>
      <c r="S525" s="56">
        <v>-108.61313939393978</v>
      </c>
      <c r="T525" s="56" cm="1">
        <f t="array" ref="T525:U525">LINEST(F511:F525,D511:D525)</f>
        <v>65.854285714285496</v>
      </c>
      <c r="U525" s="56">
        <v>-33.346227380952271</v>
      </c>
      <c r="V525" s="56" cm="1">
        <f t="array" ref="V525:W525">LINEST(F506:F525,D506:D525)</f>
        <v>16.316390977443429</v>
      </c>
      <c r="W525" s="56">
        <v>-8.2073894736841222</v>
      </c>
      <c r="X525" s="56" cm="1">
        <f t="array" ref="X525:Y525">LINEST(F501:F525,D501:D525)</f>
        <v>-7.3052307692308442</v>
      </c>
      <c r="Y525" s="56">
        <v>3.7362253846154219</v>
      </c>
      <c r="Z525" s="56" cm="1">
        <f t="array" ref="Z525:AA525">LINEST(F496:F525,D496:D525)</f>
        <v>-10.230567296996712</v>
      </c>
      <c r="AA525" s="56">
        <v>5.2069556544308746</v>
      </c>
      <c r="AB525" s="37" cm="1">
        <f t="array" ref="AB525:AC525">LINEST(G516:G525,D516:D525)</f>
        <v>20.247272727272797</v>
      </c>
      <c r="AC525" s="59">
        <v>-10.351987878787915</v>
      </c>
      <c r="AD525" s="37" cm="1">
        <f t="array" ref="AD525:AE525">LINEST(G511:G525,D511:D525)</f>
        <v>-16.560000000000073</v>
      </c>
      <c r="AE525" s="59">
        <v>8.4211000000000364</v>
      </c>
      <c r="AF525" s="37" cm="1">
        <f t="array" ref="AF525:AG525">LINEST(G506:G525,D506:D525)</f>
        <v>-20.961203007518804</v>
      </c>
      <c r="AG525" s="59">
        <v>10.655536842105269</v>
      </c>
      <c r="AH525" s="37" cm="1">
        <f t="array" ref="AH525:AI525">LINEST(G501:G525,D501:D525)</f>
        <v>-17.113846153846158</v>
      </c>
      <c r="AI525" s="59">
        <v>8.7132230769230787</v>
      </c>
      <c r="AJ525" s="37" cm="1">
        <f t="array" ref="AJ525:AK525">LINEST(G496:G525,D496:D525)</f>
        <v>-13.078531701891004</v>
      </c>
      <c r="AK525" s="59">
        <v>6.6839069336299666</v>
      </c>
    </row>
    <row r="526" spans="1:38" x14ac:dyDescent="0.25">
      <c r="A526" s="61">
        <v>502</v>
      </c>
      <c r="B526" s="14">
        <f t="shared" ref="B526:B589" si="9">B525+1</f>
        <v>520</v>
      </c>
      <c r="C526" s="15">
        <v>44046</v>
      </c>
      <c r="D526" s="16">
        <v>0.51624999999999999</v>
      </c>
      <c r="E526" s="36">
        <v>20.05</v>
      </c>
      <c r="F526" s="36">
        <v>0.88</v>
      </c>
      <c r="G526" s="36">
        <v>0.21</v>
      </c>
      <c r="H526" s="56" cm="1">
        <f t="array" ref="H526:I526">LINEST(E517:E526,D517:D526)</f>
        <v>14.618181818181862</v>
      </c>
      <c r="I526" s="56">
        <v>12.485727272727253</v>
      </c>
      <c r="J526" s="56" cm="1">
        <f t="array" ref="J526:K526">LINEST(E512:E526,D512:D526)</f>
        <v>2.4942857142857697</v>
      </c>
      <c r="K526" s="56">
        <v>18.677908333333306</v>
      </c>
      <c r="L526" s="56" cm="1">
        <f t="array" ref="L526:M526">LINEST(E507:E526,D507:D526)</f>
        <v>-3.4213533834586403</v>
      </c>
      <c r="M526" s="56">
        <v>21.689130827067665</v>
      </c>
      <c r="N526" s="56" cm="1">
        <f t="array" ref="N526:O526">LINEST(E502:E526,D502:D526)</f>
        <v>-5.8043076923076846</v>
      </c>
      <c r="O526" s="56">
        <v>22.898135384615379</v>
      </c>
      <c r="P526" s="56" cm="1">
        <f t="array" ref="P526:Q526">LINEST(E497:E526,D497:D526)</f>
        <v>-4.1149721913236759</v>
      </c>
      <c r="Q526" s="56">
        <v>22.046483426028914</v>
      </c>
      <c r="R526" s="56" cm="1">
        <f t="array" ref="R526:S526">LINEST(F517:F526,D517:D526)</f>
        <v>175.76727272727339</v>
      </c>
      <c r="S526" s="56">
        <v>-89.399309090909426</v>
      </c>
      <c r="T526" s="56" cm="1">
        <f t="array" ref="T526:U526">LINEST(F512:F526,D512:D526)</f>
        <v>90.977142857142724</v>
      </c>
      <c r="U526" s="56">
        <v>-46.124449999999939</v>
      </c>
      <c r="V526" s="56" cm="1">
        <f t="array" ref="V526:W526">LINEST(F507:F526,D507:D526)</f>
        <v>35.507368421052462</v>
      </c>
      <c r="W526" s="56">
        <v>-17.882678947368337</v>
      </c>
      <c r="X526" s="56" cm="1">
        <f t="array" ref="X526:Y526">LINEST(F502:F526,D502:D526)</f>
        <v>1.1076923076824542E-2</v>
      </c>
      <c r="Y526" s="56">
        <v>0.11086615384620305</v>
      </c>
      <c r="Z526" s="56" cm="1">
        <f t="array" ref="Z526:AA526">LINEST(F497:F526,D497:D526)</f>
        <v>-3.5703670745273075</v>
      </c>
      <c r="AA526" s="56">
        <v>1.9196321097516034</v>
      </c>
      <c r="AB526" s="37" cm="1">
        <f t="array" ref="AB526:AC526">LINEST(G517:G526,D517:D526)</f>
        <v>32.247272727272836</v>
      </c>
      <c r="AC526" s="59">
        <v>-16.477109090909146</v>
      </c>
      <c r="AD526" s="37" cm="1">
        <f t="array" ref="AD526:AE526">LINEST(G512:G526,D512:D526)</f>
        <v>-8.1514285714286352</v>
      </c>
      <c r="AE526" s="59">
        <v>4.1769250000000326</v>
      </c>
      <c r="AF526" s="37" cm="1">
        <f t="array" ref="AF526:AG526">LINEST(G507:G526,D507:D526)</f>
        <v>-16.603308270676724</v>
      </c>
      <c r="AG526" s="59">
        <v>8.4798864661654303</v>
      </c>
      <c r="AH526" s="37" cm="1">
        <f t="array" ref="AH526:AI526">LINEST(G502:G526,D502:D526)</f>
        <v>-15.790153846153855</v>
      </c>
      <c r="AI526" s="59">
        <v>8.0700976923076979</v>
      </c>
      <c r="AJ526" s="37" cm="1">
        <f t="array" ref="AJ526:AK526">LINEST(G497:G526,D497:D526)</f>
        <v>-12.368943270300342</v>
      </c>
      <c r="AK526" s="59">
        <v>6.3450368557656702</v>
      </c>
    </row>
    <row r="527" spans="1:38" x14ac:dyDescent="0.25">
      <c r="A527" s="61">
        <v>502</v>
      </c>
      <c r="B527" s="14">
        <f t="shared" si="9"/>
        <v>521</v>
      </c>
      <c r="C527" s="15">
        <v>44047</v>
      </c>
      <c r="D527" s="16">
        <v>0.51763888888888887</v>
      </c>
      <c r="E527" s="36">
        <v>20.02</v>
      </c>
      <c r="F527" s="36">
        <v>-0.74</v>
      </c>
      <c r="G527" s="36">
        <v>0.14000000000000001</v>
      </c>
      <c r="H527" s="56" cm="1">
        <f t="array" ref="H527:I527">LINEST(E518:E527,D518:D527)</f>
        <v>13.832727272727203</v>
      </c>
      <c r="I527" s="56">
        <v>12.883096969697007</v>
      </c>
      <c r="J527" s="56" cm="1">
        <f t="array" ref="J527:K527">LINEST(E513:E527,D513:D527)</f>
        <v>6.3514285714285963</v>
      </c>
      <c r="K527" s="56">
        <v>16.712670238095225</v>
      </c>
      <c r="L527" s="56" cm="1">
        <f t="array" ref="L527:M527">LINEST(E508:E527,D508:D527)</f>
        <v>-0.59007518796990854</v>
      </c>
      <c r="M527" s="56">
        <v>20.258160150375932</v>
      </c>
      <c r="N527" s="56" cm="1">
        <f t="array" ref="N527:O527">LINEST(E503:E527,D503:D527)</f>
        <v>-5.1452307692307686</v>
      </c>
      <c r="O527" s="56">
        <v>22.574017692307692</v>
      </c>
      <c r="P527" s="56" cm="1">
        <f t="array" ref="P527:Q527">LINEST(E498:E527,D498:D527)</f>
        <v>-3.9708120133481541</v>
      </c>
      <c r="Q527" s="56">
        <v>21.980478976640704</v>
      </c>
      <c r="R527" s="56" cm="1">
        <f t="array" ref="R527:S527">LINEST(F518:F527,D518:D527)</f>
        <v>53.585454545454752</v>
      </c>
      <c r="S527" s="56">
        <v>-27.085006060606165</v>
      </c>
      <c r="T527" s="56" cm="1">
        <f t="array" ref="T527:U527">LINEST(F513:F527,D513:D527)</f>
        <v>81.540000000000006</v>
      </c>
      <c r="U527" s="56">
        <v>-41.514191666666669</v>
      </c>
      <c r="V527" s="56" cm="1">
        <f t="array" ref="V527:W527">LINEST(F508:F527,D508:D527)</f>
        <v>28.112481203007405</v>
      </c>
      <c r="W527" s="56">
        <v>-14.237684962405959</v>
      </c>
      <c r="X527" s="56" cm="1">
        <f t="array" ref="X527:Y527">LINEST(F503:F527,D503:D527)</f>
        <v>-4.8627692307693025</v>
      </c>
      <c r="Y527" s="56">
        <v>2.5137123076923436</v>
      </c>
      <c r="Z527" s="56" cm="1">
        <f t="array" ref="Z527:AA527">LINEST(F498:F527,D498:D527)</f>
        <v>-7.9368186874305291</v>
      </c>
      <c r="AA527" s="56">
        <v>4.0689006303300213</v>
      </c>
      <c r="AB527" s="37" cm="1">
        <f t="array" ref="AB527:AC527">LINEST(G518:G527,D518:D527)</f>
        <v>34.210909090909219</v>
      </c>
      <c r="AC527" s="59">
        <v>-17.499078787878855</v>
      </c>
      <c r="AD527" s="37" cm="1">
        <f t="array" ref="AD527:AE527">LINEST(G513:G527,D513:D527)</f>
        <v>-1.1057142857143412</v>
      </c>
      <c r="AE527" s="59">
        <v>0.59827738095240912</v>
      </c>
      <c r="AF527" s="37" cm="1">
        <f t="array" ref="AF527:AG527">LINEST(G508:G527,D508:D527)</f>
        <v>-13.149473684210568</v>
      </c>
      <c r="AG527" s="59">
        <v>6.7466789473684425</v>
      </c>
      <c r="AH527" s="37" cm="1">
        <f t="array" ref="AH527:AI527">LINEST(G503:G527,D503:D527)</f>
        <v>-14.926153846153856</v>
      </c>
      <c r="AI527" s="59">
        <v>7.6511884615384673</v>
      </c>
      <c r="AJ527" s="37" cm="1">
        <f t="array" ref="AJ527:AK527">LINEST(G498:G527,D498:D527)</f>
        <v>-12.035773081201347</v>
      </c>
      <c r="AK527" s="59">
        <v>6.1897971078976699</v>
      </c>
    </row>
    <row r="528" spans="1:38" x14ac:dyDescent="0.25">
      <c r="A528" s="61">
        <v>502</v>
      </c>
      <c r="B528" s="14">
        <f t="shared" si="9"/>
        <v>522</v>
      </c>
      <c r="C528" s="15">
        <v>44048</v>
      </c>
      <c r="D528" s="16">
        <v>0.51902777777777775</v>
      </c>
      <c r="E528" s="36">
        <v>20.059999999999999</v>
      </c>
      <c r="F528" s="36">
        <v>1.1299999999999999</v>
      </c>
      <c r="G528" s="36">
        <v>0.21</v>
      </c>
      <c r="H528" s="56" cm="1">
        <f t="array" ref="H528:I528">LINEST(E519:E528,D519:D528)</f>
        <v>13.701818181818044</v>
      </c>
      <c r="I528" s="56">
        <v>12.950012121212193</v>
      </c>
      <c r="J528" s="56" cm="1">
        <f t="array" ref="J528:K528">LINEST(E514:E528,D514:D528)</f>
        <v>12.060000000000016</v>
      </c>
      <c r="K528" s="56">
        <v>13.793108333333324</v>
      </c>
      <c r="L528" s="56" cm="1">
        <f t="array" ref="L528:M528">LINEST(E509:E528,D509:D528)</f>
        <v>0.42766917293233686</v>
      </c>
      <c r="M528" s="56">
        <v>19.749170676691726</v>
      </c>
      <c r="N528" s="56" cm="1">
        <f t="array" ref="N528:O528">LINEST(E504:E528,D504:D528)</f>
        <v>-4.1926153846154008</v>
      </c>
      <c r="O528" s="56">
        <v>22.102206923076931</v>
      </c>
      <c r="P528" s="56" cm="1">
        <f t="array" ref="P528:Q528">LINEST(E499:E528,D499:D528)</f>
        <v>-3.6408453837597321</v>
      </c>
      <c r="Q528" s="56">
        <v>21.822710641453462</v>
      </c>
      <c r="R528" s="56" cm="1">
        <f t="array" ref="R528:S528">LINEST(F519:F528,D519:D528)</f>
        <v>-1.7890909090909124</v>
      </c>
      <c r="S528" s="56">
        <v>1.4984060606060623</v>
      </c>
      <c r="T528" s="56" cm="1">
        <f t="array" ref="T528:U528">LINEST(F514:F528,D514:D528)</f>
        <v>133.25142857142893</v>
      </c>
      <c r="U528" s="56">
        <v>-67.978359523809715</v>
      </c>
      <c r="V528" s="56" cm="1">
        <f t="array" ref="V528:W528">LINEST(F509:F528,D509:D528)</f>
        <v>40.731428571428495</v>
      </c>
      <c r="W528" s="56">
        <v>-20.602314285714247</v>
      </c>
      <c r="X528" s="56" cm="1">
        <f t="array" ref="X528:Y528">LINEST(F504:F528,D504:D528)</f>
        <v>1.7889230769229747</v>
      </c>
      <c r="Y528" s="56">
        <v>-0.77708538461533339</v>
      </c>
      <c r="Z528" s="56" cm="1">
        <f t="array" ref="Z528:AA528">LINEST(F499:F528,D499:D528)</f>
        <v>-3.8442714126808122</v>
      </c>
      <c r="AA528" s="56">
        <v>2.0758642936596496</v>
      </c>
      <c r="AB528" s="37" cm="1">
        <f t="array" ref="AB528:AC528">LINEST(G519:G528,D519:D528)</f>
        <v>31.287272727272832</v>
      </c>
      <c r="AC528" s="59">
        <v>-16.002418181818236</v>
      </c>
      <c r="AD528" s="37" cm="1">
        <f t="array" ref="AD528:AE528">LINEST(G514:G528,D514:D528)</f>
        <v>9.2828571428571358</v>
      </c>
      <c r="AE528" s="59">
        <v>-4.7031440476190438</v>
      </c>
      <c r="AF528" s="37" cm="1">
        <f t="array" ref="AF528:AG528">LINEST(G509:G528,D509:D528)</f>
        <v>-9.0135338345865144</v>
      </c>
      <c r="AG528" s="59">
        <v>4.6638458646616785</v>
      </c>
      <c r="AH528" s="37" cm="1">
        <f t="array" ref="AH528:AI528">LINEST(G504:G528,D504:D528)</f>
        <v>-13.630153846153867</v>
      </c>
      <c r="AI528" s="59">
        <v>7.0164592307692422</v>
      </c>
      <c r="AJ528" s="37" cm="1">
        <f t="array" ref="AJ528:AK528">LINEST(G499:G528,D499:D528)</f>
        <v>-11.412680756396009</v>
      </c>
      <c r="AK528" s="59">
        <v>5.8919929551353425</v>
      </c>
    </row>
    <row r="529" spans="1:37" x14ac:dyDescent="0.25">
      <c r="A529" s="61">
        <v>502</v>
      </c>
      <c r="B529" s="14">
        <f t="shared" si="9"/>
        <v>523</v>
      </c>
      <c r="C529" s="15">
        <v>44049</v>
      </c>
      <c r="D529" s="16">
        <v>0.52041666666666664</v>
      </c>
      <c r="E529" s="36">
        <v>20.12</v>
      </c>
      <c r="F529" s="36">
        <v>1.69</v>
      </c>
      <c r="G529" s="36">
        <v>0.33</v>
      </c>
      <c r="H529" s="56" cm="1">
        <f t="array" ref="H529:I529">LINEST(E520:E529,D520:D529)</f>
        <v>15.229090909090795</v>
      </c>
      <c r="I529" s="56">
        <v>12.168709090909152</v>
      </c>
      <c r="J529" s="56" cm="1">
        <f t="array" ref="J529:K529">LINEST(E515:E529,D515:D529)</f>
        <v>15.685714285714324</v>
      </c>
      <c r="K529" s="56">
        <v>11.936059523809506</v>
      </c>
      <c r="L529" s="56" cm="1">
        <f t="array" ref="L529:M529">LINEST(E510:E529,D510:D529)</f>
        <v>2.4090225563909926</v>
      </c>
      <c r="M529" s="56">
        <v>18.7495902255639</v>
      </c>
      <c r="N529" s="56" cm="1">
        <f t="array" ref="N529:O529">LINEST(E505:E529,D505:D529)</f>
        <v>-2.3316923076923168</v>
      </c>
      <c r="O529" s="56">
        <v>21.169790000000006</v>
      </c>
      <c r="P529" s="56" cm="1">
        <f t="array" ref="P529:Q529">LINEST(E500:E529,D500:D529)</f>
        <v>-2.9456729699666329</v>
      </c>
      <c r="Q529" s="56">
        <v>21.482654727474969</v>
      </c>
      <c r="R529" s="56" cm="1">
        <f t="array" ref="R529:S529">LINEST(F520:F529,D520:D529)</f>
        <v>42.676363636363796</v>
      </c>
      <c r="S529" s="56">
        <v>-21.252763636363717</v>
      </c>
      <c r="T529" s="56" cm="1">
        <f t="array" ref="T529:U529">LINEST(F515:F529,D515:D529)</f>
        <v>137.16000000000042</v>
      </c>
      <c r="U529" s="56">
        <v>-69.946850000000225</v>
      </c>
      <c r="V529" s="56" cm="1">
        <f t="array" ref="V529:W529">LINEST(F510:F529,D510:D529)</f>
        <v>57.865263157894681</v>
      </c>
      <c r="W529" s="56">
        <v>-29.264047368421025</v>
      </c>
      <c r="X529" s="56" cm="1">
        <f t="array" ref="X529:Y529">LINEST(F505:F529,D505:D529)</f>
        <v>25.521230769230648</v>
      </c>
      <c r="Y529" s="56">
        <v>-12.74591999999994</v>
      </c>
      <c r="Z529" s="56" cm="1">
        <f t="array" ref="Z529:AA529">LINEST(F500:F529,D500:D529)</f>
        <v>6.5592880978864674</v>
      </c>
      <c r="AA529" s="56">
        <v>-3.0944660734148686</v>
      </c>
      <c r="AB529" s="37" cm="1">
        <f t="array" ref="AB529:AC529">LINEST(G520:G529,D520:D529)</f>
        <v>32.029090909091003</v>
      </c>
      <c r="AC529" s="59">
        <v>-16.376290909090958</v>
      </c>
      <c r="AD529" s="37" cm="1">
        <f t="array" ref="AD529:AE529">LINEST(G515:G529,D515:D529)</f>
        <v>19.208571428571492</v>
      </c>
      <c r="AE529" s="59">
        <v>-9.7790440476190792</v>
      </c>
      <c r="AF529" s="37" cm="1">
        <f t="array" ref="AF529:AG529">LINEST(G510:G529,D510:D529)</f>
        <v>-3.789473684210575</v>
      </c>
      <c r="AG529" s="59">
        <v>2.0251052631579194</v>
      </c>
      <c r="AH529" s="37" cm="1">
        <f t="array" ref="AH529:AI529">LINEST(G505:G529,D505:D529)</f>
        <v>-10.611692307692337</v>
      </c>
      <c r="AI529" s="59">
        <v>5.5104400000000151</v>
      </c>
      <c r="AJ529" s="37" cm="1">
        <f t="array" ref="AJ529:AK529">LINEST(G500:G529,D500:D529)</f>
        <v>-9.9983092324805476</v>
      </c>
      <c r="AK529" s="59">
        <v>5.1992652576937397</v>
      </c>
    </row>
    <row r="530" spans="1:37" x14ac:dyDescent="0.25">
      <c r="A530" s="61">
        <v>502</v>
      </c>
      <c r="B530" s="14">
        <f t="shared" si="9"/>
        <v>524</v>
      </c>
      <c r="C530" s="15">
        <v>44050</v>
      </c>
      <c r="D530" s="16">
        <v>0.52180555555555552</v>
      </c>
      <c r="E530" s="36">
        <v>20.11</v>
      </c>
      <c r="F530" s="36">
        <v>-0.22</v>
      </c>
      <c r="G530" s="36">
        <v>0.28999999999999998</v>
      </c>
      <c r="H530" s="56" cm="1">
        <f t="array" ref="H530:I530">LINEST(E521:E530,D521:D530)</f>
        <v>15.796363636363541</v>
      </c>
      <c r="I530" s="56">
        <v>11.874096969697019</v>
      </c>
      <c r="J530" s="56" cm="1">
        <f t="array" ref="J530:K530">LINEST(E516:E530,D516:D530)</f>
        <v>12.111428571428549</v>
      </c>
      <c r="K530" s="56">
        <v>13.776605952380969</v>
      </c>
      <c r="L530" s="56" cm="1">
        <f t="array" ref="L530:M530">LINEST(E511:E530,D511:D530)</f>
        <v>4.7260150375940038</v>
      </c>
      <c r="M530" s="56">
        <v>17.570796240601492</v>
      </c>
      <c r="N530" s="56" cm="1">
        <f t="array" ref="N530:O530">LINEST(E506:E530,D506:D530)</f>
        <v>-0.45415384615387416</v>
      </c>
      <c r="O530" s="56">
        <v>20.223010769230783</v>
      </c>
      <c r="P530" s="56" cm="1">
        <f t="array" ref="P530:Q530">LINEST(E501:E530,D501:D530)</f>
        <v>-2.2729254727475028</v>
      </c>
      <c r="Q530" s="56">
        <v>21.151250945494997</v>
      </c>
      <c r="R530" s="56" cm="1">
        <f t="array" ref="R530:S530">LINEST(F521:F530,D521:D530)</f>
        <v>17.018181818181873</v>
      </c>
      <c r="S530" s="56">
        <v>-8.1958181818182112</v>
      </c>
      <c r="T530" s="56" cm="1">
        <f t="array" ref="T530:U530">LINEST(F516:F530,D516:D530)</f>
        <v>98.485714285714621</v>
      </c>
      <c r="U530" s="56">
        <v>-50.247559523809699</v>
      </c>
      <c r="V530" s="56" cm="1">
        <f t="array" ref="V530:W530">LINEST(F511:F530,D511:D530)</f>
        <v>53.501954887218027</v>
      </c>
      <c r="W530" s="56">
        <v>-27.135188721804504</v>
      </c>
      <c r="X530" s="56" cm="1">
        <f t="array" ref="X530:Y530">LINEST(F506:F530,D506:D530)</f>
        <v>24.258461538461447</v>
      </c>
      <c r="Y530" s="56">
        <v>-12.161892307692259</v>
      </c>
      <c r="Z530" s="56" cm="1">
        <f t="array" ref="Z530:AA530">LINEST(F501:F530,D501:D530)</f>
        <v>4.8822246941044929</v>
      </c>
      <c r="AA530" s="56">
        <v>-2.277249388209087</v>
      </c>
      <c r="AB530" s="37" cm="1">
        <f t="array" ref="AB530:AC530">LINEST(G521:G530,D521:D530)</f>
        <v>31.069090909091017</v>
      </c>
      <c r="AC530" s="59">
        <v>-15.88784242424248</v>
      </c>
      <c r="AD530" s="37" cm="1">
        <f t="array" ref="AD530:AE530">LINEST(G516:G530,D516:D530)</f>
        <v>25.508571428571525</v>
      </c>
      <c r="AE530" s="59">
        <v>-13.019847619047669</v>
      </c>
      <c r="AF530" s="37" cm="1">
        <f t="array" ref="AF530:AG530">LINEST(G511:G530,D511:D530)</f>
        <v>0.71458646616537436</v>
      </c>
      <c r="AG530" s="59">
        <v>-0.26244661654133344</v>
      </c>
      <c r="AH530" s="37" cm="1">
        <f t="array" ref="AH530:AI530">LINEST(G506:G530,D506:D530)</f>
        <v>-7.870153846153884</v>
      </c>
      <c r="AI530" s="59">
        <v>4.1347207692307881</v>
      </c>
      <c r="AJ530" s="37" cm="1">
        <f t="array" ref="AJ530:AK530">LINEST(G501:G530,D501:D530)</f>
        <v>-8.8097886540600854</v>
      </c>
      <c r="AK530" s="59">
        <v>4.6149106414534753</v>
      </c>
    </row>
    <row r="531" spans="1:37" x14ac:dyDescent="0.25">
      <c r="A531" s="61">
        <v>502</v>
      </c>
      <c r="B531" s="14">
        <f t="shared" si="9"/>
        <v>525</v>
      </c>
      <c r="C531" s="15">
        <v>44051</v>
      </c>
      <c r="D531" s="16">
        <v>0.52319444444444441</v>
      </c>
      <c r="E531" s="36">
        <v>20.14</v>
      </c>
      <c r="F531" s="36">
        <v>0.89</v>
      </c>
      <c r="G531" s="36">
        <v>0.33</v>
      </c>
      <c r="H531" s="56" cm="1">
        <f t="array" ref="H531:I531">LINEST(E522:E531,D522:D531)</f>
        <v>15.883636363636349</v>
      </c>
      <c r="I531" s="56">
        <v>11.829042424242431</v>
      </c>
      <c r="J531" s="56" cm="1">
        <f t="array" ref="J531:K531">LINEST(E517:E531,D517:D531)</f>
        <v>14.631428571428572</v>
      </c>
      <c r="K531" s="56">
        <v>12.477834523809523</v>
      </c>
      <c r="L531" s="56" cm="1">
        <f t="array" ref="L531:M531">LINEST(E512:E531,D512:D531)</f>
        <v>7.4003007518797164</v>
      </c>
      <c r="M531" s="56">
        <v>16.204346616541343</v>
      </c>
      <c r="N531" s="56" cm="1">
        <f t="array" ref="N531:O531">LINEST(E507:E531,D507:D531)</f>
        <v>1.788923076923064</v>
      </c>
      <c r="O531" s="56">
        <v>19.086260769230776</v>
      </c>
      <c r="P531" s="56" cm="1">
        <f t="array" ref="P531:Q531">LINEST(E502:E531,D502:D531)</f>
        <v>-1.4303893214683114</v>
      </c>
      <c r="Q531" s="56">
        <v>20.733231961438641</v>
      </c>
      <c r="R531" s="56" cm="1">
        <f t="array" ref="R531:S531">LINEST(F522:F531,D522:D531)</f>
        <v>9.2072727272727608</v>
      </c>
      <c r="S531" s="56">
        <v>-4.1086484848485023</v>
      </c>
      <c r="T531" s="56" cm="1">
        <f t="array" ref="T531:U531">LINEST(F517:F531,D517:D531)</f>
        <v>76.500000000000256</v>
      </c>
      <c r="U531" s="56">
        <v>-38.93595833333346</v>
      </c>
      <c r="V531" s="56" cm="1">
        <f t="array" ref="V531:W531">LINEST(F512:F531,D512:D531)</f>
        <v>64.410225563909819</v>
      </c>
      <c r="W531" s="56">
        <v>-32.743215037594005</v>
      </c>
      <c r="X531" s="56" cm="1">
        <f t="array" ref="X531:Y531">LINEST(F507:F531,D507:D531)</f>
        <v>35.01969230769226</v>
      </c>
      <c r="Y531" s="56">
        <v>-17.644846923076901</v>
      </c>
      <c r="Z531" s="56" cm="1">
        <f t="array" ref="Z531:AA531">LINEST(F502:F531,D502:D531)</f>
        <v>9.2999332591767967</v>
      </c>
      <c r="AA531" s="56">
        <v>-4.4897164256581057</v>
      </c>
      <c r="AB531" s="37" cm="1">
        <f t="array" ref="AB531:AC531">LINEST(G522:G531,D522:D531)</f>
        <v>29.32363636363646</v>
      </c>
      <c r="AC531" s="59">
        <v>-14.988690909090959</v>
      </c>
      <c r="AD531" s="37" cm="1">
        <f t="array" ref="AD531:AE531">LINEST(G517:G531,D517:D531)</f>
        <v>29.391428571428673</v>
      </c>
      <c r="AE531" s="59">
        <v>-15.025682142857194</v>
      </c>
      <c r="AF531" s="37" cm="1">
        <f t="array" ref="AF531:AG531">LINEST(G512:G531,D512:D531)</f>
        <v>5.6733834586465903</v>
      </c>
      <c r="AG531" s="59">
        <v>-2.7924255639097613</v>
      </c>
      <c r="AH531" s="37" cm="1">
        <f t="array" ref="AH531:AI531">LINEST(G507:G531,D507:D531)</f>
        <v>-4.5692307692308027</v>
      </c>
      <c r="AI531" s="59">
        <v>2.4684423076923245</v>
      </c>
      <c r="AJ531" s="37" cm="1">
        <f t="array" ref="AJ531:AK531">LINEST(G502:G531,D502:D531)</f>
        <v>-7.4162402669633147</v>
      </c>
      <c r="AK531" s="59">
        <v>3.9254475342973789</v>
      </c>
    </row>
    <row r="532" spans="1:37" x14ac:dyDescent="0.25">
      <c r="A532" s="61">
        <v>502</v>
      </c>
      <c r="B532" s="14">
        <f t="shared" si="9"/>
        <v>526</v>
      </c>
      <c r="C532" s="15">
        <v>44052</v>
      </c>
      <c r="D532" s="16">
        <v>0.52458333333333329</v>
      </c>
      <c r="E532" s="36">
        <v>20.18</v>
      </c>
      <c r="F532" s="36">
        <v>1.3</v>
      </c>
      <c r="G532" s="36">
        <v>0.41</v>
      </c>
      <c r="H532" s="56" cm="1">
        <f t="array" ref="H532:I532">LINEST(E523:E532,D523:D532)</f>
        <v>16.581818181818196</v>
      </c>
      <c r="I532" s="56">
        <v>11.469090909090902</v>
      </c>
      <c r="J532" s="56" cm="1">
        <f t="array" ref="J532:K532">LINEST(E518:E532,D518:D532)</f>
        <v>15.351428571428535</v>
      </c>
      <c r="K532" s="56">
        <v>12.108146428571448</v>
      </c>
      <c r="L532" s="56" cm="1">
        <f t="array" ref="L532:M532">LINEST(E513:E532,D513:D532)</f>
        <v>10.399398496240615</v>
      </c>
      <c r="M532" s="56">
        <v>14.666363157894731</v>
      </c>
      <c r="N532" s="56" cm="1">
        <f t="array" ref="N532:O532">LINEST(E508:E532,D508:D532)</f>
        <v>4.3144615384615381</v>
      </c>
      <c r="O532" s="56">
        <v>17.801413076923076</v>
      </c>
      <c r="P532" s="56" cm="1">
        <f t="array" ref="P532:Q532">LINEST(E503:E532,D503:D532)</f>
        <v>-0.37802002224695846</v>
      </c>
      <c r="Q532" s="56">
        <v>20.208023433444573</v>
      </c>
      <c r="R532" s="56" cm="1">
        <f t="array" ref="R532:S532">LINEST(F523:F532,D523:D532)</f>
        <v>22.647272727272806</v>
      </c>
      <c r="S532" s="56">
        <v>-10.997836363636404</v>
      </c>
      <c r="T532" s="56" cm="1">
        <f t="array" ref="T532:U532">LINEST(F518:F532,D518:D532)</f>
        <v>55.748571428571609</v>
      </c>
      <c r="U532" s="56">
        <v>-28.171438095238187</v>
      </c>
      <c r="V532" s="56" cm="1">
        <f t="array" ref="V532:W532">LINEST(F513:F532,D513:D532)</f>
        <v>76.736842105263335</v>
      </c>
      <c r="W532" s="56">
        <v>-39.076868421052723</v>
      </c>
      <c r="X532" s="56" cm="1">
        <f t="array" ref="X532:Y532">LINEST(F508:F532,D508:D532)</f>
        <v>42.21969230769227</v>
      </c>
      <c r="Y532" s="56">
        <v>-21.297685384615367</v>
      </c>
      <c r="Z532" s="56" cm="1">
        <f t="array" ref="Z532:AA532">LINEST(F503:F532,D503:D532)</f>
        <v>14.667497219132304</v>
      </c>
      <c r="AA532" s="56">
        <v>-7.1746041527622966</v>
      </c>
      <c r="AB532" s="37" cm="1">
        <f t="array" ref="AB532:AC532">LINEST(G523:G532,D523:D532)</f>
        <v>28.669090909091008</v>
      </c>
      <c r="AC532" s="59">
        <v>-14.645145454545505</v>
      </c>
      <c r="AD532" s="37" cm="1">
        <f t="array" ref="AD532:AE532">LINEST(G518:G532,D518:D532)</f>
        <v>31.551428571428676</v>
      </c>
      <c r="AE532" s="59">
        <v>-16.142603571428626</v>
      </c>
      <c r="AF532" s="37" cm="1">
        <f t="array" ref="AF532:AG532">LINEST(G513:G532,D513:D532)</f>
        <v>11.22766917293233</v>
      </c>
      <c r="AG532" s="59">
        <v>-5.6357052631578943</v>
      </c>
      <c r="AH532" s="37" cm="1">
        <f t="array" ref="AH532:AI532">LINEST(G508:G532,D508:D532)</f>
        <v>-0.95261538461541584</v>
      </c>
      <c r="AI532" s="59">
        <v>0.63744923076924664</v>
      </c>
      <c r="AJ532" s="37" cm="1">
        <f t="array" ref="AJ532:AK532">LINEST(G503:G532,D503:D532)</f>
        <v>-5.6943270300333939</v>
      </c>
      <c r="AK532" s="59">
        <v>3.0694716351501787</v>
      </c>
    </row>
    <row r="533" spans="1:37" x14ac:dyDescent="0.25">
      <c r="A533" s="61">
        <v>502</v>
      </c>
      <c r="B533" s="14">
        <f t="shared" si="9"/>
        <v>527</v>
      </c>
      <c r="C533" s="15">
        <v>44053</v>
      </c>
      <c r="D533" s="16">
        <v>0.52597222222222217</v>
      </c>
      <c r="E533" s="36">
        <v>19.95</v>
      </c>
      <c r="F533" s="36">
        <v>1.3</v>
      </c>
      <c r="G533" s="36">
        <v>0.48</v>
      </c>
      <c r="H533" s="56" cm="1">
        <f t="array" ref="H533:I533">LINEST(E524:E533,D524:D533)</f>
        <v>7.1127272727272635</v>
      </c>
      <c r="I533" s="56">
        <v>16.366357575757579</v>
      </c>
      <c r="J533" s="56" cm="1">
        <f t="array" ref="J533:K533">LINEST(E519:E533,D519:D533)</f>
        <v>11.31428571428566</v>
      </c>
      <c r="K533" s="56">
        <v>14.176333333333361</v>
      </c>
      <c r="L533" s="56" cm="1">
        <f t="array" ref="L533:M533">LINEST(E514:E533,D514:D533)</f>
        <v>11.471278195488733</v>
      </c>
      <c r="M533" s="56">
        <v>14.094283458646608</v>
      </c>
      <c r="N533" s="56" cm="1">
        <f t="array" ref="N533:O533">LINEST(E509:E533,D509:D533)</f>
        <v>3.793846153846157</v>
      </c>
      <c r="O533" s="56">
        <v>18.060173076923075</v>
      </c>
      <c r="P533" s="56" cm="1">
        <f t="array" ref="P533:Q533">LINEST(E504:E533,D504:D533)</f>
        <v>-0.42927697441603685</v>
      </c>
      <c r="Q533" s="56">
        <v>20.230475936225442</v>
      </c>
      <c r="R533" s="56" cm="1">
        <f t="array" ref="R533:S533">LINEST(F524:F533,D524:D533)</f>
        <v>36.392727272727413</v>
      </c>
      <c r="S533" s="56">
        <v>-18.100109090909164</v>
      </c>
      <c r="T533" s="56" cm="1">
        <f t="array" ref="T533:U533">LINEST(F519:F533,D519:D533)</f>
        <v>27.797142857142962</v>
      </c>
      <c r="U533" s="56">
        <v>-13.632275000000053</v>
      </c>
      <c r="V533" s="56" cm="1">
        <f t="array" ref="V533:W533">LINEST(F514:F533,D514:D533)</f>
        <v>101.75819548872208</v>
      </c>
      <c r="W533" s="56">
        <v>-52.0158413533836</v>
      </c>
      <c r="X533" s="56" cm="1">
        <f t="array" ref="X533:Y533">LINEST(F509:F533,D509:D533)</f>
        <v>48.688615384615424</v>
      </c>
      <c r="Y533" s="56">
        <v>-24.598182307692326</v>
      </c>
      <c r="Z533" s="56" cm="1">
        <f t="array" ref="Z533:AA533">LINEST(F504:F533,D504:D533)</f>
        <v>18.699176863181254</v>
      </c>
      <c r="AA533" s="56">
        <v>-9.1920002966258529</v>
      </c>
      <c r="AB533" s="37" cm="1">
        <f t="array" ref="AB533:AC533">LINEST(G524:G533,D524:D533)</f>
        <v>29.23636363636373</v>
      </c>
      <c r="AC533" s="59">
        <v>-14.932787878787927</v>
      </c>
      <c r="AD533" s="37" cm="1">
        <f t="array" ref="AD533:AE533">LINEST(G519:G533,D519:D533)</f>
        <v>31.32000000000011</v>
      </c>
      <c r="AE533" s="59">
        <v>-16.018950000000057</v>
      </c>
      <c r="AF533" s="37" cm="1">
        <f t="array" ref="AF533:AG533">LINEST(G514:G533,D514:D533)</f>
        <v>18.303157894736884</v>
      </c>
      <c r="AG533" s="59">
        <v>-9.2749526315789694</v>
      </c>
      <c r="AH533" s="37" cm="1">
        <f t="array" ref="AH533:AI533">LINEST(G509:G533,D509:D533)</f>
        <v>2.9187692307692084</v>
      </c>
      <c r="AI533" s="59">
        <v>-1.3293453846153733</v>
      </c>
      <c r="AJ533" s="37" cm="1">
        <f t="array" ref="AJ533:AK533">LINEST(G504:G533,D504:D533)</f>
        <v>-3.7689877641824547</v>
      </c>
      <c r="AK533" s="59">
        <v>2.1088129773822919</v>
      </c>
    </row>
    <row r="534" spans="1:37" x14ac:dyDescent="0.25">
      <c r="A534" s="61">
        <v>502</v>
      </c>
      <c r="B534" s="14">
        <f t="shared" si="9"/>
        <v>528</v>
      </c>
      <c r="C534" s="15">
        <v>44054</v>
      </c>
      <c r="D534" s="16">
        <v>0.52736111111111106</v>
      </c>
      <c r="E534" s="36">
        <v>19.97</v>
      </c>
      <c r="F534" s="36">
        <v>1.3</v>
      </c>
      <c r="G534" s="36">
        <v>0.54</v>
      </c>
      <c r="H534" s="56" cm="1">
        <f t="array" ref="H534:I534">LINEST(E525:E534,D525:D534)</f>
        <v>-0.52363636363641641</v>
      </c>
      <c r="I534" s="56">
        <v>20.334872727272757</v>
      </c>
      <c r="J534" s="56" cm="1">
        <f t="array" ref="J534:K534">LINEST(E520:E534,D520:D534)</f>
        <v>7.8428571428570537</v>
      </c>
      <c r="K534" s="56">
        <v>15.962898809523859</v>
      </c>
      <c r="L534" s="56" cm="1">
        <f t="array" ref="L534:M534">LINEST(E515:E534,D515:D534)</f>
        <v>11.103157894736837</v>
      </c>
      <c r="M534" s="56">
        <v>14.268626315789479</v>
      </c>
      <c r="N534" s="56" cm="1">
        <f t="array" ref="N534:O534">LINEST(E510:E534,D510:D534)</f>
        <v>3.6996923076923047</v>
      </c>
      <c r="O534" s="56">
        <v>18.101787692307692</v>
      </c>
      <c r="P534" s="56" cm="1">
        <f t="array" ref="P534:Q534">LINEST(E505:E534,D505:D534)</f>
        <v>-1.6017797553072024E-3</v>
      </c>
      <c r="Q534" s="56">
        <v>20.008479124953666</v>
      </c>
      <c r="R534" s="56" cm="1">
        <f t="array" ref="R534:S534">LINEST(F525:F534,D525:D534)</f>
        <v>46.647272727272899</v>
      </c>
      <c r="S534" s="56">
        <v>-23.42741212121221</v>
      </c>
      <c r="T534" s="56" cm="1">
        <f t="array" ref="T534:U534">LINEST(F520:F534,D520:D534)</f>
        <v>35.845714285714415</v>
      </c>
      <c r="U534" s="56">
        <v>-17.790469047619112</v>
      </c>
      <c r="V534" s="56" cm="1">
        <f t="array" ref="V534:W534">LINEST(F515:F534,D515:D534)</f>
        <v>94.536541353383768</v>
      </c>
      <c r="W534" s="56">
        <v>-48.304038345864818</v>
      </c>
      <c r="X534" s="56" cm="1">
        <f t="array" ref="X534:Y534">LINEST(F510:F534,D510:D534)</f>
        <v>54.426461538461588</v>
      </c>
      <c r="Y534" s="56">
        <v>-27.543291538461567</v>
      </c>
      <c r="Z534" s="56" cm="1">
        <f t="array" ref="Z534:AA534">LINEST(F505:F534,D505:D534)</f>
        <v>31.957107897664027</v>
      </c>
      <c r="AA534" s="56">
        <v>-15.965021950315144</v>
      </c>
      <c r="AB534" s="37" cm="1">
        <f t="array" ref="AB534:AC534">LINEST(G525:G534,D525:D534)</f>
        <v>30.458181818181924</v>
      </c>
      <c r="AC534" s="59">
        <v>-15.562096969697023</v>
      </c>
      <c r="AD534" s="37" cm="1">
        <f t="array" ref="AD534:AE534">LINEST(G520:G534,D520:D534)</f>
        <v>31.55142857142868</v>
      </c>
      <c r="AE534" s="59">
        <v>-16.134246428571483</v>
      </c>
      <c r="AF534" s="37" cm="1">
        <f t="array" ref="AF534:AG534">LINEST(G515:G534,D515:D534)</f>
        <v>24.193082706767001</v>
      </c>
      <c r="AG534" s="59">
        <v>-12.313776691729366</v>
      </c>
      <c r="AH534" s="37" cm="1">
        <f t="array" ref="AH534:AI534">LINEST(G510:G534,D510:D534)</f>
        <v>6.92307692307691</v>
      </c>
      <c r="AI534" s="59">
        <v>-3.3711769230769164</v>
      </c>
      <c r="AJ534" s="37" cm="1">
        <f t="array" ref="AJ534:AK534">LINEST(G505:G534,D505:D534)</f>
        <v>-1.0203337041157121</v>
      </c>
      <c r="AK534" s="59">
        <v>0.72320259547646959</v>
      </c>
    </row>
    <row r="535" spans="1:37" x14ac:dyDescent="0.25">
      <c r="A535" s="61">
        <v>502</v>
      </c>
      <c r="B535" s="14">
        <f t="shared" si="9"/>
        <v>529</v>
      </c>
      <c r="C535" s="15">
        <v>44055</v>
      </c>
      <c r="D535" s="16">
        <v>0.52874999999999994</v>
      </c>
      <c r="E535" s="36">
        <v>20</v>
      </c>
      <c r="F535" s="36">
        <v>1.3</v>
      </c>
      <c r="G535" s="36">
        <v>0.6</v>
      </c>
      <c r="H535" s="56" cm="1">
        <f t="array" ref="H535:I535">LINEST(E526:E535,D526:D535)</f>
        <v>-4.9745454545455212</v>
      </c>
      <c r="I535" s="56">
        <v>22.659200000000034</v>
      </c>
      <c r="J535" s="56" cm="1">
        <f t="array" ref="J535:K535">LINEST(E521:E535,D521:D535)</f>
        <v>5.3228571428570701</v>
      </c>
      <c r="K535" s="56">
        <v>17.265289285714321</v>
      </c>
      <c r="L535" s="56" cm="1">
        <f t="array" ref="L535:M535">LINEST(E516:E535,D516:D535)</f>
        <v>7.3840601503759089</v>
      </c>
      <c r="M535" s="56">
        <v>16.189106766917313</v>
      </c>
      <c r="N535" s="56" cm="1">
        <f t="array" ref="N535:O535">LINEST(E511:E535,D511:D535)</f>
        <v>4.181538461538465</v>
      </c>
      <c r="O535" s="56">
        <v>17.847903846153844</v>
      </c>
      <c r="P535" s="56" cm="1">
        <f t="array" ref="P535:Q535">LINEST(E506:E535,D506:D535)</f>
        <v>0.66954393770853637</v>
      </c>
      <c r="Q535" s="56">
        <v>19.662129180571018</v>
      </c>
      <c r="R535" s="56" cm="1">
        <f t="array" ref="R535:S535">LINEST(F526:F535,D526:D535)</f>
        <v>82.254545454545791</v>
      </c>
      <c r="S535" s="56">
        <v>-42.095000000000169</v>
      </c>
      <c r="T535" s="56" cm="1">
        <f t="array" ref="T535:U535">LINEST(F521:F535,D521:D535)</f>
        <v>48.265714285714459</v>
      </c>
      <c r="U535" s="56">
        <v>-24.259913095238183</v>
      </c>
      <c r="V535" s="56" cm="1">
        <f t="array" ref="V535:W535">LINEST(F516:F535,D516:D535)</f>
        <v>84.28330827067694</v>
      </c>
      <c r="W535" s="56">
        <v>-43.009227819548997</v>
      </c>
      <c r="X535" s="56" cm="1">
        <f t="array" ref="X535:Y535">LINEST(F511:F535,D511:D535)</f>
        <v>59.43323076923086</v>
      </c>
      <c r="Y535" s="56">
        <v>-30.129966923076971</v>
      </c>
      <c r="Z535" s="56" cm="1">
        <f t="array" ref="Z535:AA535">LINEST(F506:F535,D506:D535)</f>
        <v>36.83933259176861</v>
      </c>
      <c r="AA535" s="56">
        <v>-18.457227215424535</v>
      </c>
      <c r="AB535" s="37" cm="1">
        <f t="array" ref="AB535:AC535">LINEST(G526:G535,D526:D535)</f>
        <v>34.647272727272849</v>
      </c>
      <c r="AC535" s="59">
        <v>-17.749200000000062</v>
      </c>
      <c r="AD535" s="37" cm="1">
        <f t="array" ref="AD535:AE535">LINEST(G521:G535,D521:D535)</f>
        <v>32.862857142857251</v>
      </c>
      <c r="AE535" s="59">
        <v>-16.812735714285768</v>
      </c>
      <c r="AF535" s="37" cm="1">
        <f t="array" ref="AF535:AG535">LINEST(G516:G535,D516:D535)</f>
        <v>28.897443609022645</v>
      </c>
      <c r="AG535" s="59">
        <v>-14.748237593985007</v>
      </c>
      <c r="AH535" s="37" cm="1">
        <f t="array" ref="AH535:AI535">LINEST(G511:G535,D511:D535)</f>
        <v>11.010461538461538</v>
      </c>
      <c r="AI535" s="59">
        <v>-5.4630738461538453</v>
      </c>
      <c r="AJ535" s="37" cm="1">
        <f t="array" ref="AJ535:AK535">LINEST(G506:G535,D506:D535)</f>
        <v>1.9253392658509205</v>
      </c>
      <c r="AK535" s="59">
        <v>-0.76791560993695429</v>
      </c>
    </row>
    <row r="536" spans="1:37" x14ac:dyDescent="0.25">
      <c r="A536" s="61">
        <v>502</v>
      </c>
      <c r="B536" s="14">
        <f t="shared" si="9"/>
        <v>530</v>
      </c>
      <c r="C536" s="15">
        <v>44056</v>
      </c>
      <c r="D536" s="16">
        <v>0.53013888888888883</v>
      </c>
      <c r="E536" s="36">
        <v>20.02</v>
      </c>
      <c r="F536" s="36">
        <v>0.52</v>
      </c>
      <c r="G536" s="36">
        <v>0.6</v>
      </c>
      <c r="H536" s="56" cm="1">
        <f t="array" ref="H536:I536">LINEST(E527:E536,D527:D536)</f>
        <v>-7.0254545454545836</v>
      </c>
      <c r="I536" s="56">
        <v>23.737557575757595</v>
      </c>
      <c r="J536" s="56" cm="1">
        <f t="array" ref="J536:K536">LINEST(E522:E536,D522:D536)</f>
        <v>2.9571428571427978</v>
      </c>
      <c r="K536" s="56">
        <v>18.49572023809527</v>
      </c>
      <c r="L536" s="56" cm="1">
        <f t="array" ref="L536:M536">LINEST(E517:E536,D517:D536)</f>
        <v>7.2216541353383112</v>
      </c>
      <c r="M536" s="56">
        <v>16.265806015037615</v>
      </c>
      <c r="N536" s="56" cm="1">
        <f t="array" ref="N536:O536">LINEST(E512:E536,D512:D536)</f>
        <v>4.8959999999999937</v>
      </c>
      <c r="O536" s="56">
        <v>17.47364</v>
      </c>
      <c r="P536" s="56" cm="1">
        <f t="array" ref="P536:Q536">LINEST(E507:E536,D507:D536)</f>
        <v>1.5809566184649406</v>
      </c>
      <c r="Q536" s="56">
        <v>19.191378791249548</v>
      </c>
      <c r="R536" s="56" cm="1">
        <f t="array" ref="R536:S536">LINEST(F527:F536,D527:D536)</f>
        <v>67.854545454545701</v>
      </c>
      <c r="S536" s="56">
        <v>-34.701242424242551</v>
      </c>
      <c r="T536" s="56" cm="1">
        <f t="array" ref="T536:U536">LINEST(F522:F536,D522:D536)</f>
        <v>30.394285714285829</v>
      </c>
      <c r="U536" s="56">
        <v>-15.002359523809583</v>
      </c>
      <c r="V536" s="56" cm="1">
        <f t="array" ref="V536:W536">LINEST(F517:F536,D517:D536)</f>
        <v>62.975639097744569</v>
      </c>
      <c r="W536" s="56">
        <v>-32.010406766917399</v>
      </c>
      <c r="X536" s="56" cm="1">
        <f t="array" ref="X536:Y536">LINEST(F512:F536,D512:D536)</f>
        <v>60.828923076923189</v>
      </c>
      <c r="Y536" s="56">
        <v>-30.920362307692365</v>
      </c>
      <c r="Z536" s="56" cm="1">
        <f t="array" ref="Z536:AA536">LINEST(F507:F536,D507:D536)</f>
        <v>40.787719688542836</v>
      </c>
      <c r="AA536" s="56">
        <v>-20.53307037449018</v>
      </c>
      <c r="AB536" s="37" cm="1">
        <f t="array" ref="AB536:AC536">LINEST(G527:G536,D527:D536)</f>
        <v>37.396363636363766</v>
      </c>
      <c r="AC536" s="59">
        <v>-19.198539393939459</v>
      </c>
      <c r="AD536" s="37" cm="1">
        <f t="array" ref="AD536:AE536">LINEST(G522:G536,D522:D536)</f>
        <v>32.811428571428678</v>
      </c>
      <c r="AE536" s="59">
        <v>-16.786947619047673</v>
      </c>
      <c r="AF536" s="37" cm="1">
        <f t="array" ref="AF536:AG536">LINEST(G517:G536,D517:D536)</f>
        <v>31.59338345864672</v>
      </c>
      <c r="AG536" s="59">
        <v>-16.151024060150426</v>
      </c>
      <c r="AH536" s="37" cm="1">
        <f t="array" ref="AH536:AI536">LINEST(G512:G536,D512:D536)</f>
        <v>14.948307692307703</v>
      </c>
      <c r="AI536" s="59">
        <v>-7.4895407692307741</v>
      </c>
      <c r="AJ536" s="37" cm="1">
        <f t="array" ref="AJ536:AK536">LINEST(G507:G536,D507:D536)</f>
        <v>4.9655172413792901</v>
      </c>
      <c r="AK536" s="59">
        <v>-2.3164137931034379</v>
      </c>
    </row>
    <row r="537" spans="1:37" x14ac:dyDescent="0.25">
      <c r="A537" s="61">
        <v>502</v>
      </c>
      <c r="B537" s="14">
        <f t="shared" si="9"/>
        <v>531</v>
      </c>
      <c r="C537" s="15">
        <v>44057</v>
      </c>
      <c r="D537" s="16">
        <v>0.53152777777777771</v>
      </c>
      <c r="E537" s="36">
        <v>20.02</v>
      </c>
      <c r="F537" s="36">
        <v>0.11</v>
      </c>
      <c r="G537" s="36">
        <v>0.56000000000000005</v>
      </c>
      <c r="H537" s="56" cm="1">
        <f t="array" ref="H537:I537">LINEST(E528:E537,D528:D537)</f>
        <v>-10.254545454545514</v>
      </c>
      <c r="I537" s="56">
        <v>25.443484848484886</v>
      </c>
      <c r="J537" s="56" cm="1">
        <f t="array" ref="J537:K537">LINEST(E523:E537,D523:D537)</f>
        <v>0.74571428571423937</v>
      </c>
      <c r="K537" s="56">
        <v>19.650882142857164</v>
      </c>
      <c r="L537" s="56" cm="1">
        <f t="array" ref="L537:M537">LINEST(E518:E537,D518:D537)</f>
        <v>5.8574436090225008</v>
      </c>
      <c r="M537" s="56">
        <v>16.970891729323334</v>
      </c>
      <c r="N537" s="56" cm="1">
        <f t="array" ref="N537:O537">LINEST(E513:E537,D513:D537)</f>
        <v>5.632615384615371</v>
      </c>
      <c r="O537" s="56">
        <v>17.085985384615391</v>
      </c>
      <c r="P537" s="56" cm="1">
        <f t="array" ref="P537:Q537">LINEST(E508:E537,D508:D537)</f>
        <v>2.5404226918798574</v>
      </c>
      <c r="Q537" s="56">
        <v>18.693522728958104</v>
      </c>
      <c r="R537" s="56" cm="1">
        <f t="array" ref="R537:S537">LINEST(F528:F537,D528:D537)</f>
        <v>-37.265454545454681</v>
      </c>
      <c r="S537" s="56">
        <v>20.50671515151522</v>
      </c>
      <c r="T537" s="56" cm="1">
        <f t="array" ref="T537:U537">LINEST(F523:F537,D523:D537)</f>
        <v>9.1542857142857486</v>
      </c>
      <c r="U537" s="56">
        <v>-3.9807571428571609</v>
      </c>
      <c r="V537" s="56" cm="1">
        <f t="array" ref="V537:W537">LINEST(F518:F537,D518:D537)</f>
        <v>35.263759398496362</v>
      </c>
      <c r="W537" s="56">
        <v>-17.65338195488728</v>
      </c>
      <c r="X537" s="56" cm="1">
        <f t="array" ref="X537:Y537">LINEST(F513:F537,D513:D537)</f>
        <v>58.009846153846297</v>
      </c>
      <c r="Y537" s="56">
        <v>-29.553413846153919</v>
      </c>
      <c r="Z537" s="56" cm="1">
        <f t="array" ref="Z537:AA537">LINEST(F508:F537,D508:D537)</f>
        <v>38.617308120133529</v>
      </c>
      <c r="AA537" s="56">
        <v>-19.475462291434951</v>
      </c>
      <c r="AB537" s="37" cm="1">
        <f t="array" ref="AB537:AC537">LINEST(G528:G537,D528:D537)</f>
        <v>31.810909090909202</v>
      </c>
      <c r="AC537" s="59">
        <v>-16.274563636363695</v>
      </c>
      <c r="AD537" s="37" cm="1">
        <f t="array" ref="AD537:AE537">LINEST(G523:G537,D523:D537)</f>
        <v>30.934285714285821</v>
      </c>
      <c r="AE537" s="59">
        <v>-15.813015476190529</v>
      </c>
      <c r="AF537" s="37" cm="1">
        <f t="array" ref="AF537:AG537">LINEST(G518:G537,D518:D537)</f>
        <v>31.956090225564022</v>
      </c>
      <c r="AG537" s="59">
        <v>-16.348406766917353</v>
      </c>
      <c r="AH537" s="37" cm="1">
        <f t="array" ref="AH537:AI537">LINEST(G513:G537,D513:D537)</f>
        <v>18.326769230769258</v>
      </c>
      <c r="AI537" s="59">
        <v>-9.2397407692307834</v>
      </c>
      <c r="AJ537" s="37" cm="1">
        <f t="array" ref="AJ537:AK537">LINEST(G508:G537,D508:D537)</f>
        <v>7.5764182424916484</v>
      </c>
      <c r="AK537" s="59">
        <v>-3.6538294401186455</v>
      </c>
    </row>
    <row r="538" spans="1:37" x14ac:dyDescent="0.25">
      <c r="A538" s="61">
        <v>502</v>
      </c>
      <c r="B538" s="14">
        <f t="shared" si="9"/>
        <v>532</v>
      </c>
      <c r="C538" s="15">
        <v>44058</v>
      </c>
      <c r="D538" s="16">
        <v>0.53291666666666659</v>
      </c>
      <c r="E538" s="36">
        <v>20.03</v>
      </c>
      <c r="F538" s="36">
        <v>0.28000000000000003</v>
      </c>
      <c r="G538" s="36">
        <v>0.54</v>
      </c>
      <c r="H538" s="56" cm="1">
        <f t="array" ref="H538:I538">LINEST(E529:E538,D529:D538)</f>
        <v>-11.17090909090914</v>
      </c>
      <c r="I538" s="56">
        <v>25.937345454545486</v>
      </c>
      <c r="J538" s="56" cm="1">
        <f t="array" ref="J538:K538">LINEST(E524:E538,D524:D538)</f>
        <v>-1.0800000000000083</v>
      </c>
      <c r="K538" s="56">
        <v>20.609716666666667</v>
      </c>
      <c r="L538" s="56" cm="1">
        <f t="array" ref="L538:M538">LINEST(E519:E538,D519:D538)</f>
        <v>4.5365413533834182</v>
      </c>
      <c r="M538" s="56">
        <v>17.657258646616558</v>
      </c>
      <c r="N538" s="56" cm="1">
        <f t="array" ref="N538:O538">LINEST(E514:E538,D514:D538)</f>
        <v>6.8178461538461521</v>
      </c>
      <c r="O538" s="56">
        <v>16.463086923076922</v>
      </c>
      <c r="P538" s="56" cm="1">
        <f t="array" ref="P538:Q538">LINEST(E509:E538,D509:D538)</f>
        <v>2.5516351501668528</v>
      </c>
      <c r="Q538" s="56">
        <v>18.686578197997772</v>
      </c>
      <c r="R538" s="56" cm="1">
        <f t="array" ref="R538:S538">LINEST(F529:F538,D529:D538)</f>
        <v>-53.367272727272912</v>
      </c>
      <c r="S538" s="56">
        <v>28.953763636363732</v>
      </c>
      <c r="T538" s="56" cm="1">
        <f t="array" ref="T538:U538">LINEST(F524:F538,D524:D538)</f>
        <v>-4.7828571428571536</v>
      </c>
      <c r="U538" s="56">
        <v>3.2790309523809578</v>
      </c>
      <c r="V538" s="56" cm="1">
        <f t="array" ref="V538:W538">LINEST(F519:F538,D519:D538)</f>
        <v>7.557293233082734</v>
      </c>
      <c r="W538" s="56">
        <v>-3.2136932330827208</v>
      </c>
      <c r="X538" s="56" cm="1">
        <f t="array" ref="X538:Y538">LINEST(F514:F538,D514:D538)</f>
        <v>65.17661538461563</v>
      </c>
      <c r="Y538" s="56">
        <v>-33.376227692307815</v>
      </c>
      <c r="Z538" s="56" cm="1">
        <f t="array" ref="Z538:AA538">LINEST(F509:F538,D509:D538)</f>
        <v>37.194927697441663</v>
      </c>
      <c r="AA538" s="56">
        <v>-18.789732369299252</v>
      </c>
      <c r="AB538" s="37" cm="1">
        <f t="array" ref="AB538:AC538">LINEST(G529:G538,D529:D538)</f>
        <v>25.134545454545535</v>
      </c>
      <c r="AC538" s="59">
        <v>-12.769527272727315</v>
      </c>
      <c r="AD538" s="37" cm="1">
        <f t="array" ref="AD538:AE538">LINEST(G524:G538,D524:D538)</f>
        <v>28.182857142857234</v>
      </c>
      <c r="AE538" s="59">
        <v>-14.381114285714332</v>
      </c>
      <c r="AF538" s="37" cm="1">
        <f t="array" ref="AF538:AG538">LINEST(G519:G538,D519:D538)</f>
        <v>30.115488721804621</v>
      </c>
      <c r="AG538" s="59">
        <v>-15.397188721804568</v>
      </c>
      <c r="AH538" s="37" cm="1">
        <f t="array" ref="AH538:AI538">LINEST(G514:G538,D514:D538)</f>
        <v>22.009846153846226</v>
      </c>
      <c r="AI538" s="59">
        <v>-11.160583076923114</v>
      </c>
      <c r="AJ538" s="37" cm="1">
        <f t="array" ref="AJ538:AK538">LINEST(G509:G538,D509:D538)</f>
        <v>9.9006006674082343</v>
      </c>
      <c r="AK538" s="59">
        <v>-4.8511413422321112</v>
      </c>
    </row>
    <row r="539" spans="1:37" x14ac:dyDescent="0.25">
      <c r="A539" s="61">
        <v>502</v>
      </c>
      <c r="B539" s="14">
        <f t="shared" si="9"/>
        <v>533</v>
      </c>
      <c r="C539" s="15">
        <v>44059</v>
      </c>
      <c r="D539" s="16">
        <v>0.53430555555555559</v>
      </c>
      <c r="E539" s="36">
        <v>20.04</v>
      </c>
      <c r="F539" s="36">
        <v>0.34</v>
      </c>
      <c r="G539" s="36">
        <v>0.52</v>
      </c>
      <c r="H539" s="56" cm="1">
        <f t="array" ref="H539:I539">LINEST(E530:E539,D530:D539)</f>
        <v>-8.5527272727272194</v>
      </c>
      <c r="I539" s="56">
        <v>24.562315151515122</v>
      </c>
      <c r="J539" s="56" cm="1">
        <f t="array" ref="J539:K539">LINEST(E525:E539,D525:D539)</f>
        <v>-2.4942857142857213</v>
      </c>
      <c r="K539" s="56">
        <v>21.357127380952392</v>
      </c>
      <c r="L539" s="56" cm="1">
        <f t="array" ref="L539:M539">LINEST(E520:E539,D520:D539)</f>
        <v>3.3726315789473116</v>
      </c>
      <c r="M539" s="56">
        <v>18.264984210526347</v>
      </c>
      <c r="N539" s="56" cm="1">
        <f t="array" ref="N539:O539">LINEST(E515:E539,D515:D539)</f>
        <v>6.9618461538461398</v>
      </c>
      <c r="O539" s="56">
        <v>16.382677692307698</v>
      </c>
      <c r="P539" s="56" cm="1">
        <f t="array" ref="P539:Q539">LINEST(E510:E539,D510:D539)</f>
        <v>2.7854949944382597</v>
      </c>
      <c r="Q539" s="56">
        <v>18.564124657026323</v>
      </c>
      <c r="R539" s="56" cm="1">
        <f t="array" ref="R539:S539">LINEST(F530:F539,D530:D539)</f>
        <v>-32.814545454545545</v>
      </c>
      <c r="S539" s="56">
        <v>18.039903030303076</v>
      </c>
      <c r="T539" s="56" cm="1">
        <f t="array" ref="T539:U539">LINEST(F525:F539,D525:D539)</f>
        <v>-15.660000000000084</v>
      </c>
      <c r="U539" s="56">
        <v>8.9723083333333786</v>
      </c>
      <c r="V539" s="56" cm="1">
        <f t="array" ref="V539:W539">LINEST(F520:F539,D520:D539)</f>
        <v>2.4144360902255366</v>
      </c>
      <c r="W539" s="56">
        <v>-0.55718947368419636</v>
      </c>
      <c r="X539" s="56" cm="1">
        <f t="array" ref="X539:Y539">LINEST(F515:F539,D515:D539)</f>
        <v>52.881230769230882</v>
      </c>
      <c r="Y539" s="56">
        <v>-27.028581538461598</v>
      </c>
      <c r="Z539" s="56" cm="1">
        <f t="array" ref="Z539:AA539">LINEST(F510:F539,D510:D539)</f>
        <v>35.955150166852079</v>
      </c>
      <c r="AA539" s="56">
        <v>-18.191939710789775</v>
      </c>
      <c r="AB539" s="37" cm="1">
        <f t="array" ref="AB539:AC539">LINEST(G530:G539,D530:D539)</f>
        <v>20.552727272727196</v>
      </c>
      <c r="AC539" s="59">
        <v>-10.365981818181776</v>
      </c>
      <c r="AD539" s="37" cm="1">
        <f t="array" ref="AD539:AE539">LINEST(G525:G539,D525:D539)</f>
        <v>24.737142857142874</v>
      </c>
      <c r="AE539" s="59">
        <v>-12.582026190476203</v>
      </c>
      <c r="AF539" s="37" cm="1">
        <f t="array" ref="AF539:AG539">LINEST(G520:G539,D520:D539)</f>
        <v>27.906766917293293</v>
      </c>
      <c r="AG539" s="59">
        <v>-14.253026315789503</v>
      </c>
      <c r="AH539" s="37" cm="1">
        <f t="array" ref="AH539:AI539">LINEST(G515:G539,D515:D539)</f>
        <v>24.396923076923141</v>
      </c>
      <c r="AI539" s="59">
        <v>-12.415596153846186</v>
      </c>
      <c r="AJ539" s="37" cm="1">
        <f t="array" ref="AJ539:AK539">LINEST(G510:G539,D510:D539)</f>
        <v>11.934860956618472</v>
      </c>
      <c r="AK539" s="59">
        <v>-5.9055076751946647</v>
      </c>
    </row>
    <row r="540" spans="1:37" x14ac:dyDescent="0.25">
      <c r="A540" s="61">
        <v>502</v>
      </c>
      <c r="B540" s="14">
        <f t="shared" si="9"/>
        <v>534</v>
      </c>
      <c r="C540" s="15">
        <v>44060</v>
      </c>
      <c r="D540" s="16">
        <v>0.53569444444444447</v>
      </c>
      <c r="E540" s="36">
        <v>20.05</v>
      </c>
      <c r="F540" s="36">
        <v>0.15</v>
      </c>
      <c r="G540" s="36">
        <v>0.49</v>
      </c>
      <c r="H540" s="56" cm="1">
        <f t="array" ref="H540:I540">LINEST(E531:E540,D531:D540)</f>
        <v>-5.3236363636362567</v>
      </c>
      <c r="I540" s="56">
        <v>22.858569696969639</v>
      </c>
      <c r="J540" s="56" cm="1">
        <f t="array" ref="J540:K540">LINEST(E526:E540,D526:D540)</f>
        <v>-3.0599999999999845</v>
      </c>
      <c r="K540" s="56">
        <v>21.660141666666661</v>
      </c>
      <c r="L540" s="56" cm="1">
        <f t="array" ref="L540:M540">LINEST(E521:E540,D521:D540)</f>
        <v>2.4902255639097355</v>
      </c>
      <c r="M540" s="56">
        <v>18.727857142857161</v>
      </c>
      <c r="N540" s="56" cm="1">
        <f t="array" ref="N540:O540">LINEST(E516:E540,D516:D540)</f>
        <v>4.8184615384615084</v>
      </c>
      <c r="O540" s="56">
        <v>17.502284615384635</v>
      </c>
      <c r="P540" s="56" cm="1">
        <f t="array" ref="P540:Q540">LINEST(E511:E540,D511:D540)</f>
        <v>3.301268075639602</v>
      </c>
      <c r="Q540" s="56">
        <v>18.294346236559136</v>
      </c>
      <c r="R540" s="56" cm="1">
        <f t="array" ref="R540:S540">LINEST(F531:F540,D531:D540)</f>
        <v>-99.621818181817687</v>
      </c>
      <c r="S540" s="56">
        <v>53.493218181817916</v>
      </c>
      <c r="T540" s="56" cm="1">
        <f t="array" ref="T540:U540">LINEST(F526:F540,D526:D540)</f>
        <v>-15.840000000000133</v>
      </c>
      <c r="U540" s="56">
        <v>9.01340000000007</v>
      </c>
      <c r="V540" s="56" cm="1">
        <f t="array" ref="V540:W540">LINEST(F521:F540,D521:D540)</f>
        <v>-0.99067669172938588</v>
      </c>
      <c r="W540" s="56">
        <v>1.1811285714286042</v>
      </c>
      <c r="X540" s="56" cm="1">
        <f t="array" ref="X540:Y540">LINEST(F516:F540,D516:D540)</f>
        <v>38.304000000000002</v>
      </c>
      <c r="Y540" s="56">
        <v>-19.470040000000001</v>
      </c>
      <c r="Z540" s="56" cm="1">
        <f t="array" ref="Z540:AA540">LINEST(F511:F540,D511:D540)</f>
        <v>33.717463848720804</v>
      </c>
      <c r="AA540" s="56">
        <v>-17.082559139784944</v>
      </c>
      <c r="AB540" s="37" cm="1">
        <f t="array" ref="AB540:AC540">LINEST(G531:G540,D531:D540)</f>
        <v>11.214545454545318</v>
      </c>
      <c r="AC540" s="59">
        <v>-5.4304787878787151</v>
      </c>
      <c r="AD540" s="37" cm="1">
        <f t="array" ref="AD540:AE540">LINEST(G526:G540,D526:D540)</f>
        <v>21.625714285714238</v>
      </c>
      <c r="AE540" s="59">
        <v>-10.957858333333307</v>
      </c>
      <c r="AF540" s="37" cm="1">
        <f t="array" ref="AF540:AG540">LINEST(G521:G540,D521:D540)</f>
        <v>25.654736842105272</v>
      </c>
      <c r="AG540" s="59">
        <v>-13.086100000000004</v>
      </c>
      <c r="AH540" s="37" cm="1">
        <f t="array" ref="AH540:AI540">LINEST(G516:G540,D516:D540)</f>
        <v>25.493538461538506</v>
      </c>
      <c r="AI540" s="59">
        <v>-13.003454615384637</v>
      </c>
      <c r="AJ540" s="37" cm="1">
        <f t="array" ref="AJ540:AK540">LINEST(G511:G540,D511:D540)</f>
        <v>13.629543937708574</v>
      </c>
      <c r="AK540" s="59">
        <v>-6.7904537634408646</v>
      </c>
    </row>
    <row r="541" spans="1:37" x14ac:dyDescent="0.25">
      <c r="A541" s="61">
        <v>502</v>
      </c>
      <c r="B541" s="14">
        <f t="shared" si="9"/>
        <v>535</v>
      </c>
      <c r="C541" s="15">
        <v>44061</v>
      </c>
      <c r="D541" s="16">
        <v>0.53708333333333336</v>
      </c>
      <c r="E541" s="36">
        <v>20.07</v>
      </c>
      <c r="F541" s="36">
        <v>0.55000000000000004</v>
      </c>
      <c r="G541" s="36">
        <v>0.5</v>
      </c>
      <c r="H541" s="56" cm="1">
        <f t="array" ref="H541:I541">LINEST(E532:E541,D532:D541)</f>
        <v>0.654545454545574</v>
      </c>
      <c r="I541" s="56">
        <v>19.685545454545387</v>
      </c>
      <c r="J541" s="56" cm="1">
        <f t="array" ref="J541:K541">LINEST(E527:E541,D527:D541)</f>
        <v>-2.7257142857142362</v>
      </c>
      <c r="K541" s="56">
        <v>21.48943571428569</v>
      </c>
      <c r="L541" s="56" cm="1">
        <f t="array" ref="L541:M541">LINEST(E522:E541,D522:D541)</f>
        <v>1.6727819548871987</v>
      </c>
      <c r="M541" s="56">
        <v>19.160148120300757</v>
      </c>
      <c r="N541" s="56" cm="1">
        <f t="array" ref="N541:O541">LINEST(E517:E541,D517:D541)</f>
        <v>4.9513846153845904</v>
      </c>
      <c r="O541" s="56">
        <v>17.430816923076936</v>
      </c>
      <c r="P541" s="56" cm="1">
        <f t="array" ref="P541:Q541">LINEST(E512:E541,D512:D541)</f>
        <v>3.9595995550611778</v>
      </c>
      <c r="Q541" s="56">
        <v>17.949773674453091</v>
      </c>
      <c r="R541" s="56" cm="1">
        <f t="array" ref="R541:S541">LINEST(F532:F541,D532:D541)</f>
        <v>-100.66909090908999</v>
      </c>
      <c r="S541" s="56">
        <v>54.153509090908599</v>
      </c>
      <c r="T541" s="56" cm="1">
        <f t="array" ref="T541:U541">LINEST(F527:F541,D527:D541)</f>
        <v>-14.142857142857258</v>
      </c>
      <c r="U541" s="56">
        <v>8.1183928571429167</v>
      </c>
      <c r="V541" s="56" cm="1">
        <f t="array" ref="V541:W541">LINEST(F522:F541,D522:D541)</f>
        <v>-7.882105263157956</v>
      </c>
      <c r="W541" s="56">
        <v>4.8123473684210847</v>
      </c>
      <c r="X541" s="56" cm="1">
        <f t="array" ref="X541:Y541">LINEST(F517:F541,D517:D541)</f>
        <v>25.471384615384576</v>
      </c>
      <c r="Y541" s="56">
        <v>-12.762933076923055</v>
      </c>
      <c r="Z541" s="56" cm="1">
        <f t="array" ref="Z541:AA541">LINEST(F512:F541,D512:D541)</f>
        <v>34.872347052280311</v>
      </c>
      <c r="AA541" s="56">
        <v>-17.718066073414903</v>
      </c>
      <c r="AB541" s="37" cm="1">
        <f t="array" ref="AB541:AC541">LINEST(G532:G541,D532:D541)</f>
        <v>2.4436363636362821</v>
      </c>
      <c r="AC541" s="59">
        <v>-0.77316363636359298</v>
      </c>
      <c r="AD541" s="37" cm="1">
        <f t="array" ref="AD541:AE541">LINEST(G527:G541,D527:D541)</f>
        <v>18.874285714285627</v>
      </c>
      <c r="AE541" s="59">
        <v>-9.5175642857142382</v>
      </c>
      <c r="AF541" s="37" cm="1">
        <f t="array" ref="AF541:AG541">LINEST(G522:G541,D522:D541)</f>
        <v>23.104962406015012</v>
      </c>
      <c r="AG541" s="59">
        <v>-11.757433082706752</v>
      </c>
      <c r="AH541" s="37" cm="1">
        <f t="array" ref="AH541:AI541">LINEST(G517:G541,D517:D541)</f>
        <v>25.510153846153873</v>
      </c>
      <c r="AI541" s="59">
        <v>-13.026709230769244</v>
      </c>
      <c r="AJ541" s="37" cm="1">
        <f t="array" ref="AJ541:AK541">LINEST(G512:G541,D512:D541)</f>
        <v>15.319421579532818</v>
      </c>
      <c r="AK541" s="59">
        <v>-7.6772898776418259</v>
      </c>
    </row>
    <row r="542" spans="1:37" x14ac:dyDescent="0.25">
      <c r="A542" s="61">
        <v>502</v>
      </c>
      <c r="B542" s="14">
        <f t="shared" si="9"/>
        <v>536</v>
      </c>
      <c r="C542" s="15">
        <v>44062</v>
      </c>
      <c r="D542" s="16">
        <v>0.53847222222222224</v>
      </c>
      <c r="E542" s="36">
        <v>20.079999999999998</v>
      </c>
      <c r="F542" s="36">
        <v>0.53</v>
      </c>
      <c r="G542" s="36">
        <v>0.5</v>
      </c>
      <c r="H542" s="56" cm="1">
        <f t="array" ref="H542:I542">LINEST(E533:E542,D533:D542)</f>
        <v>9.5563636363635727</v>
      </c>
      <c r="I542" s="56">
        <v>14.936890909090947</v>
      </c>
      <c r="J542" s="56" cm="1">
        <f t="array" ref="J542:K542">LINEST(E528:E542,D528:D542)</f>
        <v>-2.8799999999999746</v>
      </c>
      <c r="K542" s="56">
        <v>21.578799999999987</v>
      </c>
      <c r="L542" s="56" cm="1">
        <f t="array" ref="L542:M542">LINEST(E523:E542,D523:D542)</f>
        <v>1.0231578947368212</v>
      </c>
      <c r="M542" s="56">
        <v>19.506057894736848</v>
      </c>
      <c r="N542" s="56" cm="1">
        <f t="array" ref="N542:O542">LINEST(E518:E542,D518:D542)</f>
        <v>4.3698461538461055</v>
      </c>
      <c r="O542" s="56">
        <v>17.736190000000022</v>
      </c>
      <c r="P542" s="56" cm="1">
        <f t="array" ref="P542:Q542">LINEST(E513:E542,D513:D542)</f>
        <v>4.6611790878754</v>
      </c>
      <c r="Q542" s="56">
        <v>17.581288839451251</v>
      </c>
      <c r="R542" s="56" cm="1">
        <f t="array" ref="R542:S542">LINEST(F533:F542,D533:D542)</f>
        <v>-79.854545454544564</v>
      </c>
      <c r="S542" s="56">
        <v>43.138363636363152</v>
      </c>
      <c r="T542" s="56" cm="1">
        <f t="array" ref="T542:U542">LINEST(F528:F542,D528:D542)</f>
        <v>-45.282857142857026</v>
      </c>
      <c r="U542" s="56">
        <v>24.687977380952322</v>
      </c>
      <c r="V542" s="56" cm="1">
        <f t="array" ref="V542:W542">LINEST(F523:F542,D523:D542)</f>
        <v>-12.673082706766964</v>
      </c>
      <c r="W542" s="56">
        <v>7.3463887218045354</v>
      </c>
      <c r="X542" s="56" cm="1">
        <f t="array" ref="X542:Y542">LINEST(F518:F542,D518:D542)</f>
        <v>11.370461538461486</v>
      </c>
      <c r="Y542" s="56">
        <v>-5.3591699999999722</v>
      </c>
      <c r="Z542" s="56" cm="1">
        <f t="array" ref="Z542:AA542">LINEST(F513:F542,D513:D542)</f>
        <v>34.910789766407106</v>
      </c>
      <c r="AA542" s="56">
        <v>-17.772426028921014</v>
      </c>
      <c r="AB542" s="37" cm="1">
        <f t="array" ref="AB542:AC542">LINEST(G533:G542,D533:D542)</f>
        <v>-3.9709090909090961</v>
      </c>
      <c r="AC542" s="59">
        <v>2.6464060606060631</v>
      </c>
      <c r="AD542" s="37" cm="1">
        <f t="array" ref="AD542:AE542">LINEST(G528:G542,D528:D542)</f>
        <v>13.937142857142771</v>
      </c>
      <c r="AE542" s="59">
        <v>-6.909264285714241</v>
      </c>
      <c r="AF542" s="37" cm="1">
        <f t="array" ref="AF542:AG542">LINEST(G523:G542,D523:D542)</f>
        <v>20.279097744360865</v>
      </c>
      <c r="AG542" s="59">
        <v>-10.27815939849622</v>
      </c>
      <c r="AH542" s="37" cm="1">
        <f t="array" ref="AH542:AI542">LINEST(G518:G542,D518:D542)</f>
        <v>24.446769230769238</v>
      </c>
      <c r="AI542" s="59">
        <v>-12.482060000000002</v>
      </c>
      <c r="AJ542" s="37" cm="1">
        <f t="array" ref="AJ542:AK542">LINEST(G513:G542,D513:D542)</f>
        <v>16.855528364849835</v>
      </c>
      <c r="AK542" s="59">
        <v>-8.4884488691138316</v>
      </c>
    </row>
    <row r="543" spans="1:37" x14ac:dyDescent="0.25">
      <c r="A543" s="61">
        <v>502</v>
      </c>
      <c r="B543" s="14">
        <f t="shared" si="9"/>
        <v>537</v>
      </c>
      <c r="C543" s="15">
        <v>44063</v>
      </c>
      <c r="D543" s="16">
        <v>0.53986111111111112</v>
      </c>
      <c r="E543" s="36">
        <v>20.13</v>
      </c>
      <c r="F543" s="36">
        <v>1.26</v>
      </c>
      <c r="G543" s="36">
        <v>0.56000000000000005</v>
      </c>
      <c r="H543" s="56" cm="1">
        <f t="array" ref="H543:I543">LINEST(E534:E543,D534:D543)</f>
        <v>10.254545454545335</v>
      </c>
      <c r="I543" s="56">
        <v>14.569060606060667</v>
      </c>
      <c r="J543" s="56" cm="1">
        <f t="array" ref="J543:K543">LINEST(E529:E543,D529:D543)</f>
        <v>-1.4657142857142931</v>
      </c>
      <c r="K543" s="56">
        <v>20.837698809523818</v>
      </c>
      <c r="L543" s="56" cm="1">
        <f t="array" ref="L543:M543">LINEST(E524:E543,D524:D543)</f>
        <v>0.96360902255637471</v>
      </c>
      <c r="M543" s="56">
        <v>19.54449924812031</v>
      </c>
      <c r="N543" s="56" cm="1">
        <f t="array" ref="N543:O543">LINEST(E519:E543,D519:D543)</f>
        <v>4.070769230769181</v>
      </c>
      <c r="O543" s="56">
        <v>17.896996153846178</v>
      </c>
      <c r="P543" s="56" cm="1">
        <f t="array" ref="P543:Q543">LINEST(E514:E543,D514:D543)</f>
        <v>5.8368854282535949</v>
      </c>
      <c r="Q543" s="56">
        <v>16.964440934371531</v>
      </c>
      <c r="R543" s="56" cm="1">
        <f t="array" ref="R543:S543">LINEST(F534:F543,D534:D543)</f>
        <v>-23.650909090908819</v>
      </c>
      <c r="S543" s="56">
        <v>13.254387878787732</v>
      </c>
      <c r="T543" s="56" cm="1">
        <f t="array" ref="T543:U543">LINEST(F529:F543,D529:D543)</f>
        <v>-28.079999999999888</v>
      </c>
      <c r="U543" s="56">
        <v>15.639633333333276</v>
      </c>
      <c r="V543" s="56" cm="1">
        <f t="array" ref="V543:W543">LINEST(F524:F543,D524:D543)</f>
        <v>-8.1636090225564235</v>
      </c>
      <c r="W543" s="56">
        <v>5.0235007518797161</v>
      </c>
      <c r="X543" s="56" cm="1">
        <f t="array" ref="X543:Y543">LINEST(F519:F543,D519:D543)</f>
        <v>0.99692307692304771</v>
      </c>
      <c r="Y543" s="56">
        <v>0.16281538461540002</v>
      </c>
      <c r="Z543" s="56" cm="1">
        <f t="array" ref="Z543:AA543">LINEST(F514:F543,D514:D543)</f>
        <v>44.31323692992212</v>
      </c>
      <c r="AA543" s="56">
        <v>-22.710240637745635</v>
      </c>
      <c r="AB543" s="37" cm="1">
        <f t="array" ref="AB543:AC543">LINEST(G534:G543,D534:D543)</f>
        <v>-5.4545454545454355</v>
      </c>
      <c r="AC543" s="59">
        <v>3.4516060606060499</v>
      </c>
      <c r="AD543" s="37" cm="1">
        <f t="array" ref="AD543:AE543">LINEST(G529:G543,D529:D543)</f>
        <v>10.594285714285633</v>
      </c>
      <c r="AE543" s="59">
        <v>-5.1331095238094813</v>
      </c>
      <c r="AF543" s="37" cm="1">
        <f t="array" ref="AF543:AG543">LINEST(G524:G543,D524:D543)</f>
        <v>18.054135338345812</v>
      </c>
      <c r="AG543" s="59">
        <v>-9.1070112781954595</v>
      </c>
      <c r="AH543" s="37" cm="1">
        <f t="array" ref="AH543:AI543">LINEST(G519:G543,D519:D543)</f>
        <v>22.641230769230763</v>
      </c>
      <c r="AI543" s="59">
        <v>-11.539366153846149</v>
      </c>
      <c r="AJ543" s="37" cm="1">
        <f t="array" ref="AJ543:AK543">LINEST(G514:G543,D514:D543)</f>
        <v>19.00671857619578</v>
      </c>
      <c r="AK543" s="59">
        <v>-9.6242140155728624</v>
      </c>
    </row>
    <row r="544" spans="1:37" x14ac:dyDescent="0.25">
      <c r="A544" s="61">
        <v>502</v>
      </c>
      <c r="B544" s="14">
        <f t="shared" si="9"/>
        <v>538</v>
      </c>
      <c r="C544" s="15">
        <v>44064</v>
      </c>
      <c r="D544" s="16">
        <v>0.54125000000000001</v>
      </c>
      <c r="E544" s="36">
        <v>20.11</v>
      </c>
      <c r="F544" s="36">
        <v>-0.55000000000000004</v>
      </c>
      <c r="G544" s="36">
        <v>0.47</v>
      </c>
      <c r="H544" s="56" cm="1">
        <f t="array" ref="H544:I544">LINEST(E535:E544,D535:D544)</f>
        <v>9.5563636363634821</v>
      </c>
      <c r="I544" s="56">
        <v>14.942345454545539</v>
      </c>
      <c r="J544" s="56" cm="1">
        <f t="array" ref="J544:K544">LINEST(E530:E544,D530:D544)</f>
        <v>0.64285714285714191</v>
      </c>
      <c r="K544" s="56">
        <v>19.718303571428574</v>
      </c>
      <c r="L544" s="56" cm="1">
        <f t="array" ref="L544:M544">LINEST(E525:E544,D525:D544)</f>
        <v>0.74165413533833524</v>
      </c>
      <c r="M544" s="56">
        <v>19.666865413533841</v>
      </c>
      <c r="N544" s="56" cm="1">
        <f t="array" ref="N544:O544">LINEST(E520:E544,D520:D544)</f>
        <v>3.6387692307691792</v>
      </c>
      <c r="O544" s="56">
        <v>18.126762307692335</v>
      </c>
      <c r="P544" s="56" cm="1">
        <f t="array" ref="P544:Q544">LINEST(E515:E544,D515:D544)</f>
        <v>6.1187986651835082</v>
      </c>
      <c r="Q544" s="56">
        <v>16.814759362254378</v>
      </c>
      <c r="R544" s="56" cm="1">
        <f t="array" ref="R544:S544">LINEST(F535:F544,D535:D544)</f>
        <v>-38.181818181817718</v>
      </c>
      <c r="S544" s="56">
        <v>20.876272727272479</v>
      </c>
      <c r="T544" s="56" cm="1">
        <f t="array" ref="T544:U544">LINEST(F530:F544,D530:D544)</f>
        <v>-32.271428571428501</v>
      </c>
      <c r="U544" s="56">
        <v>17.757160714285675</v>
      </c>
      <c r="V544" s="56" cm="1">
        <f t="array" ref="V544:W544">LINEST(F525:F544,D525:D544)</f>
        <v>-22.336240601503757</v>
      </c>
      <c r="W544" s="56">
        <v>12.459775939849623</v>
      </c>
      <c r="X544" s="56" cm="1">
        <f t="array" ref="X544:Y544">LINEST(F520:F544,D520:D544)</f>
        <v>-7.8147692307692713</v>
      </c>
      <c r="Y544" s="56">
        <v>4.7378976923077127</v>
      </c>
      <c r="Z544" s="56" cm="1">
        <f t="array" ref="Z544:AA544">LINEST(F515:F544,D515:D544)</f>
        <v>31.231501668520533</v>
      </c>
      <c r="AA544" s="56">
        <v>-15.923082536151256</v>
      </c>
      <c r="AB544" s="37" cm="1">
        <f t="array" ref="AB544:AC544">LINEST(G535:G544,D535:D544)</f>
        <v>-8.2909090909090413</v>
      </c>
      <c r="AC544" s="59">
        <v>4.9696363636363365</v>
      </c>
      <c r="AD544" s="37" cm="1">
        <f t="array" ref="AD544:AE544">LINEST(G530:G544,D530:D544)</f>
        <v>7.19999999999993</v>
      </c>
      <c r="AE544" s="59">
        <v>-3.3343333333332956</v>
      </c>
      <c r="AF544" s="37" cm="1">
        <f t="array" ref="AF544:AG544">LINEST(G525:G544,D525:D544)</f>
        <v>14.87639097744356</v>
      </c>
      <c r="AG544" s="59">
        <v>-7.4335609022556142</v>
      </c>
      <c r="AH544" s="37" cm="1">
        <f t="array" ref="AH544:AI544">LINEST(G520:G544,D520:D544)</f>
        <v>20.226461538461511</v>
      </c>
      <c r="AI544" s="59">
        <v>-10.278064615384601</v>
      </c>
      <c r="AJ544" s="37" cm="1">
        <f t="array" ref="AJ544:AK544">LINEST(G515:G544,D515:D544)</f>
        <v>19.940556173526147</v>
      </c>
      <c r="AK544" s="59">
        <v>-10.12957871709307</v>
      </c>
    </row>
    <row r="545" spans="1:37" x14ac:dyDescent="0.25">
      <c r="A545" s="61">
        <v>502</v>
      </c>
      <c r="B545" s="14">
        <f t="shared" si="9"/>
        <v>539</v>
      </c>
      <c r="C545" s="15">
        <v>44065</v>
      </c>
      <c r="D545" s="16">
        <v>0.54263888888888889</v>
      </c>
      <c r="E545" s="36">
        <v>20.13</v>
      </c>
      <c r="F545" s="36">
        <v>0.83</v>
      </c>
      <c r="G545" s="36">
        <v>0.5</v>
      </c>
      <c r="H545" s="56" cm="1">
        <f t="array" ref="H545:I545">LINEST(E536:E545,D536:D545)</f>
        <v>9.8618181818180233</v>
      </c>
      <c r="I545" s="56">
        <v>14.778230303030391</v>
      </c>
      <c r="J545" s="56" cm="1">
        <f t="array" ref="J545:K545">LINEST(E531:E545,D531:D545)</f>
        <v>2.931428571428536</v>
      </c>
      <c r="K545" s="56">
        <v>18.499126190476211</v>
      </c>
      <c r="L545" s="56" cm="1">
        <f t="array" ref="L545:M545">LINEST(E526:E545,D526:D545)</f>
        <v>1.0393984962405816</v>
      </c>
      <c r="M545" s="56">
        <v>19.513696240601515</v>
      </c>
      <c r="N545" s="56" cm="1">
        <f t="array" ref="N545:O545">LINEST(E521:E545,D521:D545)</f>
        <v>3.4338461538461065</v>
      </c>
      <c r="O545" s="56">
        <v>18.237892307692331</v>
      </c>
      <c r="P545" s="56" cm="1">
        <f t="array" ref="P545:Q545">LINEST(E516:E545,D516:D545)</f>
        <v>4.8533926585094171</v>
      </c>
      <c r="Q545" s="56">
        <v>17.484102335928831</v>
      </c>
      <c r="R545" s="56" cm="1">
        <f t="array" ref="R545:S545">LINEST(F536:F545,D536:D545)</f>
        <v>17.629090909090813</v>
      </c>
      <c r="S545" s="56">
        <v>-9.0540484848484333</v>
      </c>
      <c r="T545" s="56" cm="1">
        <f t="array" ref="T545:U545">LINEST(F531:F545,D531:D545)</f>
        <v>-45.154285714285493</v>
      </c>
      <c r="U545" s="56">
        <v>24.737471428571308</v>
      </c>
      <c r="V545" s="56" cm="1">
        <f t="array" ref="V545:W545">LINEST(F526:F545,D526:D545)</f>
        <v>-13.647518796992481</v>
      </c>
      <c r="W545" s="56">
        <v>7.8681030075187959</v>
      </c>
      <c r="X545" s="56" cm="1">
        <f t="array" ref="X545:Y545">LINEST(F521:F545,D521:D545)</f>
        <v>-4.6578461538461937</v>
      </c>
      <c r="Y545" s="56">
        <v>3.0854976923077126</v>
      </c>
      <c r="Z545" s="56" cm="1">
        <f t="array" ref="Z545:AA545">LINEST(F516:F545,D516:D545)</f>
        <v>24.255750834260247</v>
      </c>
      <c r="AA545" s="56">
        <v>-12.243963144234316</v>
      </c>
      <c r="AB545" s="37" cm="1">
        <f t="array" ref="AB545:AC545">LINEST(G536:G545,D536:D545)</f>
        <v>-6.4581818181818003</v>
      </c>
      <c r="AC545" s="59">
        <v>3.9880969696969597</v>
      </c>
      <c r="AD545" s="37" cm="1">
        <f t="array" ref="AD545:AE545">LINEST(G531:G545,D531:D545)</f>
        <v>3.1628571428571011</v>
      </c>
      <c r="AE545" s="59">
        <v>-1.1788726190475964</v>
      </c>
      <c r="AF545" s="37" cm="1">
        <f t="array" ref="AF545:AG545">LINEST(G526:G545,D526:D545)</f>
        <v>12.700150375939796</v>
      </c>
      <c r="AG545" s="59">
        <v>-6.2850240601503469</v>
      </c>
      <c r="AH545" s="37" cm="1">
        <f t="array" ref="AH545:AI545">LINEST(G521:G545,D521:D545)</f>
        <v>18.299076923076889</v>
      </c>
      <c r="AI545" s="59">
        <v>-9.2688061538461355</v>
      </c>
      <c r="AJ545" s="37" cm="1">
        <f t="array" ref="AJ545:AK545">LINEST(G516:G545,D516:D545)</f>
        <v>20.294549499443821</v>
      </c>
      <c r="AK545" s="59">
        <v>-10.329235446792731</v>
      </c>
    </row>
    <row r="546" spans="1:37" x14ac:dyDescent="0.25">
      <c r="A546" s="61">
        <v>502</v>
      </c>
      <c r="B546" s="14">
        <f t="shared" si="9"/>
        <v>540</v>
      </c>
      <c r="C546" s="15">
        <v>44066</v>
      </c>
      <c r="D546" s="16">
        <v>0.54402777777777778</v>
      </c>
      <c r="E546" s="36">
        <v>20.14</v>
      </c>
      <c r="F546" s="36">
        <v>0.26</v>
      </c>
      <c r="G546" s="36">
        <v>0.48</v>
      </c>
      <c r="H546" s="56" cm="1">
        <f t="array" ref="H546:I546">LINEST(E537:E546,D537:D546)</f>
        <v>10.385454545454445</v>
      </c>
      <c r="I546" s="56">
        <v>14.494933333333389</v>
      </c>
      <c r="J546" s="56" cm="1">
        <f t="array" ref="J546:K546">LINEST(E532:E546,D532:D546)</f>
        <v>5.9657142857142667</v>
      </c>
      <c r="K546" s="56">
        <v>16.873819047619055</v>
      </c>
      <c r="L546" s="56" cm="1">
        <f t="array" ref="L546:M546">LINEST(E527:E546,D527:D546)</f>
        <v>1.6619548872180436</v>
      </c>
      <c r="M546" s="56">
        <v>19.186278947368422</v>
      </c>
      <c r="N546" s="56" cm="1">
        <f t="array" ref="N546:O546">LINEST(E522:E546,D522:D546)</f>
        <v>3.1790769230768934</v>
      </c>
      <c r="O546" s="56">
        <v>18.376278461538476</v>
      </c>
      <c r="P546" s="56" cm="1">
        <f t="array" ref="P546:Q546">LINEST(E517:E546,D517:D546)</f>
        <v>5.1128809788653697</v>
      </c>
      <c r="Q546" s="56">
        <v>17.347418464961088</v>
      </c>
      <c r="R546" s="56" cm="1">
        <f t="array" ref="R546:S546">LINEST(F537:F546,D537:D546)</f>
        <v>17.716363636363681</v>
      </c>
      <c r="S546" s="56">
        <v>-9.1514666666666908</v>
      </c>
      <c r="T546" s="56" cm="1">
        <f t="array" ref="T546:U546">LINEST(F532:F546,D532:D546)</f>
        <v>-48.162857142856886</v>
      </c>
      <c r="U546" s="56">
        <v>26.365682142857004</v>
      </c>
      <c r="V546" s="56" cm="1">
        <f t="array" ref="V546:W546">LINEST(F527:F546,D527:D546)</f>
        <v>-14.881804511278197</v>
      </c>
      <c r="W546" s="56">
        <v>8.5112578947368434</v>
      </c>
      <c r="X546" s="56" cm="1">
        <f t="array" ref="X546:Y546">LINEST(F522:F546,D522:D546)</f>
        <v>-10.578461538461566</v>
      </c>
      <c r="Y546" s="56">
        <v>6.2182692307692458</v>
      </c>
      <c r="Z546" s="56" cm="1">
        <f t="array" ref="Z546:AA546">LINEST(F517:F546,D517:D546)</f>
        <v>13.885828698553903</v>
      </c>
      <c r="AA546" s="56">
        <v>-6.786298034853516</v>
      </c>
      <c r="AB546" s="37" cm="1">
        <f t="array" ref="AB546:AC546">LINEST(G537:G546,D537:D546)</f>
        <v>-4.538181818181819</v>
      </c>
      <c r="AC546" s="59">
        <v>2.9525333333333337</v>
      </c>
      <c r="AD546" s="37" cm="1">
        <f t="array" ref="AD546:AE546">LINEST(G532:G546,D532:D546)</f>
        <v>-0.95142857142858361</v>
      </c>
      <c r="AE546" s="59">
        <v>1.0250202380952445</v>
      </c>
      <c r="AF546" s="37" cm="1">
        <f t="array" ref="AF546:AG546">LINEST(G527:G546,D527:D546)</f>
        <v>10.518496240601452</v>
      </c>
      <c r="AG546" s="59">
        <v>-5.1310684210526052</v>
      </c>
      <c r="AH546" s="37" cm="1">
        <f t="array" ref="AH546:AI546">LINEST(G522:G546,D522:D546)</f>
        <v>16.055999999999965</v>
      </c>
      <c r="AI546" s="59">
        <v>-8.0893099999999833</v>
      </c>
      <c r="AJ546" s="37" cm="1">
        <f t="array" ref="AJ546:AK546">LINEST(G517:G546,D517:D546)</f>
        <v>19.785183537263613</v>
      </c>
      <c r="AK546" s="59">
        <v>-10.073904486466436</v>
      </c>
    </row>
    <row r="547" spans="1:37" x14ac:dyDescent="0.25">
      <c r="A547" s="61">
        <v>502</v>
      </c>
      <c r="B547" s="14">
        <f t="shared" si="9"/>
        <v>541</v>
      </c>
      <c r="C547" s="15">
        <v>44067</v>
      </c>
      <c r="D547" s="16">
        <v>0.54541666666666666</v>
      </c>
      <c r="E547" s="36">
        <v>20.149999999999999</v>
      </c>
      <c r="F547" s="36">
        <v>0.15</v>
      </c>
      <c r="G547" s="36">
        <v>0.46</v>
      </c>
      <c r="H547" s="56" cm="1">
        <f t="array" ref="H547:I547">LINEST(E538:E547,D538:D547)</f>
        <v>10.254545454545346</v>
      </c>
      <c r="I547" s="56">
        <v>14.564090909090963</v>
      </c>
      <c r="J547" s="56" cm="1">
        <f t="array" ref="J547:K547">LINEST(E533:E547,D533:D547)</f>
        <v>10.002857142857081</v>
      </c>
      <c r="K547" s="56">
        <v>14.700858333333365</v>
      </c>
      <c r="L547" s="56" cm="1">
        <f t="array" ref="L547:M547">LINEST(E528:E547,D528:D547)</f>
        <v>1.9488721804511124</v>
      </c>
      <c r="M547" s="56">
        <v>19.03776691729324</v>
      </c>
      <c r="N547" s="56" cm="1">
        <f t="array" ref="N547:O547">LINEST(E523:E547,D523:D547)</f>
        <v>3.0129230769230499</v>
      </c>
      <c r="O547" s="56">
        <v>18.468116923076934</v>
      </c>
      <c r="P547" s="56" cm="1">
        <f t="array" ref="P547:Q547">LINEST(E518:E547,D518:D547)</f>
        <v>4.8646051167963957</v>
      </c>
      <c r="Q547" s="56">
        <v>17.480397701149446</v>
      </c>
      <c r="R547" s="56" cm="1">
        <f t="array" ref="R547:S547">LINEST(F538:F547,D538:D547)</f>
        <v>-3.9272727272726429</v>
      </c>
      <c r="S547" s="56">
        <v>2.4974545454545005</v>
      </c>
      <c r="T547" s="56" cm="1">
        <f t="array" ref="T547:U547">LINEST(F533:F547,D533:D547)</f>
        <v>-43.097142857142643</v>
      </c>
      <c r="U547" s="56">
        <v>23.64223333333322</v>
      </c>
      <c r="V547" s="56" cm="1">
        <f t="array" ref="V547:W547">LINEST(F528:F547,D528:D547)</f>
        <v>-34.993082706766828</v>
      </c>
      <c r="W547" s="56">
        <v>19.280096240601452</v>
      </c>
      <c r="X547" s="56" cm="1">
        <f t="array" ref="X547:Y547">LINEST(F523:F547,D523:D547)</f>
        <v>-15.557538461538478</v>
      </c>
      <c r="Y547" s="56">
        <v>8.8556484615384683</v>
      </c>
      <c r="Z547" s="56" cm="1">
        <f t="array" ref="Z547:AA547">LINEST(F518:F547,D518:D547)</f>
        <v>2.4411123470522322</v>
      </c>
      <c r="AA547" s="56">
        <v>-0.73892873563215855</v>
      </c>
      <c r="AB547" s="37" cm="1">
        <f t="array" ref="AB547:AC547">LINEST(G538:G547,D538:D547)</f>
        <v>-4.2763636363636417</v>
      </c>
      <c r="AC547" s="59">
        <v>2.8076727272727311</v>
      </c>
      <c r="AD547" s="37" cm="1">
        <f t="array" ref="AD547:AE547">LINEST(G533:G547,D533:D547)</f>
        <v>-4.1657142857142766</v>
      </c>
      <c r="AE547" s="59">
        <v>2.7515499999999951</v>
      </c>
      <c r="AF547" s="37" cm="1">
        <f t="array" ref="AF547:AG547">LINEST(G528:G547,D528:D547)</f>
        <v>7.0430075187969612</v>
      </c>
      <c r="AG547" s="59">
        <v>-3.2799451127819377</v>
      </c>
      <c r="AH547" s="37" cm="1">
        <f t="array" ref="AH547:AI547">LINEST(G523:G547,D523:D547)</f>
        <v>13.591384615384587</v>
      </c>
      <c r="AI547" s="59">
        <v>-6.7884446153846003</v>
      </c>
      <c r="AJ547" s="37" cm="1">
        <f t="array" ref="AJ547:AK547">LINEST(G518:G547,D518:D547)</f>
        <v>18.476529477196863</v>
      </c>
      <c r="AK547" s="59">
        <v>-9.3943103448275735</v>
      </c>
    </row>
    <row r="548" spans="1:37" x14ac:dyDescent="0.25">
      <c r="A548" s="61">
        <v>502</v>
      </c>
      <c r="B548" s="14">
        <f t="shared" si="9"/>
        <v>542</v>
      </c>
      <c r="C548" s="15">
        <v>44068</v>
      </c>
      <c r="D548" s="16">
        <v>0.54680555555555554</v>
      </c>
      <c r="E548" s="36">
        <v>20.190000000000001</v>
      </c>
      <c r="F548" s="36">
        <v>1.19</v>
      </c>
      <c r="G548" s="36">
        <v>0.51</v>
      </c>
      <c r="H548" s="56" cm="1">
        <f t="array" ref="H548:I548">LINEST(E539:E548,D539:D548)</f>
        <v>11.040000000000072</v>
      </c>
      <c r="I548" s="56">
        <v>14.141266666666629</v>
      </c>
      <c r="J548" s="56" cm="1">
        <f t="array" ref="J548:K548">LINEST(E534:E548,D534:D548)</f>
        <v>10.105714285714255</v>
      </c>
      <c r="K548" s="56">
        <v>14.647722619047631</v>
      </c>
      <c r="L548" s="56" cm="1">
        <f t="array" ref="L548:M548">LINEST(E529:E548,D529:D548)</f>
        <v>2.9612030075187832</v>
      </c>
      <c r="M548" s="56">
        <v>18.501369172932336</v>
      </c>
      <c r="N548" s="56" cm="1">
        <f t="array" ref="N548:O548">LINEST(E524:E548,D524:D548)</f>
        <v>3.1403076923076827</v>
      </c>
      <c r="O548" s="56">
        <v>18.405600769230769</v>
      </c>
      <c r="P548" s="56" cm="1">
        <f t="array" ref="P548:Q548">LINEST(E519:E548,D519:D548)</f>
        <v>4.7588876529476858</v>
      </c>
      <c r="Q548" s="56">
        <v>17.539985836114219</v>
      </c>
      <c r="R548" s="56" cm="1">
        <f t="array" ref="R548:S548">LINEST(F539:F548,D539:D548)</f>
        <v>23.083636363636437</v>
      </c>
      <c r="S548" s="56">
        <v>-12.006987878787918</v>
      </c>
      <c r="T548" s="56" cm="1">
        <f t="array" ref="T548:U548">LINEST(F534:F548,D534:D548)</f>
        <v>-16.354285714285702</v>
      </c>
      <c r="U548" s="56">
        <v>9.331614285714279</v>
      </c>
      <c r="V548" s="56" cm="1">
        <f t="array" ref="V548:W548">LINEST(F529:F548,D529:D548)</f>
        <v>-24.111879699248082</v>
      </c>
      <c r="W548" s="56">
        <v>13.525366917293217</v>
      </c>
      <c r="X548" s="56" cm="1">
        <f t="array" ref="X548:Y548">LINEST(F524:F548,D524:D548)</f>
        <v>-12.262153846153858</v>
      </c>
      <c r="Y548" s="56">
        <v>7.1550446153846208</v>
      </c>
      <c r="Z548" s="56" cm="1">
        <f t="array" ref="Z548:AA548">LINEST(F519:F548,D519:D548)</f>
        <v>-4.7012235817575361</v>
      </c>
      <c r="AA548" s="56">
        <v>3.1089777530589693</v>
      </c>
      <c r="AB548" s="37" cm="1">
        <f t="array" ref="AB548:AC548">LINEST(G539:G548,D539:D548)</f>
        <v>-2.1381818181818262</v>
      </c>
      <c r="AC548" s="59">
        <v>1.6548060606060648</v>
      </c>
      <c r="AD548" s="37" cm="1">
        <f t="array" ref="AD548:AE548">LINEST(G534:G548,D534:D548)</f>
        <v>-5.1685714285714202</v>
      </c>
      <c r="AE548" s="59">
        <v>3.2979535714285668</v>
      </c>
      <c r="AF548" s="37" cm="1">
        <f t="array" ref="AF548:AG548">LINEST(G529:G548,D529:D548)</f>
        <v>4.5311278195488489</v>
      </c>
      <c r="AG548" s="59">
        <v>-1.934360150375928</v>
      </c>
      <c r="AH548" s="37" cm="1">
        <f t="array" ref="AH548:AI548">LINEST(G524:G548,D524:D548)</f>
        <v>11.542153846153818</v>
      </c>
      <c r="AI548" s="59">
        <v>-5.7009446153846</v>
      </c>
      <c r="AJ548" s="37" cm="1">
        <f t="array" ref="AJ548:AK548">LINEST(G519:G548,D519:D548)</f>
        <v>16.664916573971059</v>
      </c>
      <c r="AK548" s="59">
        <v>-8.4408560622914255</v>
      </c>
    </row>
    <row r="549" spans="1:37" x14ac:dyDescent="0.25">
      <c r="A549" s="61">
        <v>502</v>
      </c>
      <c r="B549" s="14">
        <f t="shared" si="9"/>
        <v>543</v>
      </c>
      <c r="C549" s="15">
        <v>44069</v>
      </c>
      <c r="D549" s="16">
        <v>0.54819444444444443</v>
      </c>
      <c r="E549" s="36">
        <v>19.97</v>
      </c>
      <c r="F549" s="36">
        <v>1.19</v>
      </c>
      <c r="G549" s="36">
        <v>0.56000000000000005</v>
      </c>
      <c r="H549" s="56" cm="1">
        <f t="array" ref="H549:I549">LINEST(E540:E549,D540:D549)</f>
        <v>2.2690909090909006</v>
      </c>
      <c r="I549" s="56">
        <v>18.872278787878788</v>
      </c>
      <c r="J549" s="56" cm="1">
        <f t="array" ref="J549:K549">LINEST(E535:E549,D535:D549)</f>
        <v>6.0428571428571125</v>
      </c>
      <c r="K549" s="56">
        <v>16.821422619047635</v>
      </c>
      <c r="L549" s="56" cm="1">
        <f t="array" ref="L549:M549">LINEST(E530:E549,D530:D549)</f>
        <v>2.2520300751879647</v>
      </c>
      <c r="M549" s="56">
        <v>18.869163909774439</v>
      </c>
      <c r="N549" s="56" cm="1">
        <f t="array" ref="N549:O549">LINEST(E525:E549,D525:D549)</f>
        <v>1.8221538461538378</v>
      </c>
      <c r="O549" s="56">
        <v>19.101474615384621</v>
      </c>
      <c r="P549" s="56" cm="1">
        <f t="array" ref="P549:Q549">LINEST(E520:E549,D520:D549)</f>
        <v>3.6280311457174266</v>
      </c>
      <c r="Q549" s="56">
        <v>18.133197997775326</v>
      </c>
      <c r="R549" s="56" cm="1">
        <f t="array" ref="R549:S549">LINEST(F540:F549,D540:D549)</f>
        <v>45.032727272727428</v>
      </c>
      <c r="S549" s="56">
        <v>-23.849236363636454</v>
      </c>
      <c r="T549" s="56" cm="1">
        <f t="array" ref="T549:U549">LINEST(F535:F549,D535:D549)</f>
        <v>10.671428571428462</v>
      </c>
      <c r="U549" s="56">
        <v>-5.2056011904761323</v>
      </c>
      <c r="V549" s="56" cm="1">
        <f t="array" ref="V549:W549">LINEST(F530:F549,D530:D549)</f>
        <v>-6.9293233082707095</v>
      </c>
      <c r="W549" s="56">
        <v>4.341187969924829</v>
      </c>
      <c r="X549" s="56" cm="1">
        <f t="array" ref="X549:Y549">LINEST(F525:F549,D525:D549)</f>
        <v>-8.8781538461538609</v>
      </c>
      <c r="Y549" s="56">
        <v>5.3957853846153929</v>
      </c>
      <c r="Z549" s="56" cm="1">
        <f t="array" ref="Z549:AA549">LINEST(F520:F549,D520:D549)</f>
        <v>-2.277730812013373</v>
      </c>
      <c r="AA549" s="56">
        <v>1.855435076010395</v>
      </c>
      <c r="AB549" s="37" cm="1">
        <f t="array" ref="AB549:AC549">LINEST(G540:G549,D540:D549)</f>
        <v>1.2654545454545525</v>
      </c>
      <c r="AC549" s="59">
        <v>-0.18280606060606464</v>
      </c>
      <c r="AD549" s="37" cm="1">
        <f t="array" ref="AD549:AE549">LINEST(G535:G549,D535:D549)</f>
        <v>-4.1142857142857201</v>
      </c>
      <c r="AE549" s="59">
        <v>2.7387619047619083</v>
      </c>
      <c r="AF549" s="37" cm="1">
        <f t="array" ref="AF549:AG549">LINEST(G530:G549,D530:D549)</f>
        <v>3.5729323308270495</v>
      </c>
      <c r="AG549" s="59">
        <v>-1.4165187969924711</v>
      </c>
      <c r="AH549" s="37" cm="1">
        <f t="array" ref="AH549:AI549">LINEST(G525:G549,D525:D549)</f>
        <v>9.9083076923076678</v>
      </c>
      <c r="AI549" s="59">
        <v>-4.8285407692307567</v>
      </c>
      <c r="AJ549" s="37" cm="1">
        <f t="array" ref="AJ549:AK549">LINEST(G520:G549,D520:D549)</f>
        <v>15.143225806451595</v>
      </c>
      <c r="AK549" s="59">
        <v>-7.6357978494623548</v>
      </c>
    </row>
    <row r="550" spans="1:37" x14ac:dyDescent="0.25">
      <c r="A550" s="61">
        <v>502</v>
      </c>
      <c r="B550" s="14">
        <f t="shared" si="9"/>
        <v>544</v>
      </c>
      <c r="C550" s="15">
        <v>44070</v>
      </c>
      <c r="D550" s="16">
        <v>0.54958333333333331</v>
      </c>
      <c r="E550" s="36">
        <v>20.010000000000002</v>
      </c>
      <c r="F550" s="36">
        <v>1.19</v>
      </c>
      <c r="G550" s="36">
        <v>0.61</v>
      </c>
      <c r="H550" s="56" cm="1">
        <f t="array" ref="H550:I550">LINEST(E541:E550,D541:D550)</f>
        <v>-3.8399999999998999</v>
      </c>
      <c r="I550" s="56">
        <v>22.184399999999943</v>
      </c>
      <c r="J550" s="56" cm="1">
        <f t="array" ref="J550:K550">LINEST(E536:E550,D536:D550)</f>
        <v>3.3171428571428843</v>
      </c>
      <c r="K550" s="56">
        <v>18.285203571428557</v>
      </c>
      <c r="L550" s="56" cm="1">
        <f t="array" ref="L550:M550">LINEST(E531:E550,D531:D550)</f>
        <v>2.0030075187970064</v>
      </c>
      <c r="M550" s="56">
        <v>18.994609022556382</v>
      </c>
      <c r="N550" s="56" cm="1">
        <f t="array" ref="N550:O550">LINEST(E526:E550,D526:D550)</f>
        <v>1.06338461538462</v>
      </c>
      <c r="O550" s="56">
        <v>19.502904615384615</v>
      </c>
      <c r="P550" s="56" cm="1">
        <f t="array" ref="P550:Q550">LINEST(E521:E550,D521:D550)</f>
        <v>2.8063181312569307</v>
      </c>
      <c r="Q550" s="56">
        <v>18.566210456062301</v>
      </c>
      <c r="R550" s="56" cm="1">
        <f t="array" ref="R550:S550">LINEST(F541:F550,D541:D550)</f>
        <v>50.443636363636529</v>
      </c>
      <c r="S550" s="56">
        <v>-26.747709090909179</v>
      </c>
      <c r="T550" s="56" cm="1">
        <f t="array" ref="T550:U550">LINEST(F536:F550,D536:D550)</f>
        <v>37.979999999999883</v>
      </c>
      <c r="U550" s="56">
        <v>-19.970591666666603</v>
      </c>
      <c r="V550" s="56" cm="1">
        <f t="array" ref="V550:W550">LINEST(F531:F550,D531:D550)</f>
        <v>-10.91909774436094</v>
      </c>
      <c r="W550" s="56">
        <v>6.5613827067669366</v>
      </c>
      <c r="X550" s="56" cm="1">
        <f t="array" ref="X550:Y550">LINEST(F526:F550,D526:D550)</f>
        <v>-1.1243076923077366</v>
      </c>
      <c r="Y550" s="56">
        <v>1.2723623076923312</v>
      </c>
      <c r="Z550" s="56" cm="1">
        <f t="array" ref="Z550:AA550">LINEST(F521:F550,D521:D550)</f>
        <v>1.4464071190211056</v>
      </c>
      <c r="AA550" s="56">
        <v>-0.10345888023728533</v>
      </c>
      <c r="AB550" s="37" cm="1">
        <f t="array" ref="AB550:AC550">LINEST(G541:G550,D541:D550)</f>
        <v>4.8436363636363815</v>
      </c>
      <c r="AC550" s="59">
        <v>-2.1167090909091004</v>
      </c>
      <c r="AD550" s="37" cm="1">
        <f t="array" ref="AD550:AE550">LINEST(G536:G550,D536:D550)</f>
        <v>-0.9771428571428763</v>
      </c>
      <c r="AE550" s="59">
        <v>1.0515214285714389</v>
      </c>
      <c r="AF550" s="37" cm="1">
        <f t="array" ref="AF550:AG550">LINEST(G531:G550,D531:D550)</f>
        <v>2.4252631578947201</v>
      </c>
      <c r="AG550" s="59">
        <v>-0.78988421052630653</v>
      </c>
      <c r="AH550" s="37" cm="1">
        <f t="array" ref="AH550:AI550">LINEST(G526:G550,D526:D550)</f>
        <v>9.0498461538461275</v>
      </c>
      <c r="AI550" s="59">
        <v>-4.3668138461538311</v>
      </c>
      <c r="AJ550" s="37" cm="1">
        <f t="array" ref="AJ550:AK550">LINEST(G521:G550,D521:D550)</f>
        <v>14.063626251390414</v>
      </c>
      <c r="AK550" s="59">
        <v>-7.061908787541701</v>
      </c>
    </row>
    <row r="551" spans="1:37" x14ac:dyDescent="0.25">
      <c r="A551" s="61">
        <v>502</v>
      </c>
      <c r="B551" s="14">
        <f t="shared" si="9"/>
        <v>545</v>
      </c>
      <c r="C551" s="15">
        <v>44071</v>
      </c>
      <c r="D551" s="16">
        <v>0.5509722222222222</v>
      </c>
      <c r="E551" s="36">
        <v>20.02</v>
      </c>
      <c r="F551" s="36">
        <v>1.19</v>
      </c>
      <c r="G551" s="36">
        <v>0.66</v>
      </c>
      <c r="H551" s="56" cm="1">
        <f t="array" ref="H551:I551">LINEST(E542:E551,D542:D551)</f>
        <v>-8.2472727272726196</v>
      </c>
      <c r="I551" s="56">
        <v>24.585472727272666</v>
      </c>
      <c r="J551" s="56" cm="1">
        <f t="array" ref="J551:K551">LINEST(E537:E551,D537:D551)</f>
        <v>1.1571428571428806</v>
      </c>
      <c r="K551" s="56">
        <v>19.449696428571418</v>
      </c>
      <c r="L551" s="56" cm="1">
        <f t="array" ref="L551:M551">LINEST(E532:E551,D532:D551)</f>
        <v>2.3061654135338587</v>
      </c>
      <c r="M551" s="56">
        <v>18.822795488721788</v>
      </c>
      <c r="N551" s="56" cm="1">
        <f t="array" ref="N551:O551">LINEST(E527:E551,D527:D551)</f>
        <v>0.59261538461539598</v>
      </c>
      <c r="O551" s="56">
        <v>19.751762307692299</v>
      </c>
      <c r="P551" s="56" cm="1">
        <f t="array" ref="P551:Q551">LINEST(E522:E551,D522:D551)</f>
        <v>2.0022246941045472</v>
      </c>
      <c r="Q551" s="56">
        <v>18.992485724879504</v>
      </c>
      <c r="R551" s="56" cm="1">
        <f t="array" ref="R551:S551">LINEST(F542:F551,D542:D551)</f>
        <v>65.978181818182037</v>
      </c>
      <c r="S551" s="56">
        <v>-35.215781818181945</v>
      </c>
      <c r="T551" s="56" cm="1">
        <f t="array" ref="T551:U551">LINEST(F537:F551,D537:D551)</f>
        <v>49.525714285714237</v>
      </c>
      <c r="U551" s="56">
        <v>-26.22779285714283</v>
      </c>
      <c r="V551" s="56" cm="1">
        <f t="array" ref="V551:W551">LINEST(F532:F551,D532:D551)</f>
        <v>-3.8165413533835242</v>
      </c>
      <c r="W551" s="56">
        <v>2.7719511278195839</v>
      </c>
      <c r="X551" s="56" cm="1">
        <f t="array" ref="X551:Y551">LINEST(F527:F551,D527:D551)</f>
        <v>3.7993846153845525</v>
      </c>
      <c r="Y551" s="56">
        <v>-1.3444323076922742</v>
      </c>
      <c r="Z551" s="56" cm="1">
        <f t="array" ref="Z551:AA551">LINEST(F522:F551,D522:D551)</f>
        <v>1.4031590656284501</v>
      </c>
      <c r="AA551" s="56">
        <v>-4.8176937337768844E-2</v>
      </c>
      <c r="AB551" s="37" cm="1">
        <f t="array" ref="AB551:AC551">LINEST(G542:G551,D542:D551)</f>
        <v>9.8181818181818539</v>
      </c>
      <c r="AC551" s="59">
        <v>-4.8171818181818384</v>
      </c>
      <c r="AD551" s="37" cm="1">
        <f t="array" ref="AD551:AE551">LINEST(G537:G551,D537:D551)</f>
        <v>3.0342857142856929</v>
      </c>
      <c r="AE551" s="59">
        <v>-1.1143071428571314</v>
      </c>
      <c r="AF551" s="37" cm="1">
        <f t="array" ref="AF551:AG551">LINEST(G532:G551,D532:D551)</f>
        <v>1.9001503759398328</v>
      </c>
      <c r="AG551" s="59">
        <v>-0.49435864661653217</v>
      </c>
      <c r="AH551" s="37" cm="1">
        <f t="array" ref="AH551:AI551">LINEST(G527:G551,D527:D551)</f>
        <v>8.6344615384615153</v>
      </c>
      <c r="AI551" s="59">
        <v>-4.1394407692307569</v>
      </c>
      <c r="AJ551" s="37" cm="1">
        <f t="array" ref="AJ551:AK551">LINEST(G522:G551,D522:D551)</f>
        <v>13.091345939933236</v>
      </c>
      <c r="AK551" s="59">
        <v>-6.540989469781227</v>
      </c>
    </row>
    <row r="552" spans="1:37" x14ac:dyDescent="0.25">
      <c r="A552" s="61">
        <v>502</v>
      </c>
      <c r="B552" s="14">
        <f t="shared" si="9"/>
        <v>546</v>
      </c>
      <c r="C552" s="15">
        <v>44072</v>
      </c>
      <c r="D552" s="16">
        <v>0.55236111111111108</v>
      </c>
      <c r="E552" s="36">
        <v>20.03</v>
      </c>
      <c r="F552" s="36">
        <v>0.18</v>
      </c>
      <c r="G552" s="36">
        <v>0.62</v>
      </c>
      <c r="H552" s="56" cm="1">
        <f t="array" ref="H552:I552">LINEST(E543:E552,D543:D552)</f>
        <v>-11.345454545454452</v>
      </c>
      <c r="I552" s="56">
        <v>26.283878787878734</v>
      </c>
      <c r="J552" s="56" cm="1">
        <f t="array" ref="J552:K552">LINEST(E538:E552,D538:D552)</f>
        <v>-0.82285714285710732</v>
      </c>
      <c r="K552" s="56">
        <v>20.52318095238093</v>
      </c>
      <c r="L552" s="56" cm="1">
        <f t="array" ref="L552:M552">LINEST(E533:E552,D533:D552)</f>
        <v>3.2968421052631984</v>
      </c>
      <c r="M552" s="56">
        <v>18.27795263157892</v>
      </c>
      <c r="N552" s="56" cm="1">
        <f t="array" ref="N552:O552">LINEST(E528:E552,D528:D552)</f>
        <v>-1.1076923076902133E-2</v>
      </c>
      <c r="O552" s="56">
        <v>20.07473384615383</v>
      </c>
      <c r="P552" s="56" cm="1">
        <f t="array" ref="P552:Q552">LINEST(E523:E552,D523:D552)</f>
        <v>1.3118576195773086</v>
      </c>
      <c r="Q552" s="56">
        <v>19.36013355580274</v>
      </c>
      <c r="R552" s="56" cm="1">
        <f t="array" ref="R552:S552">LINEST(F543:F552,D543:D552)</f>
        <v>35.301818181818284</v>
      </c>
      <c r="S552" s="56">
        <v>-18.589715151515204</v>
      </c>
      <c r="T552" s="56" cm="1">
        <f t="array" ref="T552:U552">LINEST(F538:F552,D538:D552)</f>
        <v>32.734285714285761</v>
      </c>
      <c r="U552" s="56">
        <v>-17.180229761904791</v>
      </c>
      <c r="V552" s="56" cm="1">
        <f t="array" ref="V552:W552">LINEST(F533:F552,D533:D552)</f>
        <v>-2.7663157894737367</v>
      </c>
      <c r="W552" s="56">
        <v>2.1550052631579231</v>
      </c>
      <c r="X552" s="56" cm="1">
        <f t="array" ref="X552:Y552">LINEST(F528:F552,D528:D552)</f>
        <v>-9.8252307692307852</v>
      </c>
      <c r="Y552" s="56">
        <v>5.9857215384615472</v>
      </c>
      <c r="Z552" s="56" cm="1">
        <f t="array" ref="Z552:AA552">LINEST(F523:F552,D523:D552)</f>
        <v>-2.4699443826474079</v>
      </c>
      <c r="AA552" s="56">
        <v>2.0038926214312314</v>
      </c>
      <c r="AB552" s="37" cm="1">
        <f t="array" ref="AB552:AC552">LINEST(G543:G552,D543:D552)</f>
        <v>11.825454545454585</v>
      </c>
      <c r="AC552" s="59">
        <v>-5.9150121212121416</v>
      </c>
      <c r="AD552" s="37" cm="1">
        <f t="array" ref="AD552:AE552">LINEST(G538:G552,D538:D552)</f>
        <v>5.3485714285714243</v>
      </c>
      <c r="AE552" s="59">
        <v>-2.3703428571428553</v>
      </c>
      <c r="AF552" s="37" cm="1">
        <f t="array" ref="AF552:AG552">LINEST(G533:G552,D533:D552)</f>
        <v>1.5157894736841935</v>
      </c>
      <c r="AG552" s="59">
        <v>-0.27926315789472766</v>
      </c>
      <c r="AH552" s="37" cm="1">
        <f t="array" ref="AH552:AI552">LINEST(G528:G552,D528:D552)</f>
        <v>7.1999999999999806</v>
      </c>
      <c r="AI552" s="59">
        <v>-3.3637999999999901</v>
      </c>
      <c r="AJ552" s="37" cm="1">
        <f t="array" ref="AJ552:AK552">LINEST(G523:G552,D523:D552)</f>
        <v>11.848364849833134</v>
      </c>
      <c r="AK552" s="59">
        <v>-5.8756297367445223</v>
      </c>
    </row>
    <row r="553" spans="1:37" x14ac:dyDescent="0.25">
      <c r="A553" s="61">
        <v>502</v>
      </c>
      <c r="B553" s="14">
        <f t="shared" si="9"/>
        <v>547</v>
      </c>
      <c r="C553" s="15">
        <v>44073</v>
      </c>
      <c r="D553" s="16">
        <v>0.55374999999999996</v>
      </c>
      <c r="E553" s="36">
        <v>20.05</v>
      </c>
      <c r="F553" s="36">
        <v>0.51</v>
      </c>
      <c r="G553" s="36">
        <v>0.61</v>
      </c>
      <c r="H553" s="56" cm="1">
        <f t="array" ref="H553:I553">LINEST(E544:E553,D544:D553)</f>
        <v>-10.821818181818099</v>
      </c>
      <c r="I553" s="56">
        <v>26.004945454545414</v>
      </c>
      <c r="J553" s="56" cm="1">
        <f t="array" ref="J553:K553">LINEST(E539:E553,D539:D553)</f>
        <v>-2.2628571428570852</v>
      </c>
      <c r="K553" s="56">
        <v>21.30905714285711</v>
      </c>
      <c r="L553" s="56" cm="1">
        <f t="array" ref="L553:M553">LINEST(E534:E553,D534:D553)</f>
        <v>2.0409022556391432</v>
      </c>
      <c r="M553" s="56">
        <v>18.95727894736839</v>
      </c>
      <c r="N553" s="56" cm="1">
        <f t="array" ref="N553:O553">LINEST(E529:E553,D529:D553)</f>
        <v>-0.1993846153845962</v>
      </c>
      <c r="O553" s="56">
        <v>20.175486153846144</v>
      </c>
      <c r="P553" s="56" cm="1">
        <f t="array" ref="P553:Q553">LINEST(E524:E553,D524:D553)</f>
        <v>0.78487208008899856</v>
      </c>
      <c r="Q553" s="56">
        <v>19.642516870596946</v>
      </c>
      <c r="R553" s="56" cm="1">
        <f t="array" ref="R553:S553">LINEST(F544:F553,D544:D553)</f>
        <v>55.680000000000184</v>
      </c>
      <c r="S553" s="56">
        <v>-29.870800000000106</v>
      </c>
      <c r="T553" s="56" cm="1">
        <f t="array" ref="T553:U553">LINEST(F539:F553,D539:D553)</f>
        <v>25.200000000000077</v>
      </c>
      <c r="U553" s="56">
        <v>-13.111500000000042</v>
      </c>
      <c r="V553" s="56" cm="1">
        <f t="array" ref="V553:W553">LINEST(F534:F553,D534:D553)</f>
        <v>2.8908270676691235</v>
      </c>
      <c r="W553" s="56">
        <v>-0.93865263157892054</v>
      </c>
      <c r="X553" s="56" cm="1">
        <f t="array" ref="X553:Y553">LINEST(F529:F553,D529:D553)</f>
        <v>-8.3021538461538604</v>
      </c>
      <c r="Y553" s="56">
        <v>5.1565484615384696</v>
      </c>
      <c r="Z553" s="56" cm="1">
        <f t="array" ref="Z553:AA553">LINEST(F524:F553,D524:D553)</f>
        <v>-3.89552836484985</v>
      </c>
      <c r="AA553" s="56">
        <v>2.7660305524657121</v>
      </c>
      <c r="AB553" s="37" cm="1">
        <f t="array" ref="AB553:AC553">LINEST(G544:G553,D544:D553)</f>
        <v>15.272727272727327</v>
      </c>
      <c r="AC553" s="59">
        <v>-7.8138181818182133</v>
      </c>
      <c r="AD553" s="37" cm="1">
        <f t="array" ref="AD553:AE553">LINEST(G539:G553,D539:D553)</f>
        <v>6.9171428571428795</v>
      </c>
      <c r="AE553" s="59">
        <v>-3.2264511904762028</v>
      </c>
      <c r="AF553" s="37" cm="1">
        <f t="array" ref="AF553:AG553">LINEST(G534:G553,D534:D553)</f>
        <v>1.5969924812029888</v>
      </c>
      <c r="AG553" s="59">
        <v>-0.31876315789472665</v>
      </c>
      <c r="AH553" s="37" cm="1">
        <f t="array" ref="AH553:AI553">LINEST(G529:G553,D529:D553)</f>
        <v>5.9372307692307533</v>
      </c>
      <c r="AI553" s="59">
        <v>-2.6795876923076847</v>
      </c>
      <c r="AJ553" s="37" cm="1">
        <f t="array" ref="AJ553:AK553">LINEST(G524:G553,D524:D553)</f>
        <v>10.595773081201322</v>
      </c>
      <c r="AK553" s="59">
        <v>-5.2036889136077065</v>
      </c>
    </row>
    <row r="554" spans="1:37" x14ac:dyDescent="0.25">
      <c r="A554" s="61">
        <v>502</v>
      </c>
      <c r="B554" s="14">
        <f t="shared" si="9"/>
        <v>548</v>
      </c>
      <c r="C554" s="15">
        <v>44074</v>
      </c>
      <c r="D554" s="16">
        <v>0.55513888888888896</v>
      </c>
      <c r="E554" s="36">
        <v>20.03</v>
      </c>
      <c r="F554" s="36">
        <v>-0.42</v>
      </c>
      <c r="G554" s="36">
        <v>0.53</v>
      </c>
      <c r="H554" s="56" cm="1">
        <f t="array" ref="H554:I554">LINEST(E545:E554,D545:D554)</f>
        <v>-11.345454545454379</v>
      </c>
      <c r="I554" s="56">
        <v>26.299393939393852</v>
      </c>
      <c r="J554" s="56" cm="1">
        <f t="array" ref="J554:K554">LINEST(E540:E554,D540:D554)</f>
        <v>-3.9085714285713622</v>
      </c>
      <c r="K554" s="56">
        <v>22.209133333333295</v>
      </c>
      <c r="L554" s="56" cm="1">
        <f t="array" ref="L554:M554">LINEST(E535:E554,D535:D554)</f>
        <v>0.69834586466169857</v>
      </c>
      <c r="M554" s="56">
        <v>19.685035338345838</v>
      </c>
      <c r="N554" s="56" cm="1">
        <f t="array" ref="N554:O554">LINEST(E530:E554,D530:D554)</f>
        <v>-8.307692307688859E-2</v>
      </c>
      <c r="O554" s="56">
        <v>20.1095346153846</v>
      </c>
      <c r="P554" s="56" cm="1">
        <f t="array" ref="P554:Q554">LINEST(E525:E554,D525:D554)</f>
        <v>0.23546162402671517</v>
      </c>
      <c r="Q554" s="56">
        <v>19.937028031145701</v>
      </c>
      <c r="R554" s="56" cm="1">
        <f t="array" ref="R554:S554">LINEST(F545:F554,D545:D554)</f>
        <v>-40.800000000000502</v>
      </c>
      <c r="S554" s="56">
        <v>23.021666666666942</v>
      </c>
      <c r="T554" s="56" cm="1">
        <f t="array" ref="T554:U554">LINEST(F540:F554,D540:D554)</f>
        <v>1.5685714285712262</v>
      </c>
      <c r="U554" s="56">
        <v>-0.3081916666665564</v>
      </c>
      <c r="V554" s="56" cm="1">
        <f t="array" ref="V554:W554">LINEST(F535:F554,D535:D554)</f>
        <v>-0.16240601503768576</v>
      </c>
      <c r="W554" s="56">
        <v>0.62601503759403465</v>
      </c>
      <c r="X554" s="56" cm="1">
        <f t="array" ref="X554:Y554">LINEST(F530:F554,D530:D554)</f>
        <v>-8.5846153846154234</v>
      </c>
      <c r="Y554" s="56">
        <v>5.2357769230769442</v>
      </c>
      <c r="Z554" s="56" cm="1">
        <f t="array" ref="Z554:AA554">LINEST(F525:F554,D525:D554)</f>
        <v>-9.3239599555061421</v>
      </c>
      <c r="AA554" s="56">
        <v>5.6406519095291197</v>
      </c>
      <c r="AB554" s="37" cm="1">
        <f t="array" ref="AB554:AC554">LINEST(G545:G554,D545:D554)</f>
        <v>10.821818181818106</v>
      </c>
      <c r="AC554" s="59">
        <v>-5.3859757575757152</v>
      </c>
      <c r="AD554" s="37" cm="1">
        <f t="array" ref="AD554:AE554">LINEST(G540:G554,D540:D554)</f>
        <v>6.4542857142857102</v>
      </c>
      <c r="AE554" s="59">
        <v>-2.9829416666666644</v>
      </c>
      <c r="AF554" s="37" cm="1">
        <f t="array" ref="AF554:AG554">LINEST(G535:G554,D535:D554)</f>
        <v>1.3966917293232868</v>
      </c>
      <c r="AG554" s="59">
        <v>-0.21292932330825942</v>
      </c>
      <c r="AH554" s="37" cm="1">
        <f t="array" ref="AH554:AI554">LINEST(G530:G554,D530:D554)</f>
        <v>4.7852307692307532</v>
      </c>
      <c r="AI554" s="59">
        <v>-2.0595138461538376</v>
      </c>
      <c r="AJ554" s="37" cm="1">
        <f t="array" ref="AJ554:AK554">LINEST(G525:G554,D525:D554)</f>
        <v>9.0276307007786265</v>
      </c>
      <c r="AK554" s="59">
        <v>-4.3637824249165655</v>
      </c>
    </row>
    <row r="555" spans="1:37" x14ac:dyDescent="0.25">
      <c r="A555" s="61">
        <v>502</v>
      </c>
      <c r="B555" s="14">
        <f t="shared" si="9"/>
        <v>549</v>
      </c>
      <c r="C555" s="15">
        <v>44075</v>
      </c>
      <c r="D555" s="16">
        <v>0.55652777777777784</v>
      </c>
      <c r="E555" s="36">
        <v>20.010000000000002</v>
      </c>
      <c r="F555" s="36">
        <v>-0.66</v>
      </c>
      <c r="G555" s="36">
        <v>0.44</v>
      </c>
      <c r="H555" s="56" cm="1">
        <f t="array" ref="H555:I555">LINEST(E546:E555,D546:D555)</f>
        <v>-10.996363636363441</v>
      </c>
      <c r="I555" s="56">
        <v>26.111054545454436</v>
      </c>
      <c r="J555" s="56" cm="1">
        <f t="array" ref="J555:K555">LINEST(E541:E555,D541:D555)</f>
        <v>-5.6828571428570269</v>
      </c>
      <c r="K555" s="56">
        <v>23.182084523809461</v>
      </c>
      <c r="L555" s="56" cm="1">
        <f t="array" ref="L555:M555">LINEST(E536:E555,D536:D555)</f>
        <v>-0.57383458646610563</v>
      </c>
      <c r="M555" s="56">
        <v>20.375783458646584</v>
      </c>
      <c r="N555" s="56" cm="1">
        <f t="array" ref="N555:O555">LINEST(E531:E555,D531:D555)</f>
        <v>-0.12184615384611376</v>
      </c>
      <c r="O555" s="56">
        <v>20.126579999999979</v>
      </c>
      <c r="P555" s="56" cm="1">
        <f t="array" ref="P555:Q555">LINEST(E526:E555,D526:D555)</f>
        <v>-0.22424916573968545</v>
      </c>
      <c r="Q555" s="56">
        <v>20.18295142751203</v>
      </c>
      <c r="R555" s="56" cm="1">
        <f t="array" ref="R555:S555">LINEST(F546:F555,D546:D555)</f>
        <v>-81.600000000000435</v>
      </c>
      <c r="S555" s="56">
        <v>45.380666666666912</v>
      </c>
      <c r="T555" s="56" cm="1">
        <f t="array" ref="T555:U555">LINEST(F541:F555,D541:D555)</f>
        <v>-28.337142857143174</v>
      </c>
      <c r="U555" s="56">
        <v>15.988240476190652</v>
      </c>
      <c r="V555" s="56" cm="1">
        <f t="array" ref="V555:W555">LINEST(F536:F555,D536:D555)</f>
        <v>-3.8219548872181557</v>
      </c>
      <c r="W555" s="56">
        <v>2.516595488721864</v>
      </c>
      <c r="X555" s="56" cm="1">
        <f t="array" ref="X555:Y555">LINEST(F531:F555,D531:D555)</f>
        <v>-23.045538461538499</v>
      </c>
      <c r="Y555" s="56">
        <v>13.036990000000019</v>
      </c>
      <c r="Z555" s="56" cm="1">
        <f t="array" ref="Z555:AA555">LINEST(F526:F555,D526:D555)</f>
        <v>-12.303270300333736</v>
      </c>
      <c r="AA555" s="56">
        <v>7.1870041527623458</v>
      </c>
      <c r="AB555" s="37" cm="1">
        <f t="array" ref="AB555:AC555">LINEST(G546:G555,D546:D555)</f>
        <v>3.752727272727141</v>
      </c>
      <c r="AC555" s="59">
        <v>-1.5170424242423519</v>
      </c>
      <c r="AD555" s="37" cm="1">
        <f t="array" ref="AD555:AE555">LINEST(G541:G555,D541:D555)</f>
        <v>3.7285714285713931</v>
      </c>
      <c r="AE555" s="59">
        <v>-1.5048035714285524</v>
      </c>
      <c r="AF555" s="37" cm="1">
        <f t="array" ref="AF555:AG555">LINEST(G536:G555,D536:D555)</f>
        <v>0.9636090225563676</v>
      </c>
      <c r="AG555" s="59">
        <v>1.2439097744373573E-2</v>
      </c>
      <c r="AH555" s="37" cm="1">
        <f t="array" ref="AH555:AI555">LINEST(G531:G555,D531:D555)</f>
        <v>2.6363076923076756</v>
      </c>
      <c r="AI555" s="59">
        <v>-0.90003999999999107</v>
      </c>
      <c r="AJ555" s="37" cm="1">
        <f t="array" ref="AJ555:AK555">LINEST(G526:G555,D526:D555)</f>
        <v>7.387408231368167</v>
      </c>
      <c r="AK555" s="59">
        <v>-3.4871903596588698</v>
      </c>
    </row>
    <row r="556" spans="1:37" x14ac:dyDescent="0.25">
      <c r="A556" s="61">
        <v>502</v>
      </c>
      <c r="B556" s="14">
        <f t="shared" si="9"/>
        <v>550</v>
      </c>
      <c r="C556" s="15">
        <v>44076</v>
      </c>
      <c r="D556" s="16">
        <v>0.55791666666666673</v>
      </c>
      <c r="E556" s="36">
        <v>20.05</v>
      </c>
      <c r="F556" s="36">
        <v>1.19</v>
      </c>
      <c r="G556" s="36">
        <v>0.5</v>
      </c>
      <c r="H556" s="56" cm="1">
        <f t="array" ref="H556:I556">LINEST(E547:E556,D547:D556)</f>
        <v>-7.5490909090906921</v>
      </c>
      <c r="I556" s="56">
        <v>24.2155818181817</v>
      </c>
      <c r="J556" s="56" cm="1">
        <f t="array" ref="J556:K556">LINEST(E542:E556,D542:D556)</f>
        <v>-6.2228571428569959</v>
      </c>
      <c r="K556" s="56">
        <v>23.484669047618965</v>
      </c>
      <c r="L556" s="56" cm="1">
        <f t="array" ref="L556:M556">LINEST(E537:E556,D537:D556)</f>
        <v>-1.2180451127818948</v>
      </c>
      <c r="M556" s="56">
        <v>20.728996240601472</v>
      </c>
      <c r="N556" s="56" cm="1">
        <f t="array" ref="N556:O556">LINEST(E532:E556,D532:D556)</f>
        <v>0.37661538461543365</v>
      </c>
      <c r="O556" s="56">
        <v>19.853356923076891</v>
      </c>
      <c r="P556" s="56" cm="1">
        <f t="array" ref="P556:Q556">LINEST(E527:E556,D527:D556)</f>
        <v>-0.34598442714123506</v>
      </c>
      <c r="Q556" s="56">
        <v>20.248729403040389</v>
      </c>
      <c r="R556" s="56" cm="1">
        <f t="array" ref="R556:S556">LINEST(F547:F556,D547:D556)</f>
        <v>-64.101818181818217</v>
      </c>
      <c r="S556" s="56">
        <v>35.933836363636381</v>
      </c>
      <c r="T556" s="56" cm="1">
        <f t="array" ref="T556:U556">LINEST(F542:F556,D542:D556)</f>
        <v>-14.631428571428772</v>
      </c>
      <c r="U556" s="56">
        <v>8.5568678571429686</v>
      </c>
      <c r="V556" s="56" cm="1">
        <f t="array" ref="V556:W556">LINEST(F537:F556,D537:D556)</f>
        <v>4.801804511278096</v>
      </c>
      <c r="W556" s="56">
        <v>-2.1421496240600963</v>
      </c>
      <c r="X556" s="56" cm="1">
        <f t="array" ref="X556:Y556">LINEST(F532:F556,D532:D556)</f>
        <v>-16.97538461538463</v>
      </c>
      <c r="Y556" s="56">
        <v>9.7955269230769293</v>
      </c>
      <c r="Z556" s="56" cm="1">
        <f t="array" ref="Z556:AA556">LINEST(F527:F556,D527:D556)</f>
        <v>-8.0537486095662096</v>
      </c>
      <c r="AA556" s="56">
        <v>4.929127030033384</v>
      </c>
      <c r="AB556" s="37" cm="1">
        <f t="array" ref="AB556:AC556">LINEST(G547:G556,D547:D556)</f>
        <v>-1.3963636363637404</v>
      </c>
      <c r="AC556" s="59">
        <v>1.3203272727273301</v>
      </c>
      <c r="AD556" s="37" cm="1">
        <f t="array" ref="AD556:AE556">LINEST(G542:G556,D542:D556)</f>
        <v>2.4171428571428133</v>
      </c>
      <c r="AE556" s="59">
        <v>-0.79106428571426168</v>
      </c>
      <c r="AF556" s="37" cm="1">
        <f t="array" ref="AF556:AG556">LINEST(G537:G556,D537:D556)</f>
        <v>1.3209022556390735</v>
      </c>
      <c r="AG556" s="59">
        <v>-0.18852481203006211</v>
      </c>
      <c r="AH556" s="37" cm="1">
        <f t="array" ref="AH556:AI556">LINEST(G532:G556,D532:D556)</f>
        <v>1.0910769230769084</v>
      </c>
      <c r="AI556" s="59">
        <v>-6.0545384615376618E-2</v>
      </c>
      <c r="AJ556" s="37" cm="1">
        <f t="array" ref="AJ556:AK556">LINEST(G527:G556,D527:D556)</f>
        <v>6.1844716351501416</v>
      </c>
      <c r="AK556" s="59">
        <v>-2.8408714126807433</v>
      </c>
    </row>
    <row r="557" spans="1:37" x14ac:dyDescent="0.25">
      <c r="A557" s="61">
        <v>502</v>
      </c>
      <c r="B557" s="14">
        <f t="shared" si="9"/>
        <v>551</v>
      </c>
      <c r="C557" s="15">
        <v>44077</v>
      </c>
      <c r="D557" s="16">
        <v>0.55930555555555561</v>
      </c>
      <c r="E557" s="36">
        <v>20.059999999999999</v>
      </c>
      <c r="F557" s="36">
        <v>0.25</v>
      </c>
      <c r="G557" s="36">
        <v>0.48</v>
      </c>
      <c r="H557" s="56" cm="1">
        <f t="array" ref="H557:I557">LINEST(E548:E557,D548:D557)</f>
        <v>-2.4436363636363536</v>
      </c>
      <c r="I557" s="56">
        <v>21.393466666666662</v>
      </c>
      <c r="J557" s="56" cm="1">
        <f t="array" ref="J557:K557">LINEST(E543:E557,D543:D557)</f>
        <v>-6.325714285714187</v>
      </c>
      <c r="K557" s="56">
        <v>23.54850714285709</v>
      </c>
      <c r="L557" s="56" cm="1">
        <f t="array" ref="L557:M557">LINEST(E538:E557,D538:D557)</f>
        <v>-1.7918796992480821</v>
      </c>
      <c r="M557" s="56">
        <v>21.046065413533817</v>
      </c>
      <c r="N557" s="56" cm="1">
        <f t="array" ref="N557:O557">LINEST(E533:E557,D533:D557)</f>
        <v>1.2793846153846509</v>
      </c>
      <c r="O557" s="56">
        <v>19.358156153846132</v>
      </c>
      <c r="P557" s="56" cm="1">
        <f t="array" ref="P557:Q557">LINEST(E528:E557,D528:D557)</f>
        <v>-0.57023359288095254</v>
      </c>
      <c r="Q557" s="56">
        <v>20.371450945494971</v>
      </c>
      <c r="R557" s="56" cm="1">
        <f t="array" ref="R557:S557">LINEST(F548:F557,D548:D557)</f>
        <v>-96.916363636363101</v>
      </c>
      <c r="S557" s="56">
        <v>54.181133333333051</v>
      </c>
      <c r="T557" s="56" cm="1">
        <f t="array" ref="T557:U557">LINEST(F543:F557,D543:D557)</f>
        <v>-19.902857142857329</v>
      </c>
      <c r="U557" s="56">
        <v>11.455611904762007</v>
      </c>
      <c r="V557" s="56" cm="1">
        <f t="array" ref="V557:W557">LINEST(F538:F557,D538:D557)</f>
        <v>-1.6294736842106363</v>
      </c>
      <c r="W557" s="56">
        <v>1.3703736842105865</v>
      </c>
      <c r="X557" s="56" cm="1">
        <f t="array" ref="X557:Y557">LINEST(F533:F557,D533:D557)</f>
        <v>-14.366769230769265</v>
      </c>
      <c r="Y557" s="56">
        <v>8.3615676923077107</v>
      </c>
      <c r="Z557" s="56" cm="1">
        <f t="array" ref="Z557:AA557">LINEST(F528:F557,D528:D557)</f>
        <v>-16.314126807563962</v>
      </c>
      <c r="AA557" s="56">
        <v>9.4270333704115696</v>
      </c>
      <c r="AB557" s="37" cm="1">
        <f t="array" ref="AB557:AC557">LINEST(G548:G557,D548:D557)</f>
        <v>-8.4654545454545609</v>
      </c>
      <c r="AC557" s="59">
        <v>5.2338666666666764</v>
      </c>
      <c r="AD557" s="37" cm="1">
        <f t="array" ref="AD557:AE557">LINEST(G543:G557,D543:D557)</f>
        <v>0.7457142857142407</v>
      </c>
      <c r="AE557" s="59">
        <v>0.12283452380954862</v>
      </c>
      <c r="AF557" s="37" cm="1">
        <f t="array" ref="AF557:AG557">LINEST(G538:G557,D538:D557)</f>
        <v>1.1260150375939619</v>
      </c>
      <c r="AG557" s="59">
        <v>-8.7929323308258311E-2</v>
      </c>
      <c r="AH557" s="37" cm="1">
        <f t="array" ref="AH557:AI557">LINEST(G533:G557,D533:D557)</f>
        <v>-0.10523076923078192</v>
      </c>
      <c r="AI557" s="59">
        <v>0.58990230769231455</v>
      </c>
      <c r="AJ557" s="37" cm="1">
        <f t="array" ref="AJ557:AK557">LINEST(G528:G557,D528:D557)</f>
        <v>4.4481423804226718</v>
      </c>
      <c r="AK557" s="59">
        <v>-1.9019567667778907</v>
      </c>
    </row>
    <row r="558" spans="1:37" x14ac:dyDescent="0.25">
      <c r="A558" s="61">
        <v>502</v>
      </c>
      <c r="B558" s="14">
        <f t="shared" si="9"/>
        <v>552</v>
      </c>
      <c r="C558" s="15">
        <v>44078</v>
      </c>
      <c r="D558" s="16">
        <v>0.5606944444444445</v>
      </c>
      <c r="E558" s="36">
        <v>20.059999999999999</v>
      </c>
      <c r="F558" s="36">
        <v>-0.09</v>
      </c>
      <c r="G558" s="36">
        <v>0.43</v>
      </c>
      <c r="H558" s="56" cm="1">
        <f t="array" ref="H558:I558">LINEST(E549:E558,D549:D558)</f>
        <v>5.367272727272602</v>
      </c>
      <c r="I558" s="56">
        <v>17.053145454545529</v>
      </c>
      <c r="J558" s="56" cm="1">
        <f t="array" ref="J558:K558">LINEST(E544:E558,D544:D558)</f>
        <v>-5.3485714285713746</v>
      </c>
      <c r="K558" s="56">
        <v>23.014247619047591</v>
      </c>
      <c r="L558" s="56" cm="1">
        <f t="array" ref="L558:M558">LINEST(E539:E558,D539:D558)</f>
        <v>-2.295338345864629</v>
      </c>
      <c r="M558" s="56">
        <v>21.325697744360887</v>
      </c>
      <c r="N558" s="56" cm="1">
        <f t="array" ref="N558:O558">LINEST(E534:E558,D534:D558)</f>
        <v>0.59261538461540852</v>
      </c>
      <c r="O558" s="56">
        <v>19.734400769230753</v>
      </c>
      <c r="P558" s="56" cm="1">
        <f t="array" ref="P558:Q558">LINEST(E529:E558,D529:D558)</f>
        <v>-0.60867630700777142</v>
      </c>
      <c r="Q558" s="56">
        <v>20.393023359288087</v>
      </c>
      <c r="R558" s="56" cm="1">
        <f t="array" ref="R558:S558">LINEST(F549:F558,D549:D558)</f>
        <v>-94.036363636363092</v>
      </c>
      <c r="S558" s="56">
        <v>52.590939393939088</v>
      </c>
      <c r="T558" s="56" cm="1">
        <f t="array" ref="T558:U558">LINEST(F544:F558,D544:D558)</f>
        <v>-15.557142857143081</v>
      </c>
      <c r="U558" s="56">
        <v>8.9988869047620295</v>
      </c>
      <c r="V558" s="56" cm="1">
        <f t="array" ref="V558:W558">LINEST(F539:F558,D539:D558)</f>
        <v>-9.776842105263281</v>
      </c>
      <c r="W558" s="56">
        <v>5.8148210526316459</v>
      </c>
      <c r="X558" s="56" cm="1">
        <f t="array" ref="X558:Y558">LINEST(F534:F558,D534:D558)</f>
        <v>-13.436307692307711</v>
      </c>
      <c r="Y558" s="56">
        <v>7.819724615384624</v>
      </c>
      <c r="Z558" s="56" cm="1">
        <f t="array" ref="Z558:AA558">LINEST(F529:F558,D529:D558)</f>
        <v>-17.185494994438262</v>
      </c>
      <c r="AA558" s="56">
        <v>9.8800481275491272</v>
      </c>
      <c r="AB558" s="37" cm="1">
        <f t="array" ref="AB558:AC558">LINEST(G549:G558,D549:D558)</f>
        <v>-15.272727272727195</v>
      </c>
      <c r="AC558" s="59">
        <v>9.0118787878787447</v>
      </c>
      <c r="AD558" s="37" cm="1">
        <f t="array" ref="AD558:AE558">LINEST(G544:G558,D544:D558)</f>
        <v>-0.54000000000004333</v>
      </c>
      <c r="AE558" s="59">
        <v>0.82152500000002404</v>
      </c>
      <c r="AF558" s="37" cm="1">
        <f t="array" ref="AF558:AG558">LINEST(G539:G558,D539:D558)</f>
        <v>0.2760902255638889</v>
      </c>
      <c r="AG558" s="59">
        <v>0.37034060150377068</v>
      </c>
      <c r="AH558" s="37" cm="1">
        <f t="array" ref="AH558:AI558">LINEST(G534:G558,D534:D558)</f>
        <v>-1.1686153846153953</v>
      </c>
      <c r="AI558" s="59">
        <v>1.1665592307692363</v>
      </c>
      <c r="AJ558" s="37" cm="1">
        <f t="array" ref="AJ558:AK558">LINEST(G529:G558,D529:D558)</f>
        <v>2.7182202447163353</v>
      </c>
      <c r="AK558" s="59">
        <v>-0.96568238783833005</v>
      </c>
    </row>
    <row r="559" spans="1:37" x14ac:dyDescent="0.25">
      <c r="A559" s="61">
        <v>502</v>
      </c>
      <c r="B559" s="14">
        <f t="shared" si="9"/>
        <v>553</v>
      </c>
      <c r="C559" s="15">
        <v>44079</v>
      </c>
      <c r="D559" s="16">
        <v>0.56208333333333338</v>
      </c>
      <c r="E559" s="36">
        <v>20.09</v>
      </c>
      <c r="F559" s="36">
        <v>1.05</v>
      </c>
      <c r="G559" s="36">
        <v>0.48</v>
      </c>
      <c r="H559" s="56" cm="1">
        <f t="array" ref="H559:I559">LINEST(E550:E559,D550:D559)</f>
        <v>4.9309090909088864</v>
      </c>
      <c r="I559" s="56">
        <v>17.300236363636479</v>
      </c>
      <c r="J559" s="56" cm="1">
        <f t="array" ref="J559:K559">LINEST(E545:E559,D545:D559)</f>
        <v>-4.0628571428571121</v>
      </c>
      <c r="K559" s="56">
        <v>22.310164285714269</v>
      </c>
      <c r="L559" s="56" cm="1">
        <f t="array" ref="L559:M559">LINEST(E540:E559,D540:D559)</f>
        <v>-2.4090225563909513</v>
      </c>
      <c r="M559" s="56">
        <v>21.393785714285698</v>
      </c>
      <c r="N559" s="56" cm="1">
        <f t="array" ref="N559:O559">LINEST(E535:E559,D535:D559)</f>
        <v>0.18830769230770905</v>
      </c>
      <c r="O559" s="56">
        <v>19.958893846153835</v>
      </c>
      <c r="P559" s="56" cm="1">
        <f t="array" ref="P559:Q559">LINEST(E530:E559,D530:D559)</f>
        <v>-0.20983314794213931</v>
      </c>
      <c r="Q559" s="56">
        <v>20.176717908787527</v>
      </c>
      <c r="R559" s="56" cm="1">
        <f t="array" ref="R559:S559">LINEST(F550:F559,D550:D559)</f>
        <v>-35.214545454545686</v>
      </c>
      <c r="S559" s="56">
        <v>20.012418181818312</v>
      </c>
      <c r="T559" s="56" cm="1">
        <f t="array" ref="T559:U559">LINEST(F545:F559,D545:D559)</f>
        <v>-24.454285714285806</v>
      </c>
      <c r="U559" s="56">
        <v>14.041596428571479</v>
      </c>
      <c r="V559" s="56" cm="1">
        <f t="array" ref="V559:W559">LINEST(F540:F559,D540:D559)</f>
        <v>-5.1157894736843224</v>
      </c>
      <c r="W559" s="56">
        <v>3.3055000000000612</v>
      </c>
      <c r="X559" s="56" cm="1">
        <f t="array" ref="X559:Y559">LINEST(F535:F559,D535:D559)</f>
        <v>-4.1593846153846608</v>
      </c>
      <c r="Y559" s="56">
        <v>2.7685976923077171</v>
      </c>
      <c r="Z559" s="56" cm="1">
        <f t="array" ref="Z559:AA559">LINEST(F530:F559,D530:D559)</f>
        <v>-9.5898553948832195</v>
      </c>
      <c r="AA559" s="56">
        <v>5.7661688542825447</v>
      </c>
      <c r="AB559" s="37" cm="1">
        <f t="array" ref="AB559:AC559">LINEST(G550:G559,D550:D559)</f>
        <v>-17.018181818181738</v>
      </c>
      <c r="AC559" s="59">
        <v>9.9952727272726829</v>
      </c>
      <c r="AD559" s="37" cm="1">
        <f t="array" ref="AD559:AE559">LINEST(G545:G559,D545:D559)</f>
        <v>-2.4428571428571746</v>
      </c>
      <c r="AE559" s="59">
        <v>1.87400595238097</v>
      </c>
      <c r="AF559" s="37" cm="1">
        <f t="array" ref="AF559:AG559">LINEST(G540:G559,D540:D559)</f>
        <v>-0.16781954887220224</v>
      </c>
      <c r="AG559" s="59">
        <v>0.61161428571429777</v>
      </c>
      <c r="AH559" s="37" cm="1">
        <f t="array" ref="AH559:AI559">LINEST(G535:G559,D535:D559)</f>
        <v>-1.4400000000000102</v>
      </c>
      <c r="AI559" s="59">
        <v>1.3138000000000054</v>
      </c>
      <c r="AJ559" s="37" cm="1">
        <f t="array" ref="AJ559:AK559">LINEST(G530:G559,D530:D559)</f>
        <v>1.7459399332591652</v>
      </c>
      <c r="AK559" s="59">
        <v>-0.43753578049684205</v>
      </c>
    </row>
    <row r="560" spans="1:37" x14ac:dyDescent="0.25">
      <c r="A560" s="61">
        <v>502</v>
      </c>
      <c r="B560" s="14">
        <f t="shared" si="9"/>
        <v>554</v>
      </c>
      <c r="C560" s="15">
        <v>44080</v>
      </c>
      <c r="D560" s="16">
        <v>0.56347222222222226</v>
      </c>
      <c r="E560" s="36">
        <v>20.100000000000001</v>
      </c>
      <c r="F560" s="36">
        <v>0.18</v>
      </c>
      <c r="G560" s="36">
        <v>0.46</v>
      </c>
      <c r="H560" s="56" cm="1">
        <f t="array" ref="H560:I560">LINEST(E551:E560,D551:D560)</f>
        <v>5.7599999999998932</v>
      </c>
      <c r="I560" s="56">
        <v>16.840400000000059</v>
      </c>
      <c r="J560" s="56" cm="1">
        <f t="array" ref="J560:K560">LINEST(E546:E560,D546:D560)</f>
        <v>-2.134285714285693</v>
      </c>
      <c r="K560" s="56">
        <v>21.245860714285701</v>
      </c>
      <c r="L560" s="56" cm="1">
        <f t="array" ref="L560:M560">LINEST(E541:E560,D541:D560)</f>
        <v>-2.3603007518796471</v>
      </c>
      <c r="M560" s="56">
        <v>21.372821052631551</v>
      </c>
      <c r="N560" s="56" cm="1">
        <f t="array" ref="N560:O560">LINEST(E536:E560,D536:D560)</f>
        <v>2.6604328159296303E-14</v>
      </c>
      <c r="O560" s="56">
        <v>20.065599999999986</v>
      </c>
      <c r="P560" s="56" cm="1">
        <f t="array" ref="P560:Q560">LINEST(E531:E560,D531:D560)</f>
        <v>0.19541713014462767</v>
      </c>
      <c r="Q560" s="56">
        <v>19.956490025954746</v>
      </c>
      <c r="R560" s="56" cm="1">
        <f t="array" ref="R560:S560">LINEST(F551:F560,D551:D560)</f>
        <v>-9.3381818181822673</v>
      </c>
      <c r="S560" s="56">
        <v>5.5414424242426739</v>
      </c>
      <c r="T560" s="56" cm="1">
        <f t="array" ref="T560:U560">LINEST(F546:F560,D546:D560)</f>
        <v>-24.737142857142945</v>
      </c>
      <c r="U560" s="56">
        <v>14.188859523809574</v>
      </c>
      <c r="V560" s="56" cm="1">
        <f t="array" ref="V560:W560">LINEST(F541:F560,D541:D560)</f>
        <v>-12.332030075188054</v>
      </c>
      <c r="W560" s="56">
        <v>7.2850421052632051</v>
      </c>
      <c r="X560" s="56" cm="1">
        <f t="array" ref="X560:Y560">LINEST(F536:F560,D536:D560)</f>
        <v>-0.52615384615389738</v>
      </c>
      <c r="Y560" s="56">
        <v>0.74290384615387417</v>
      </c>
      <c r="Z560" s="56" cm="1">
        <f t="array" ref="Z560:AA560">LINEST(F531:F560,D531:D560)</f>
        <v>-15.314616240266961</v>
      </c>
      <c r="AA560" s="56">
        <v>8.9032748238783821</v>
      </c>
      <c r="AB560" s="37" cm="1">
        <f t="array" ref="AB560:AC560">LINEST(G551:G560,D551:D560)</f>
        <v>-16.450909090909047</v>
      </c>
      <c r="AC560" s="59">
        <v>9.6878121212120973</v>
      </c>
      <c r="AD560" s="37" cm="1">
        <f t="array" ref="AD560:AE560">LINEST(G546:G560,D546:D560)</f>
        <v>-4.1142857142857308</v>
      </c>
      <c r="AE560" s="59">
        <v>2.8002857142857236</v>
      </c>
      <c r="AF560" s="37" cm="1">
        <f t="array" ref="AF560:AG560">LINEST(G541:G560,D541:D560)</f>
        <v>-1.1151879699248308</v>
      </c>
      <c r="AG560" s="59">
        <v>1.1316631578947474</v>
      </c>
      <c r="AH560" s="37" cm="1">
        <f t="array" ref="AH560:AI560">LINEST(G536:G560,D536:D560)</f>
        <v>-1.3790769230769329</v>
      </c>
      <c r="AI560" s="59">
        <v>1.2768869230769282</v>
      </c>
      <c r="AJ560" s="37" cm="1">
        <f t="array" ref="AJ560:AK560">LINEST(G531:G560,D531:D560)</f>
        <v>0.43408231368185918</v>
      </c>
      <c r="AK560" s="59">
        <v>0.27848194289952316</v>
      </c>
    </row>
    <row r="561" spans="1:37" x14ac:dyDescent="0.25">
      <c r="A561" s="61">
        <v>502</v>
      </c>
      <c r="B561" s="14">
        <f t="shared" si="9"/>
        <v>555</v>
      </c>
      <c r="C561" s="15">
        <v>44081</v>
      </c>
      <c r="D561" s="16">
        <v>0.56486111111111115</v>
      </c>
      <c r="E561" s="36">
        <v>20.09</v>
      </c>
      <c r="F561" s="36">
        <v>-0.14000000000000001</v>
      </c>
      <c r="G561" s="36">
        <v>0.41</v>
      </c>
      <c r="H561" s="56" cm="1">
        <f t="array" ref="H561:I561">LINEST(E552:E561,D552:D561)</f>
        <v>5.8909090909089423</v>
      </c>
      <c r="I561" s="56">
        <v>16.76627272727281</v>
      </c>
      <c r="J561" s="56" cm="1">
        <f t="array" ref="J561:K561">LINEST(E547:E561,D547:D561)</f>
        <v>-0.10285714285714072</v>
      </c>
      <c r="K561" s="56">
        <v>20.117766666666668</v>
      </c>
      <c r="L561" s="56" cm="1">
        <f t="array" ref="L561:M561">LINEST(E542:E561,D542:D561)</f>
        <v>-2.2412030075187421</v>
      </c>
      <c r="M561" s="56">
        <v>21.311396992481168</v>
      </c>
      <c r="N561" s="56" cm="1">
        <f t="array" ref="N561:O561">LINEST(E537:E561,D537:D561)</f>
        <v>-0.16615384615382431</v>
      </c>
      <c r="O561" s="56">
        <v>20.159484615384603</v>
      </c>
      <c r="P561" s="56" cm="1">
        <f t="array" ref="P561:Q561">LINEST(E532:E561,D532:D561)</f>
        <v>0.70638487208011236</v>
      </c>
      <c r="Q561" s="56">
        <v>19.676216462736356</v>
      </c>
      <c r="R561" s="56" cm="1">
        <f t="array" ref="R561:S561">LINEST(F552:F561,D552:D561)</f>
        <v>12.785454545454202</v>
      </c>
      <c r="S561" s="56">
        <v>-6.9370969696967784</v>
      </c>
      <c r="T561" s="56" cm="1">
        <f t="array" ref="T561:U561">LINEST(F547:F561,D547:D561)</f>
        <v>-40.834285714285699</v>
      </c>
      <c r="U561" s="56">
        <v>23.132699999999993</v>
      </c>
      <c r="V561" s="56" cm="1">
        <f t="array" ref="V561:W561">LINEST(F542:F561,D542:D561)</f>
        <v>-18.324812030075236</v>
      </c>
      <c r="W561" s="56">
        <v>10.573687969924839</v>
      </c>
      <c r="X561" s="56" cm="1">
        <f t="array" ref="X561:Y561">LINEST(F537:F561,D537:D561)</f>
        <v>-4.0153846153846544</v>
      </c>
      <c r="Y561" s="56">
        <v>2.6300115384615594</v>
      </c>
      <c r="Z561" s="56" cm="1">
        <f t="array" ref="Z561:AA561">LINEST(F532:F561,D532:D561)</f>
        <v>-17.142246941045595</v>
      </c>
      <c r="AA561" s="56">
        <v>9.8857628476084471</v>
      </c>
      <c r="AB561" s="37" cm="1">
        <f t="array" ref="AB561:AC561">LINEST(G552:G561,D552:D561)</f>
        <v>-14.138181818181812</v>
      </c>
      <c r="AC561" s="59">
        <v>8.3937454545454511</v>
      </c>
      <c r="AD561" s="37" cm="1">
        <f t="array" ref="AD561:AE561">LINEST(G547:G561,D547:D561)</f>
        <v>-6.994285714285712</v>
      </c>
      <c r="AE561" s="59">
        <v>4.4001333333333328</v>
      </c>
      <c r="AF561" s="37" cm="1">
        <f t="array" ref="AF561:AG561">LINEST(G542:G561,D542:D561)</f>
        <v>-2.4306766917293374</v>
      </c>
      <c r="AG561" s="59">
        <v>1.8544233082706847</v>
      </c>
      <c r="AH561" s="37" cm="1">
        <f t="array" ref="AH561:AI561">LINEST(G537:G561,D537:D561)</f>
        <v>-1.5729230769230866</v>
      </c>
      <c r="AI561" s="59">
        <v>1.3774676923076976</v>
      </c>
      <c r="AJ561" s="37" cm="1">
        <f t="array" ref="AJ561:AK561">LINEST(G532:G561,D532:D561)</f>
        <v>-0.96587319243604575</v>
      </c>
      <c r="AK561" s="59">
        <v>1.0431325917686349</v>
      </c>
    </row>
    <row r="562" spans="1:37" x14ac:dyDescent="0.25">
      <c r="A562" s="61">
        <v>502</v>
      </c>
      <c r="B562" s="14">
        <f t="shared" si="9"/>
        <v>556</v>
      </c>
      <c r="C562" s="15">
        <v>44082</v>
      </c>
      <c r="D562" s="16">
        <v>0.56625000000000003</v>
      </c>
      <c r="E562" s="36">
        <v>20.14</v>
      </c>
      <c r="F562" s="36">
        <v>1.35</v>
      </c>
      <c r="G562" s="36">
        <v>0.49</v>
      </c>
      <c r="H562" s="56" cm="1">
        <f t="array" ref="H562:I562">LINEST(E553:E562,D553:D562)</f>
        <v>7.8545454545453692</v>
      </c>
      <c r="I562" s="56">
        <v>15.669454545454595</v>
      </c>
      <c r="J562" s="56" cm="1">
        <f t="array" ref="J562:K562">LINEST(E548:E562,D548:D562)</f>
        <v>3.1628571428570975</v>
      </c>
      <c r="K562" s="56">
        <v>18.299782142857168</v>
      </c>
      <c r="L562" s="56" cm="1">
        <f t="array" ref="L562:M562">LINEST(E543:E562,D543:D562)</f>
        <v>-1.5157894736841728</v>
      </c>
      <c r="M562" s="56">
        <v>20.916315789473664</v>
      </c>
      <c r="N562" s="56" cm="1">
        <f t="array" ref="N562:O562">LINEST(E538:E562,D538:D562)</f>
        <v>-3.8769230769210593E-2</v>
      </c>
      <c r="O562" s="56">
        <v>20.094506923076914</v>
      </c>
      <c r="P562" s="56" cm="1">
        <f t="array" ref="P562:Q562">LINEST(E533:E562,D533:D562)</f>
        <v>1.6642491657397329</v>
      </c>
      <c r="Q562" s="56">
        <v>19.150801705598798</v>
      </c>
      <c r="R562" s="56" cm="1">
        <f t="array" ref="R562:S562">LINEST(F553:F562,D553:D562)</f>
        <v>56.55272727272687</v>
      </c>
      <c r="S562" s="56">
        <v>-31.347527272727049</v>
      </c>
      <c r="T562" s="56" cm="1">
        <f t="array" ref="T562:U562">LINEST(F548:F562,D548:D562)</f>
        <v>-31.345714285714362</v>
      </c>
      <c r="U562" s="56">
        <v>17.988760714285757</v>
      </c>
      <c r="V562" s="56" cm="1">
        <f t="array" ref="V562:W562">LINEST(F543:F562,D543:D562)</f>
        <v>-8.4721804511278975</v>
      </c>
      <c r="W562" s="56">
        <v>5.1910864661654568</v>
      </c>
      <c r="X562" s="56" cm="1">
        <f t="array" ref="X562:Y562">LINEST(F538:F562,D538:D562)</f>
        <v>-0.18830769230775077</v>
      </c>
      <c r="Y562" s="56">
        <v>0.5818907692308013</v>
      </c>
      <c r="Z562" s="56" cm="1">
        <f t="array" ref="Z562:AA562">LINEST(F533:F562,D533:D562)</f>
        <v>-9.6827586206896736</v>
      </c>
      <c r="AA562" s="56">
        <v>5.8375287356321941</v>
      </c>
      <c r="AB562" s="37" cm="1">
        <f t="array" ref="AB562:AC562">LINEST(G553:G562,D553:D562)</f>
        <v>-8.4218181818182263</v>
      </c>
      <c r="AC562" s="59">
        <v>5.1992181818182068</v>
      </c>
      <c r="AD562" s="37" cm="1">
        <f t="array" ref="AD562:AE562">LINEST(G548:G562,D548:D562)</f>
        <v>-8.6657142857142802</v>
      </c>
      <c r="AE562" s="59">
        <v>5.3420440476190443</v>
      </c>
      <c r="AF562" s="37" cm="1">
        <f t="array" ref="AF562:AG562">LINEST(G543:G562,D543:D562)</f>
        <v>-2.8258646616541481</v>
      </c>
      <c r="AG562" s="59">
        <v>2.0758601503759473</v>
      </c>
      <c r="AH562" s="37" cm="1">
        <f t="array" ref="AH562:AI562">LINEST(G538:G562,D538:D562)</f>
        <v>-1.4178461538461631</v>
      </c>
      <c r="AI562" s="59">
        <v>1.2916246153846207</v>
      </c>
      <c r="AJ562" s="37" cm="1">
        <f t="array" ref="AJ562:AK562">LINEST(G533:G562,D533:D562)</f>
        <v>-1.6226028921023397</v>
      </c>
      <c r="AK562" s="59">
        <v>1.4057881349647776</v>
      </c>
    </row>
    <row r="563" spans="1:37" x14ac:dyDescent="0.25">
      <c r="A563" s="61">
        <v>502</v>
      </c>
      <c r="B563" s="14">
        <f t="shared" si="9"/>
        <v>557</v>
      </c>
      <c r="C563" s="15">
        <v>44083</v>
      </c>
      <c r="D563" s="16">
        <v>0.56763888888888892</v>
      </c>
      <c r="E563" s="36">
        <v>20.14</v>
      </c>
      <c r="F563" s="36">
        <v>0.12</v>
      </c>
      <c r="G563" s="36">
        <v>0.46</v>
      </c>
      <c r="H563" s="56" cm="1">
        <f t="array" ref="H563:I563">LINEST(E554:E563,D554:D563)</f>
        <v>9.8181818181818219</v>
      </c>
      <c r="I563" s="56">
        <v>14.565181818181813</v>
      </c>
      <c r="J563" s="56" cm="1">
        <f t="array" ref="J563:K563">LINEST(E549:E563,D549:D563)</f>
        <v>7.2771428571428158</v>
      </c>
      <c r="K563" s="56">
        <v>15.9966273809524</v>
      </c>
      <c r="L563" s="56" cm="1">
        <f t="array" ref="L563:M563">LINEST(E544:E563,D544:D563)</f>
        <v>-0.28691729323305687</v>
      </c>
      <c r="M563" s="56">
        <v>20.237579699248105</v>
      </c>
      <c r="N563" s="56" cm="1">
        <f t="array" ref="N563:O563">LINEST(E539:E563,D539:D563)</f>
        <v>9.4153846153875509E-2</v>
      </c>
      <c r="O563" s="56">
        <v>20.025723846153831</v>
      </c>
      <c r="P563" s="56" cm="1">
        <f t="array" ref="P563:Q563">LINEST(E534:E563,D534:D563)</f>
        <v>1.4928587319243825</v>
      </c>
      <c r="Q563" s="56">
        <v>19.248659844271398</v>
      </c>
      <c r="R563" s="56" cm="1">
        <f t="array" ref="R563:S563">LINEST(F554:F563,D554:D563)</f>
        <v>57.643636363636567</v>
      </c>
      <c r="S563" s="56">
        <v>-32.077496969697087</v>
      </c>
      <c r="T563" s="56" cm="1">
        <f t="array" ref="T563:U563">LINEST(F549:F563,D549:D563)</f>
        <v>-25.688571428571553</v>
      </c>
      <c r="U563" s="56">
        <v>14.804748809523881</v>
      </c>
      <c r="V563" s="56" cm="1">
        <f t="array" ref="V563:W563">LINEST(F544:F563,D544:D563)</f>
        <v>-3.8598496240602573</v>
      </c>
      <c r="W563" s="56">
        <v>2.588572180451187</v>
      </c>
      <c r="X563" s="56" cm="1">
        <f t="array" ref="X563:Y563">LINEST(F539:F563,D539:D563)</f>
        <v>-3.9987692307692906</v>
      </c>
      <c r="Y563" s="56">
        <v>2.675210769230802</v>
      </c>
      <c r="Z563" s="56" cm="1">
        <f t="array" ref="Z563:AA563">LINEST(F534:F563,D534:D563)</f>
        <v>-7.9528364849833357</v>
      </c>
      <c r="AA563" s="56">
        <v>4.8645113088617098</v>
      </c>
      <c r="AB563" s="37" cm="1">
        <f t="array" ref="AB563:AC563">LINEST(G554:G563,D554:D563)</f>
        <v>-3.2290909090909214</v>
      </c>
      <c r="AC563" s="59">
        <v>2.2807757575757646</v>
      </c>
      <c r="AD563" s="37" cm="1">
        <f t="array" ref="AD563:AE563">LINEST(G549:G563,D549:D563)</f>
        <v>-9.9257142857142782</v>
      </c>
      <c r="AE563" s="59">
        <v>6.0537214285714249</v>
      </c>
      <c r="AF563" s="37" cm="1">
        <f t="array" ref="AF563:AG563">LINEST(G544:G563,D544:D563)</f>
        <v>-2.8366917293233187</v>
      </c>
      <c r="AG563" s="59">
        <v>2.0807879699248182</v>
      </c>
      <c r="AH563" s="37" cm="1">
        <f t="array" ref="AH563:AI563">LINEST(G539:G563,D539:D563)</f>
        <v>-1.5673846153846249</v>
      </c>
      <c r="AI563" s="59">
        <v>1.3727853846153897</v>
      </c>
      <c r="AJ563" s="37" cm="1">
        <f t="array" ref="AJ563:AK563">LINEST(G534:G563,D534:D563)</f>
        <v>-2.0967296996662994</v>
      </c>
      <c r="AK563" s="59">
        <v>1.6669595105672987</v>
      </c>
    </row>
    <row r="564" spans="1:37" x14ac:dyDescent="0.25">
      <c r="A564" s="61">
        <v>502</v>
      </c>
      <c r="B564" s="14">
        <f t="shared" si="9"/>
        <v>558</v>
      </c>
      <c r="C564" s="15">
        <v>44084</v>
      </c>
      <c r="D564" s="16">
        <v>0.5690277777777778</v>
      </c>
      <c r="E564" s="36">
        <v>20.18</v>
      </c>
      <c r="F564" s="36">
        <v>1.02</v>
      </c>
      <c r="G564" s="36">
        <v>0.5</v>
      </c>
      <c r="H564" s="56" cm="1">
        <f t="array" ref="H564:I564">LINEST(E555:E564,D555:D564)</f>
        <v>11.607272727272756</v>
      </c>
      <c r="I564" s="56">
        <v>13.559684848484835</v>
      </c>
      <c r="J564" s="56" cm="1">
        <f t="array" ref="J564:K564">LINEST(E550:E564,D550:D564)</f>
        <v>7.7142857142856363</v>
      </c>
      <c r="K564" s="56">
        <v>15.756023809523853</v>
      </c>
      <c r="L564" s="56" cm="1">
        <f t="array" ref="L564:M564">LINEST(E545:E564,D545:D564)</f>
        <v>1.1151879699248175</v>
      </c>
      <c r="M564" s="56">
        <v>19.462141353383455</v>
      </c>
      <c r="N564" s="56" cm="1">
        <f t="array" ref="N564:O564">LINEST(E540:E564,D540:D564)</f>
        <v>0.50400000000002032</v>
      </c>
      <c r="O564" s="56">
        <v>19.804809999999986</v>
      </c>
      <c r="P564" s="56" cm="1">
        <f t="array" ref="P564:Q564">LINEST(E535:E564,D535:D564)</f>
        <v>1.5457174638487343</v>
      </c>
      <c r="Q564" s="56">
        <v>19.224572858731914</v>
      </c>
      <c r="R564" s="56" cm="1">
        <f t="array" ref="R564:S564">LINEST(F555:F564,D555:D564)</f>
        <v>52.843636363636541</v>
      </c>
      <c r="S564" s="56">
        <v>-29.312224242424346</v>
      </c>
      <c r="T564" s="56" cm="1">
        <f t="array" ref="T564:U564">LINEST(F550:F564,D550:D564)</f>
        <v>-1.0800000000002354</v>
      </c>
      <c r="U564" s="56">
        <v>1.0653833333334652</v>
      </c>
      <c r="V564" s="56" cm="1">
        <f t="array" ref="V564:W564">LINEST(F545:F564,D545:D564)</f>
        <v>-9.3329323308271537</v>
      </c>
      <c r="W564" s="56">
        <v>5.7145548872180933</v>
      </c>
      <c r="X564" s="56" cm="1">
        <f t="array" ref="X564:Y564">LINEST(F540:F564,D540:D564)</f>
        <v>-1.3070769230769868</v>
      </c>
      <c r="Y564" s="56">
        <v>1.2211784615384966</v>
      </c>
      <c r="Z564" s="56" cm="1">
        <f t="array" ref="Z564:AA564">LINEST(F535:F564,D535:D564)</f>
        <v>-1.6642491657397442</v>
      </c>
      <c r="AA564" s="56">
        <v>1.4144878754171486</v>
      </c>
      <c r="AB564" s="37" cm="1">
        <f t="array" ref="AB564:AC564">LINEST(G555:G564,D555:D564)</f>
        <v>1.0036363636363679</v>
      </c>
      <c r="AC564" s="59">
        <v>-9.9824242424244869E-2</v>
      </c>
      <c r="AD564" s="37" cm="1">
        <f t="array" ref="AD564:AE564">LINEST(G550:G564,D550:D564)</f>
        <v>-9.3085714285714332</v>
      </c>
      <c r="AE564" s="59">
        <v>5.7183357142857165</v>
      </c>
      <c r="AF564" s="37" cm="1">
        <f t="array" ref="AF564:AG564">LINEST(G545:G564,D545:D564)</f>
        <v>-3.3509774436090316</v>
      </c>
      <c r="AG564" s="59">
        <v>2.3720849624060203</v>
      </c>
      <c r="AH564" s="37" cm="1">
        <f t="array" ref="AH564:AI564">LINEST(G540:G564,D540:D564)</f>
        <v>-1.5507692307692398</v>
      </c>
      <c r="AI564" s="59">
        <v>1.3649846153846206</v>
      </c>
      <c r="AJ564" s="37" cm="1">
        <f t="array" ref="AJ564:AK564">LINEST(G535:G564,D535:D564)</f>
        <v>-2.0807119021134626</v>
      </c>
      <c r="AK564" s="59">
        <v>1.6597463107156116</v>
      </c>
    </row>
    <row r="565" spans="1:37" x14ac:dyDescent="0.25">
      <c r="A565" s="61">
        <v>502</v>
      </c>
      <c r="B565" s="14">
        <f t="shared" si="9"/>
        <v>559</v>
      </c>
      <c r="C565" s="15">
        <v>44085</v>
      </c>
      <c r="D565" s="16">
        <v>0.57041666666666668</v>
      </c>
      <c r="E565" s="36">
        <v>19.97</v>
      </c>
      <c r="F565" s="36">
        <v>1.02</v>
      </c>
      <c r="G565" s="36">
        <v>0.54</v>
      </c>
      <c r="H565" s="56" cm="1">
        <f t="array" ref="H565:I565">LINEST(E556:E565,D556:D565)</f>
        <v>2.8800000000000114</v>
      </c>
      <c r="I565" s="56">
        <v>18.463199999999993</v>
      </c>
      <c r="J565" s="56" cm="1">
        <f t="array" ref="J565:K565">LINEST(E551:E565,D551:D565)</f>
        <v>4.6542857142856562</v>
      </c>
      <c r="K565" s="56">
        <v>17.458367857142889</v>
      </c>
      <c r="L565" s="56" cm="1">
        <f t="array" ref="L565:M565">LINEST(E546:E565,D546:D565)</f>
        <v>0.50887218045111005</v>
      </c>
      <c r="M565" s="56">
        <v>19.79044511278196</v>
      </c>
      <c r="N565" s="56" cm="1">
        <f t="array" ref="N565:O565">LINEST(E541:E565,D541:D565)</f>
        <v>-0.48738461538459565</v>
      </c>
      <c r="O565" s="56">
        <v>20.349889230769218</v>
      </c>
      <c r="P565" s="56" cm="1">
        <f t="array" ref="P565:Q565">LINEST(E536:E565,D536:D565)</f>
        <v>0.70478309232481573</v>
      </c>
      <c r="Q565" s="56">
        <v>19.68417352614015</v>
      </c>
      <c r="R565" s="56" cm="1">
        <f t="array" ref="R565:S565">LINEST(F556:F565,D556:D565)</f>
        <v>23.956363636363744</v>
      </c>
      <c r="S565" s="56">
        <v>-12.920381818181879</v>
      </c>
      <c r="T565" s="56" cm="1">
        <f t="array" ref="T565:U565">LINEST(F551:F565,D551:D565)</f>
        <v>23.965714285714011</v>
      </c>
      <c r="U565" s="56">
        <v>-12.987442857142701</v>
      </c>
      <c r="V565" s="56" cm="1">
        <f t="array" ref="V565:W565">LINEST(F546:F565,D546:D565)</f>
        <v>-0.81744360902268032</v>
      </c>
      <c r="W565" s="56">
        <v>0.99199774436097121</v>
      </c>
      <c r="X565" s="56" cm="1">
        <f t="array" ref="X565:Y565">LINEST(F541:F565,D541:D565)</f>
        <v>-0.36000000000006516</v>
      </c>
      <c r="Y565" s="56">
        <v>0.73335000000003592</v>
      </c>
      <c r="Z565" s="56" cm="1">
        <f t="array" ref="Z565:AA565">LINEST(F536:F565,D536:D565)</f>
        <v>4.7140378197997315</v>
      </c>
      <c r="AA565" s="56">
        <v>-2.1023635891731298</v>
      </c>
      <c r="AB565" s="37" cm="1">
        <f t="array" ref="AB565:AC565">LINEST(G556:G565,D556:D565)</f>
        <v>2.749090909090921</v>
      </c>
      <c r="AC565" s="59">
        <v>-1.0759454545454612</v>
      </c>
      <c r="AD565" s="37" cm="1">
        <f t="array" ref="AD565:AE565">LINEST(G551:G565,D551:D565)</f>
        <v>-6.7885714285714558</v>
      </c>
      <c r="AE565" s="59">
        <v>4.3136476190476341</v>
      </c>
      <c r="AF565" s="37" cm="1">
        <f t="array" ref="AF565:AG565">LINEST(G546:G565,D546:D565)</f>
        <v>-3.1452631578947479</v>
      </c>
      <c r="AG565" s="59">
        <v>2.2641105263157959</v>
      </c>
      <c r="AH565" s="37" cm="1">
        <f t="array" ref="AH565:AI565">LINEST(G541:G565,D541:D565)</f>
        <v>-1.4732307692307787</v>
      </c>
      <c r="AI565" s="59">
        <v>1.326201538461544</v>
      </c>
      <c r="AJ565" s="37" cm="1">
        <f t="array" ref="AJ565:AK565">LINEST(G536:G565,D536:D565)</f>
        <v>-1.5681423804226964</v>
      </c>
      <c r="AK565" s="59">
        <v>1.3785805710048225</v>
      </c>
    </row>
    <row r="566" spans="1:37" x14ac:dyDescent="0.25">
      <c r="A566" s="61">
        <v>502</v>
      </c>
      <c r="B566" s="14">
        <f t="shared" si="9"/>
        <v>560</v>
      </c>
      <c r="C566" s="15">
        <v>44086</v>
      </c>
      <c r="D566" s="16">
        <v>0.57180555555555557</v>
      </c>
      <c r="E566" s="36">
        <v>20.03</v>
      </c>
      <c r="F566" s="36">
        <v>1.02</v>
      </c>
      <c r="G566" s="36">
        <v>0.57999999999999996</v>
      </c>
      <c r="H566" s="56" cm="1">
        <f t="array" ref="H566:I566">LINEST(E557:E566,D557:D566)</f>
        <v>-1.221818181818098</v>
      </c>
      <c r="I566" s="56">
        <v>20.777006060606016</v>
      </c>
      <c r="J566" s="56" cm="1">
        <f t="array" ref="J566:K566">LINEST(E552:E566,D552:D566)</f>
        <v>2.9828571428570978</v>
      </c>
      <c r="K566" s="56">
        <v>18.392052380952403</v>
      </c>
      <c r="L566" s="56" cm="1">
        <f t="array" ref="L566:M566">LINEST(E547:E566,D547:D566)</f>
        <v>0.80661654135338046</v>
      </c>
      <c r="M566" s="56">
        <v>19.617915037593988</v>
      </c>
      <c r="N566" s="56" cm="1">
        <f t="array" ref="N566:O566">LINEST(E542:E566,D542:D566)</f>
        <v>-0.89169230769227759</v>
      </c>
      <c r="O566" s="56">
        <v>20.57341307692306</v>
      </c>
      <c r="P566" s="56" cm="1">
        <f t="array" ref="P566:Q566">LINEST(E537:E566,D537:D566)</f>
        <v>0.251479421579548</v>
      </c>
      <c r="Q566" s="56">
        <v>19.933600519095283</v>
      </c>
      <c r="R566" s="56" cm="1">
        <f t="array" ref="R566:S566">LINEST(F557:F566,D557:D566)</f>
        <v>69.207272727272994</v>
      </c>
      <c r="S566" s="56">
        <v>-38.562557575757722</v>
      </c>
      <c r="T566" s="56" cm="1">
        <f t="array" ref="T566:U566">LINEST(F552:F566,D552:D566)</f>
        <v>49.44857142857127</v>
      </c>
      <c r="U566" s="56">
        <v>-27.355551190476103</v>
      </c>
      <c r="V566" s="56" cm="1">
        <f t="array" ref="V566:W566">LINEST(F547:F566,D547:D566)</f>
        <v>1.0123308270675289</v>
      </c>
      <c r="W566" s="56">
        <v>9.0007518797773356E-3</v>
      </c>
      <c r="X566" s="56" cm="1">
        <f t="array" ref="X566:Y566">LINEST(F542:F566,D542:D566)</f>
        <v>2.9852307692306956</v>
      </c>
      <c r="Y566" s="56">
        <v>-1.1044176923076519</v>
      </c>
      <c r="Z566" s="56" cm="1">
        <f t="array" ref="Z566:AA566">LINEST(F537:F566,D537:D566)</f>
        <v>7.3089210233592414</v>
      </c>
      <c r="AA566" s="56">
        <v>-3.5237547645531815</v>
      </c>
      <c r="AB566" s="37" cm="1">
        <f t="array" ref="AB566:AC566">LINEST(G557:G566,D557:D566)</f>
        <v>8.0727272727273007</v>
      </c>
      <c r="AC566" s="59">
        <v>-4.082575757575774</v>
      </c>
      <c r="AD566" s="37" cm="1">
        <f t="array" ref="AD566:AE566">LINEST(G552:G566,D552:D566)</f>
        <v>-2.3400000000000372</v>
      </c>
      <c r="AE566" s="59">
        <v>1.8172750000000211</v>
      </c>
      <c r="AF566" s="37" cm="1">
        <f t="array" ref="AF566:AG566">LINEST(G547:G566,D547:D566)</f>
        <v>-2.7987969924812197</v>
      </c>
      <c r="AG566" s="59">
        <v>2.0799390977443704</v>
      </c>
      <c r="AH566" s="37" cm="1">
        <f t="array" ref="AH566:AI566">LINEST(G542:G566,D542:D566)</f>
        <v>-1.0855384615384724</v>
      </c>
      <c r="AI566" s="59">
        <v>1.1162246153846218</v>
      </c>
      <c r="AJ566" s="37" cm="1">
        <f t="array" ref="AJ566:AK566">LINEST(G537:G566,D537:D566)</f>
        <v>-0.85054505005562431</v>
      </c>
      <c r="AK566" s="59">
        <v>0.98421735261401944</v>
      </c>
    </row>
    <row r="567" spans="1:37" x14ac:dyDescent="0.25">
      <c r="A567" s="61">
        <v>502</v>
      </c>
      <c r="B567" s="14">
        <f t="shared" si="9"/>
        <v>561</v>
      </c>
      <c r="C567" s="15">
        <v>44087</v>
      </c>
      <c r="D567" s="16">
        <v>0.57319444444444445</v>
      </c>
      <c r="E567" s="36">
        <v>20.05</v>
      </c>
      <c r="F567" s="36">
        <v>1.02</v>
      </c>
      <c r="G567" s="36">
        <v>0.61</v>
      </c>
      <c r="H567" s="56" cm="1">
        <f t="array" ref="H567:I567">LINEST(E558:E567,D558:D567)</f>
        <v>-3.8836363636363189</v>
      </c>
      <c r="I567" s="56">
        <v>22.286806060606036</v>
      </c>
      <c r="J567" s="56" cm="1">
        <f t="array" ref="J567:K567">LINEST(E553:E567,D553:D567)</f>
        <v>1.8514285714285548</v>
      </c>
      <c r="K567" s="56">
        <v>19.02677142857144</v>
      </c>
      <c r="L567" s="56" cm="1">
        <f t="array" ref="L567:M567">LINEST(E548:E567,D548:D567)</f>
        <v>1.5428571428571258</v>
      </c>
      <c r="M567" s="56">
        <v>19.199500000000008</v>
      </c>
      <c r="N567" s="56" cm="1">
        <f t="array" ref="N567:O567">LINEST(E543:E567,D543:D567)</f>
        <v>-1.0689230769230544</v>
      </c>
      <c r="O567" s="56">
        <v>20.672085384615372</v>
      </c>
      <c r="P567" s="56" cm="1">
        <f t="array" ref="P567:Q567">LINEST(E538:E567,D538:D567)</f>
        <v>-0.11212458286984021</v>
      </c>
      <c r="Q567" s="56">
        <v>20.135344456803846</v>
      </c>
      <c r="R567" s="56" cm="1">
        <f t="array" ref="R567:S567">LINEST(F558:F567,D558:D567)</f>
        <v>70.821818181818429</v>
      </c>
      <c r="S567" s="56">
        <v>-39.497036363636504</v>
      </c>
      <c r="T567" s="56" cm="1">
        <f t="array" ref="T567:U567">LINEST(F553:F567,D553:D567)</f>
        <v>54.59142857142853</v>
      </c>
      <c r="U567" s="56">
        <v>-30.266086904761885</v>
      </c>
      <c r="V567" s="56" cm="1">
        <f t="array" ref="V567:W567">LINEST(F548:F567,D548:D567)</f>
        <v>0.76872180451113437</v>
      </c>
      <c r="W567" s="56">
        <v>0.18751578947376457</v>
      </c>
      <c r="X567" s="56" cm="1">
        <f t="array" ref="X567:Y567">LINEST(F543:F567,D543:D567)</f>
        <v>5.926153846153758</v>
      </c>
      <c r="Y567" s="56">
        <v>-2.7256692307691814</v>
      </c>
      <c r="Z567" s="56" cm="1">
        <f t="array" ref="Z567:AA567">LINEST(F538:F567,D538:D567)</f>
        <v>7.7077641824248646</v>
      </c>
      <c r="AA567" s="56">
        <v>-3.7241551353355304</v>
      </c>
      <c r="AB567" s="37" cm="1">
        <f t="array" ref="AB567:AC567">LINEST(G558:G567,D558:D567)</f>
        <v>12.916363636363679</v>
      </c>
      <c r="AC567" s="59">
        <v>-6.8268606060606309</v>
      </c>
      <c r="AD567" s="37" cm="1">
        <f t="array" ref="AD567:AE567">LINEST(G553:G567,D553:D567)</f>
        <v>2.0314285714285476</v>
      </c>
      <c r="AE567" s="59">
        <v>-0.64332023809522476</v>
      </c>
      <c r="AF567" s="37" cm="1">
        <f t="array" ref="AF567:AG567">LINEST(G548:G567,D548:D567)</f>
        <v>-2.4793984962406217</v>
      </c>
      <c r="AG567" s="59">
        <v>1.9124631578947482</v>
      </c>
      <c r="AH567" s="37" cm="1">
        <f t="array" ref="AH567:AI567">LINEST(G543:G567,D543:D567)</f>
        <v>-0.54276923076924311</v>
      </c>
      <c r="AI567" s="59">
        <v>0.82006615384616066</v>
      </c>
      <c r="AJ567" s="37" cm="1">
        <f t="array" ref="AJ567:AK567">LINEST(G538:G567,D538:D567)</f>
        <v>-0.18580645161291143</v>
      </c>
      <c r="AK567" s="59">
        <v>0.6194279569892519</v>
      </c>
    </row>
    <row r="568" spans="1:37" x14ac:dyDescent="0.25">
      <c r="A568" s="61">
        <v>502</v>
      </c>
      <c r="B568" s="14">
        <f t="shared" si="9"/>
        <v>562</v>
      </c>
      <c r="C568" s="15">
        <v>44088</v>
      </c>
      <c r="D568" s="16">
        <v>0.57458333333333333</v>
      </c>
      <c r="E568" s="36">
        <v>20.059999999999999</v>
      </c>
      <c r="F568" s="36">
        <v>0.2</v>
      </c>
      <c r="G568" s="36">
        <v>0.57999999999999996</v>
      </c>
      <c r="H568" s="56" cm="1">
        <f t="array" ref="H568:I568">LINEST(E559:E568,D559:D568)</f>
        <v>-6.0654545454546307</v>
      </c>
      <c r="I568" s="56">
        <v>23.532200000000049</v>
      </c>
      <c r="J568" s="56" cm="1">
        <f t="array" ref="J568:K568">LINEST(E554:E568,D554:D568)</f>
        <v>1.2599999999999636</v>
      </c>
      <c r="K568" s="56">
        <v>19.358941666666688</v>
      </c>
      <c r="L568" s="56" cm="1">
        <f t="array" ref="L568:M568">LINEST(E549:E568,D549:D568)</f>
        <v>2.9449624060150152</v>
      </c>
      <c r="M568" s="56">
        <v>18.40373082706768</v>
      </c>
      <c r="N568" s="56" cm="1">
        <f t="array" ref="N568:O568">LINEST(E544:E568,D544:D568)</f>
        <v>-0.80307692307691891</v>
      </c>
      <c r="O568" s="56">
        <v>20.522449999999996</v>
      </c>
      <c r="P568" s="56" cm="1">
        <f t="array" ref="P568:Q568">LINEST(E539:E568,D539:D568)</f>
        <v>-0.38923248053391313</v>
      </c>
      <c r="Q568" s="56">
        <v>20.290141119762691</v>
      </c>
      <c r="R568" s="56" cm="1">
        <f t="array" ref="R568:S568">LINEST(F559:F568,D559:D568)</f>
        <v>17.192727272727346</v>
      </c>
      <c r="S568" s="56">
        <v>-9.0872000000000437</v>
      </c>
      <c r="T568" s="56" cm="1">
        <f t="array" ref="T568:U568">LINEST(F554:F568,D554:D568)</f>
        <v>49.602857142857339</v>
      </c>
      <c r="U568" s="56">
        <v>-27.544725000000117</v>
      </c>
      <c r="V568" s="56" cm="1">
        <f t="array" ref="V568:W568">LINEST(F549:F568,D549:D568)</f>
        <v>2.9720300751878397</v>
      </c>
      <c r="W568" s="56">
        <v>-1.0999646616540626</v>
      </c>
      <c r="X568" s="56" cm="1">
        <f t="array" ref="X568:Y568">LINEST(F544:F568,D544:D568)</f>
        <v>8.4018461538460745</v>
      </c>
      <c r="Y568" s="56">
        <v>-4.1575299999999569</v>
      </c>
      <c r="Z568" s="56" cm="1">
        <f t="array" ref="Z568:AA568">LINEST(F539:F568,D539:D568)</f>
        <v>4.8501890989988441</v>
      </c>
      <c r="AA568" s="56">
        <v>-2.1531604004449143</v>
      </c>
      <c r="AB568" s="37" cm="1">
        <f t="array" ref="AB568:AC568">LINEST(G559:G568,D559:D568)</f>
        <v>13.047272727272768</v>
      </c>
      <c r="AC568" s="59">
        <v>-6.9042000000000234</v>
      </c>
      <c r="AD568" s="37" cm="1">
        <f t="array" ref="AD568:AE568">LINEST(G554:G568,D554:D568)</f>
        <v>5.682857142857161</v>
      </c>
      <c r="AE568" s="59">
        <v>-2.7106916666666776</v>
      </c>
      <c r="AF568" s="37" cm="1">
        <f t="array" ref="AF568:AG568">LINEST(G549:G568,D549:D568)</f>
        <v>-2.0625563909774698</v>
      </c>
      <c r="AG568" s="59">
        <v>1.6853962406015186</v>
      </c>
      <c r="AH568" s="37" cm="1">
        <f t="array" ref="AH568:AI568">LINEST(G544:G568,D544:D568)</f>
        <v>0.17169230769229382</v>
      </c>
      <c r="AI568" s="59">
        <v>0.42301000000000788</v>
      </c>
      <c r="AJ568" s="37" cm="1">
        <f t="array" ref="AJ568:AK568">LINEST(G539:G568,D539:D568)</f>
        <v>0.22424916573970191</v>
      </c>
      <c r="AK568" s="59">
        <v>0.39366629588432084</v>
      </c>
    </row>
    <row r="569" spans="1:37" x14ac:dyDescent="0.25">
      <c r="A569" s="61">
        <v>502</v>
      </c>
      <c r="B569" s="14">
        <f t="shared" si="9"/>
        <v>563</v>
      </c>
      <c r="C569" s="15">
        <v>44089</v>
      </c>
      <c r="D569" s="16">
        <v>0.57597222222222222</v>
      </c>
      <c r="E569" s="36">
        <v>20.079999999999998</v>
      </c>
      <c r="F569" s="36">
        <v>0.47</v>
      </c>
      <c r="G569" s="36">
        <v>0.56999999999999995</v>
      </c>
      <c r="H569" s="56" cm="1">
        <f t="array" ref="H569:I569">LINEST(E560:E569,D560:D569)</f>
        <v>-6.0218181818183529</v>
      </c>
      <c r="I569" s="56">
        <v>23.514763636363739</v>
      </c>
      <c r="J569" s="56" cm="1">
        <f t="array" ref="J569:K569">LINEST(E555:E569,D555:D569)</f>
        <v>0.59142857142851935</v>
      </c>
      <c r="K569" s="56">
        <v>19.739103571428604</v>
      </c>
      <c r="L569" s="56" cm="1">
        <f t="array" ref="L569:M569">LINEST(E550:E569,D550:D569)</f>
        <v>2.1924812030074641</v>
      </c>
      <c r="M569" s="56">
        <v>18.828620300751908</v>
      </c>
      <c r="N569" s="56" cm="1">
        <f t="array" ref="N569:O569">LINEST(E545:E569,D545:D569)</f>
        <v>-0.5095384615384756</v>
      </c>
      <c r="O569" s="56">
        <v>20.358187692307702</v>
      </c>
      <c r="P569" s="56" cm="1">
        <f t="array" ref="P569:Q569">LINEST(E540:E569,D540:D569)</f>
        <v>-0.53339265850945361</v>
      </c>
      <c r="Q569" s="56">
        <v>20.3721440860215</v>
      </c>
      <c r="R569" s="56" cm="1">
        <f t="array" ref="R569:S569">LINEST(F560:F569,D560:D569)</f>
        <v>26.356363636363689</v>
      </c>
      <c r="S569" s="56">
        <v>-14.389806060606091</v>
      </c>
      <c r="T569" s="56" cm="1">
        <f t="array" ref="T569:U569">LINEST(F555:F569,D555:D569)</f>
        <v>31.140000000000111</v>
      </c>
      <c r="U569" s="56">
        <v>-17.099691666666729</v>
      </c>
      <c r="V569" s="56" cm="1">
        <f t="array" ref="V569:W569">LINEST(F550:F569,D550:D569)</f>
        <v>9.0243609022555216</v>
      </c>
      <c r="W569" s="56">
        <v>-4.5462097744360248</v>
      </c>
      <c r="X569" s="56" cm="1">
        <f t="array" ref="X569:Y569">LINEST(F545:F569,D545:D569)</f>
        <v>0.22707692307685726</v>
      </c>
      <c r="Y569" s="56">
        <v>0.44379461538465204</v>
      </c>
      <c r="Z569" s="56" cm="1">
        <f t="array" ref="Z569:AA569">LINEST(F540:F569,D540:D569)</f>
        <v>3.5703670745272076</v>
      </c>
      <c r="AA569" s="56">
        <v>-1.4441956989247067</v>
      </c>
      <c r="AB569" s="37" cm="1">
        <f t="array" ref="AB569:AC569">LINEST(G560:G569,D560:D569)</f>
        <v>13.876363636363678</v>
      </c>
      <c r="AC569" s="59">
        <v>-7.3856727272727518</v>
      </c>
      <c r="AD569" s="37" cm="1">
        <f t="array" ref="AD569:AE569">LINEST(G555:G569,D555:D569)</f>
        <v>7.5857142857143112</v>
      </c>
      <c r="AE569" s="59">
        <v>-3.7934107142857285</v>
      </c>
      <c r="AF569" s="37" cm="1">
        <f t="array" ref="AF569:AG569">LINEST(G550:G569,D550:D569)</f>
        <v>-1.2559398496240901</v>
      </c>
      <c r="AG569" s="59">
        <v>1.2348150375940019</v>
      </c>
      <c r="AH569" s="37" cm="1">
        <f t="array" ref="AH569:AI569">LINEST(G545:G569,D545:D569)</f>
        <v>0.16061538461536892</v>
      </c>
      <c r="AI569" s="59">
        <v>0.43296692307693196</v>
      </c>
      <c r="AJ569" s="37" cm="1">
        <f t="array" ref="AJ569:AK569">LINEST(G540:G569,D540:D569)</f>
        <v>0.47572858731923451</v>
      </c>
      <c r="AK569" s="59">
        <v>0.25524086021505893</v>
      </c>
    </row>
    <row r="570" spans="1:37" x14ac:dyDescent="0.25">
      <c r="A570" s="61">
        <v>502</v>
      </c>
      <c r="B570" s="14">
        <f t="shared" si="9"/>
        <v>564</v>
      </c>
      <c r="C570" s="15">
        <v>44090</v>
      </c>
      <c r="D570" s="16">
        <v>0.5773611111111111</v>
      </c>
      <c r="E570" s="36">
        <v>20.079999999999998</v>
      </c>
      <c r="F570" s="36">
        <v>0.16</v>
      </c>
      <c r="G570" s="36">
        <v>0.54</v>
      </c>
      <c r="H570" s="56" cm="1">
        <f t="array" ref="H570:I570">LINEST(E561:E570,D561:D570)</f>
        <v>-5.4109090909092608</v>
      </c>
      <c r="I570" s="56">
        <v>23.1722303030304</v>
      </c>
      <c r="J570" s="56" cm="1">
        <f t="array" ref="J570:K570">LINEST(E556:E570,D556:D570)</f>
        <v>-0.61714285714290995</v>
      </c>
      <c r="K570" s="56">
        <v>20.428980952380982</v>
      </c>
      <c r="L570" s="56" cm="1">
        <f t="array" ref="L570:M570">LINEST(E551:E570,D551:D570)</f>
        <v>1.775639097744304</v>
      </c>
      <c r="M570" s="56">
        <v>19.064243609022583</v>
      </c>
      <c r="N570" s="56" cm="1">
        <f t="array" ref="N570:O570">LINEST(E546:E570,D546:D570)</f>
        <v>-5.5384615384649262E-2</v>
      </c>
      <c r="O570" s="56">
        <v>20.102253846153857</v>
      </c>
      <c r="P570" s="56" cm="1">
        <f t="array" ref="P570:Q570">LINEST(E541:E570,D541:D570)</f>
        <v>-0.64071190211346229</v>
      </c>
      <c r="Q570" s="56">
        <v>20.433685576566553</v>
      </c>
      <c r="R570" s="56" cm="1">
        <f t="array" ref="R570:S570">LINEST(F561:F570,D561:D570)</f>
        <v>-13.352727272727304</v>
      </c>
      <c r="S570" s="56">
        <v>8.2498909090909276</v>
      </c>
      <c r="T570" s="56" cm="1">
        <f t="array" ref="T570:U570">LINEST(F556:F570,D556:D570)</f>
        <v>-0.12857142857141635</v>
      </c>
      <c r="U570" s="56">
        <v>0.66098214285713575</v>
      </c>
      <c r="V570" s="56" cm="1">
        <f t="array" ref="V570:W570">LINEST(F551:F570,D551:D570)</f>
        <v>12.667669172932259</v>
      </c>
      <c r="W570" s="56">
        <v>-6.6656766917292831</v>
      </c>
      <c r="X570" s="56" cm="1">
        <f t="array" ref="X570:Y570">LINEST(F546:F570,D546:D570)</f>
        <v>-0.63692307692313965</v>
      </c>
      <c r="Y570" s="56">
        <v>0.90111923076926581</v>
      </c>
      <c r="Z570" s="56" cm="1">
        <f t="array" ref="Z570:AA570">LINEST(F541:F570,D541:D570)</f>
        <v>-0.13454949944386127</v>
      </c>
      <c r="AA570" s="56">
        <v>0.61564063774566258</v>
      </c>
      <c r="AB570" s="37" cm="1">
        <f t="array" ref="AB570:AC570">LINEST(G561:G570,D561:D570)</f>
        <v>11.781818181818222</v>
      </c>
      <c r="AC570" s="59">
        <v>-6.2007272727272955</v>
      </c>
      <c r="AD570" s="37" cm="1">
        <f t="array" ref="AD570:AE570">LINEST(G556:G570,D556:D570)</f>
        <v>6.9942857142857378</v>
      </c>
      <c r="AE570" s="59">
        <v>-3.4615619047619175</v>
      </c>
      <c r="AF570" s="37" cm="1">
        <f t="array" ref="AF570:AG570">LINEST(G551:G570,D551:D570)</f>
        <v>-0.20030075187972751</v>
      </c>
      <c r="AG570" s="59">
        <v>0.63750300751881295</v>
      </c>
      <c r="AH570" s="37" cm="1">
        <f t="array" ref="AH570:AI570">LINEST(G546:G570,D546:D570)</f>
        <v>0.11076923076921552</v>
      </c>
      <c r="AI570" s="59">
        <v>0.46229230769231622</v>
      </c>
      <c r="AJ570" s="37" cm="1">
        <f t="array" ref="AJ570:AK570">LINEST(G541:G570,D541:D570)</f>
        <v>0.42286985539487459</v>
      </c>
      <c r="AK570" s="59">
        <v>0.28570085279941165</v>
      </c>
    </row>
    <row r="571" spans="1:37" x14ac:dyDescent="0.25">
      <c r="A571" s="61">
        <v>502</v>
      </c>
      <c r="B571" s="14">
        <f t="shared" si="9"/>
        <v>565</v>
      </c>
      <c r="C571" s="15">
        <v>44091</v>
      </c>
      <c r="D571" s="16">
        <v>0.57874999999999999</v>
      </c>
      <c r="E571" s="36">
        <v>20.13</v>
      </c>
      <c r="F571" s="36">
        <v>1.56</v>
      </c>
      <c r="G571" s="36">
        <v>0.62</v>
      </c>
      <c r="H571" s="56" cm="1">
        <f t="array" ref="H571:I571">LINEST(E562:E571,D562:D571)</f>
        <v>-3.1418181818183584</v>
      </c>
      <c r="I571" s="56">
        <v>21.884690909091006</v>
      </c>
      <c r="J571" s="56" cm="1">
        <f t="array" ref="J571:K571">LINEST(E557:E571,D557:D571)</f>
        <v>-0.28285714285718816</v>
      </c>
      <c r="K571" s="56">
        <v>20.244953571428596</v>
      </c>
      <c r="L571" s="56" cm="1">
        <f t="array" ref="L571:M571">LINEST(E552:E571,D552:D571)</f>
        <v>1.9109774436089502</v>
      </c>
      <c r="M571" s="56">
        <v>18.990736090225603</v>
      </c>
      <c r="N571" s="56" cm="1">
        <f t="array" ref="N571:O571">LINEST(E547:E571,D547:D571)</f>
        <v>0.83076923076919262</v>
      </c>
      <c r="O571" s="56">
        <v>19.60383846153848</v>
      </c>
      <c r="P571" s="56" cm="1">
        <f t="array" ref="P571:Q571">LINEST(E542:E571,D542:D571)</f>
        <v>-0.42607341490545564</v>
      </c>
      <c r="Q571" s="56">
        <v>20.316676010381904</v>
      </c>
      <c r="R571" s="56" cm="1">
        <f t="array" ref="R571:S571">LINEST(F562:F571,D562:D571)</f>
        <v>-13.265454545454585</v>
      </c>
      <c r="S571" s="56">
        <v>8.3884727272727506</v>
      </c>
      <c r="T571" s="56" cm="1">
        <f t="array" ref="T571:U571">LINEST(F557:F571,D557:D571)</f>
        <v>29.751428571428693</v>
      </c>
      <c r="U571" s="56">
        <v>-16.316722619047692</v>
      </c>
      <c r="V571" s="56" cm="1">
        <f t="array" ref="V571:W571">LINEST(F552:F571,D552:D571)</f>
        <v>31.826165413533836</v>
      </c>
      <c r="W571" s="56">
        <v>-17.499964661654136</v>
      </c>
      <c r="X571" s="56" cm="1">
        <f t="array" ref="X571:Y571">LINEST(F547:F571,D547:D571)</f>
        <v>4.0707692307691596</v>
      </c>
      <c r="Y571" s="56">
        <v>-1.6921115384614989</v>
      </c>
      <c r="Z571" s="56" cm="1">
        <f t="array" ref="Z571:AA571">LINEST(F542:F571,D542:D571)</f>
        <v>4.6467630700778209</v>
      </c>
      <c r="AA571" s="56">
        <v>-2.021400148312916</v>
      </c>
      <c r="AB571" s="37" cm="1">
        <f t="array" ref="AB571:AC571">LINEST(G562:G571,D562:D571)</f>
        <v>9.7309090909091243</v>
      </c>
      <c r="AC571" s="59">
        <v>-5.0219454545454729</v>
      </c>
      <c r="AD571" s="37" cm="1">
        <f t="array" ref="AD571:AE571">LINEST(G557:G571,D557:D571)</f>
        <v>8.8200000000000287</v>
      </c>
      <c r="AE571" s="59">
        <v>-4.5021583333333499</v>
      </c>
      <c r="AF571" s="37" cm="1">
        <f t="array" ref="AF571:AG571">LINEST(G552:G571,D552:D571)</f>
        <v>2.3224060150375769</v>
      </c>
      <c r="AG571" s="59">
        <v>-0.79094962406014069</v>
      </c>
      <c r="AH571" s="37" cm="1">
        <f t="array" ref="AH571:AI571">LINEST(G547:G571,D547:D571)</f>
        <v>0.42646153846152135</v>
      </c>
      <c r="AI571" s="59">
        <v>0.29029307692308642</v>
      </c>
      <c r="AJ571" s="37" cm="1">
        <f t="array" ref="AJ571:AK571">LINEST(G542:G571,D542:D571)</f>
        <v>0.77526140155727641</v>
      </c>
      <c r="AK571" s="59">
        <v>9.2263700407866023E-2</v>
      </c>
    </row>
    <row r="572" spans="1:37" x14ac:dyDescent="0.25">
      <c r="A572" s="61">
        <v>502</v>
      </c>
      <c r="B572" s="14">
        <f t="shared" si="9"/>
        <v>566</v>
      </c>
      <c r="C572" s="15">
        <v>44092</v>
      </c>
      <c r="D572" s="16">
        <v>0.58013888888888887</v>
      </c>
      <c r="E572" s="36">
        <v>20.2</v>
      </c>
      <c r="F572" s="36">
        <v>2.0699999999999998</v>
      </c>
      <c r="G572" s="36">
        <v>0.73</v>
      </c>
      <c r="H572" s="56" cm="1">
        <f t="array" ref="H572:I572">LINEST(E563:E572,D563:D572)</f>
        <v>3.9272727272726105</v>
      </c>
      <c r="I572" s="56">
        <v>17.83818181818188</v>
      </c>
      <c r="J572" s="56" cm="1">
        <f t="array" ref="J572:K572">LINEST(E558:E572,D558:D572)</f>
        <v>1.3114285714285072</v>
      </c>
      <c r="K572" s="56">
        <v>19.345272619047652</v>
      </c>
      <c r="L572" s="56" cm="1">
        <f t="array" ref="L572:M572">LINEST(E553:E572,D553:D572)</f>
        <v>2.7609022556390332</v>
      </c>
      <c r="M572" s="56">
        <v>18.514721804511314</v>
      </c>
      <c r="N572" s="56" cm="1">
        <f t="array" ref="N572:O572">LINEST(E548:E572,D548:D572)</f>
        <v>2.2596923076922555</v>
      </c>
      <c r="O572" s="56">
        <v>18.799526153846177</v>
      </c>
      <c r="P572" s="56" cm="1">
        <f t="array" ref="P572:Q572">LINEST(E543:E572,D543:D572)</f>
        <v>0.14416017797551092</v>
      </c>
      <c r="Q572" s="56">
        <v>20.001936967000386</v>
      </c>
      <c r="R572" s="56" cm="1">
        <f t="array" ref="R572:S572">LINEST(F563:F572,D563:D572)</f>
        <v>63.534545454545693</v>
      </c>
      <c r="S572" s="56">
        <v>-35.595769696969832</v>
      </c>
      <c r="T572" s="56" cm="1">
        <f t="array" ref="T572:U572">LINEST(F558:F572,D558:D572)</f>
        <v>48.522857142857305</v>
      </c>
      <c r="U572" s="56">
        <v>-26.944246428571525</v>
      </c>
      <c r="V572" s="56" cm="1">
        <f t="array" ref="V572:W572">LINEST(F553:F572,D553:D572)</f>
        <v>44.34766917293242</v>
      </c>
      <c r="W572" s="56">
        <v>-24.548664661654186</v>
      </c>
      <c r="X572" s="56" cm="1">
        <f t="array" ref="X572:Y572">LINEST(F548:F572,D548:D572)</f>
        <v>10.655999999999903</v>
      </c>
      <c r="Y572" s="56">
        <v>-5.3315599999999463</v>
      </c>
      <c r="Z572" s="56" cm="1">
        <f t="array" ref="Z572:AA572">LINEST(F543:F572,D543:D572)</f>
        <v>11.374238042269139</v>
      </c>
      <c r="AA572" s="56">
        <v>-5.7439066370040521</v>
      </c>
      <c r="AB572" s="37" cm="1">
        <f t="array" ref="AB572:AC572">LINEST(G563:G572,D563:D572)</f>
        <v>14.007272727272774</v>
      </c>
      <c r="AC572" s="59">
        <v>-7.4656181818182077</v>
      </c>
      <c r="AD572" s="37" cm="1">
        <f t="array" ref="AD572:AE572">LINEST(G558:G572,D558:D572)</f>
        <v>11.905714285714327</v>
      </c>
      <c r="AE572" s="59">
        <v>-6.2578845238095475</v>
      </c>
      <c r="AF572" s="37" cm="1">
        <f t="array" ref="AF572:AG572">LINEST(G553:G572,D553:D572)</f>
        <v>5.5651127819548867</v>
      </c>
      <c r="AG572" s="59">
        <v>-2.6271097744360898</v>
      </c>
      <c r="AH572" s="37" cm="1">
        <f t="array" ref="AH572:AI572">LINEST(G548:G572,D548:D572)</f>
        <v>1.2516923076922886</v>
      </c>
      <c r="AI572" s="59">
        <v>-0.16449384615383533</v>
      </c>
      <c r="AJ572" s="37" cm="1">
        <f t="array" ref="AJ572:AK572">LINEST(G543:G572,D543:D572)</f>
        <v>1.6001779755283536</v>
      </c>
      <c r="AK572" s="59">
        <v>-0.36309966629587809</v>
      </c>
    </row>
    <row r="573" spans="1:37" x14ac:dyDescent="0.25">
      <c r="A573" s="61">
        <v>502</v>
      </c>
      <c r="B573" s="14">
        <f t="shared" si="9"/>
        <v>567</v>
      </c>
      <c r="C573" s="15">
        <v>44093</v>
      </c>
      <c r="D573" s="16">
        <v>0.58152777777777775</v>
      </c>
      <c r="E573" s="36">
        <v>20.239999999999998</v>
      </c>
      <c r="F573" s="36">
        <v>1.08</v>
      </c>
      <c r="G573" s="36">
        <v>0.76</v>
      </c>
      <c r="H573" s="56" cm="1">
        <f t="array" ref="H573:I573">LINEST(E564:E573,D564:D573)</f>
        <v>12.04363636363629</v>
      </c>
      <c r="I573" s="56">
        <v>13.173563636363674</v>
      </c>
      <c r="J573" s="56" cm="1">
        <f t="array" ref="J573:K573">LINEST(E559:E573,D559:D573)</f>
        <v>3.2657142857141865</v>
      </c>
      <c r="K573" s="56">
        <v>18.237979761904818</v>
      </c>
      <c r="L573" s="56" cm="1">
        <f t="array" ref="L573:M573">LINEST(E554:E573,D554:D573)</f>
        <v>4.0655639097743741</v>
      </c>
      <c r="M573" s="56">
        <v>17.778904511278228</v>
      </c>
      <c r="N573" s="56" cm="1">
        <f t="array" ref="N573:O573">LINEST(E549:E573,D549:D573)</f>
        <v>4.2147692307691793</v>
      </c>
      <c r="O573" s="56">
        <v>17.694040769230796</v>
      </c>
      <c r="P573" s="56" cm="1">
        <f t="array" ref="P573:Q573">LINEST(E544:E573,D544:D573)</f>
        <v>1.1100333704115386</v>
      </c>
      <c r="Q573" s="56">
        <v>19.463172932888412</v>
      </c>
      <c r="R573" s="56" cm="1">
        <f t="array" ref="R573:S573">LINEST(F564:F573,D564:D573)</f>
        <v>36.130909090909213</v>
      </c>
      <c r="S573" s="56">
        <v>-19.823309090909163</v>
      </c>
      <c r="T573" s="56" cm="1">
        <f t="array" ref="T573:U573">LINEST(F559:F573,D559:D573)</f>
        <v>37.800000000000132</v>
      </c>
      <c r="U573" s="56">
        <v>-20.802250000000075</v>
      </c>
      <c r="V573" s="56" cm="1">
        <f t="array" ref="V573:W573">LINEST(F554:F573,D554:D573)</f>
        <v>48.3915789473686</v>
      </c>
      <c r="W573" s="56">
        <v>-26.880047368421163</v>
      </c>
      <c r="X573" s="56" cm="1">
        <f t="array" ref="X573:Y573">LINEST(F549:F573,D549:D573)</f>
        <v>17.086153846153763</v>
      </c>
      <c r="Y573" s="56">
        <v>-8.9829038461537998</v>
      </c>
      <c r="Z573" s="56" cm="1">
        <f t="array" ref="Z573:AA573">LINEST(F544:F573,D544:D573)</f>
        <v>16.634482758620628</v>
      </c>
      <c r="AA573" s="56">
        <v>-8.7187471264367478</v>
      </c>
      <c r="AB573" s="37" cm="1">
        <f t="array" ref="AB573:AC573">LINEST(G564:G573,D564:D573)</f>
        <v>15.927272727272781</v>
      </c>
      <c r="AC573" s="59">
        <v>-8.5596060606060913</v>
      </c>
      <c r="AD573" s="37" cm="1">
        <f t="array" ref="AD573:AE573">LINEST(G559:G573,D559:D573)</f>
        <v>13.860000000000049</v>
      </c>
      <c r="AE573" s="59">
        <v>-7.3698916666666952</v>
      </c>
      <c r="AF573" s="37" cm="1">
        <f t="array" ref="AF573:AG573">LINEST(G554:G573,D554:D573)</f>
        <v>8.8836090225564224</v>
      </c>
      <c r="AG573" s="59">
        <v>-4.5133511278195684</v>
      </c>
      <c r="AH573" s="37" cm="1">
        <f t="array" ref="AH573:AI573">LINEST(G549:G573,D549:D573)</f>
        <v>2.4867692307692111</v>
      </c>
      <c r="AI573" s="59">
        <v>-0.85387923076921979</v>
      </c>
      <c r="AJ573" s="37" cm="1">
        <f t="array" ref="AJ573:AK573">LINEST(G544:G573,D544:D573)</f>
        <v>2.7886985539488198</v>
      </c>
      <c r="AK573" s="59">
        <v>-1.0258777159807124</v>
      </c>
    </row>
    <row r="574" spans="1:37" x14ac:dyDescent="0.25">
      <c r="A574" s="61">
        <v>502</v>
      </c>
      <c r="B574" s="14">
        <f t="shared" si="9"/>
        <v>568</v>
      </c>
      <c r="C574" s="15">
        <v>44094</v>
      </c>
      <c r="D574" s="16">
        <v>0.58291666666666664</v>
      </c>
      <c r="E574" s="36">
        <v>20.260000000000002</v>
      </c>
      <c r="F574" s="36">
        <v>0.68</v>
      </c>
      <c r="G574" s="36">
        <v>0.75</v>
      </c>
      <c r="H574" s="56" cm="1">
        <f t="array" ref="H574:I574">LINEST(E565:E574,D565:D574)</f>
        <v>21.99272727272735</v>
      </c>
      <c r="I574" s="56">
        <v>7.427527272727227</v>
      </c>
      <c r="J574" s="56" cm="1">
        <f t="array" ref="J574:K574">LINEST(E560:E574,D560:D574)</f>
        <v>5.7342857142856642</v>
      </c>
      <c r="K574" s="56">
        <v>16.82980595238098</v>
      </c>
      <c r="L574" s="56" cm="1">
        <f t="array" ref="L574:M574">LINEST(E555:E574,D555:D574)</f>
        <v>5.1428571428571193</v>
      </c>
      <c r="M574" s="56">
        <v>17.171000000000014</v>
      </c>
      <c r="N574" s="56" cm="1">
        <f t="array" ref="N574:O574">LINEST(E550:E574,D550:D574)</f>
        <v>4.691076923076877</v>
      </c>
      <c r="O574" s="56">
        <v>17.430077692307716</v>
      </c>
      <c r="P574" s="56" cm="1">
        <f t="array" ref="P574:Q574">LINEST(E545:E574,D545:D574)</f>
        <v>2.0342602892102088</v>
      </c>
      <c r="Q574" s="56">
        <v>18.946496848350034</v>
      </c>
      <c r="R574" s="56" cm="1">
        <f t="array" ref="R574:S574">LINEST(F565:F574,D565:D574)</f>
        <v>27.840000000000092</v>
      </c>
      <c r="S574" s="56">
        <v>-15.126400000000054</v>
      </c>
      <c r="T574" s="56" cm="1">
        <f t="array" ref="T574:U574">LINEST(F560:F574,D560:D574)</f>
        <v>40.320000000000135</v>
      </c>
      <c r="U574" s="56">
        <v>-22.323866666666746</v>
      </c>
      <c r="V574" s="56" cm="1">
        <f t="array" ref="V574:W574">LINEST(F555:F574,D555:D574)</f>
        <v>37.131428571428707</v>
      </c>
      <c r="W574" s="56">
        <v>-20.477100000000078</v>
      </c>
      <c r="X574" s="56" cm="1">
        <f t="array" ref="X574:Y574">LINEST(F550:F574,D550:D574)</f>
        <v>20.918769230769179</v>
      </c>
      <c r="Y574" s="56">
        <v>-11.197253076923049</v>
      </c>
      <c r="Z574" s="56" cm="1">
        <f t="array" ref="Z574:AA574">LINEST(F545:F574,D545:D574)</f>
        <v>11.106740823136764</v>
      </c>
      <c r="AA574" s="56">
        <v>-5.5899602521319673</v>
      </c>
      <c r="AB574" s="37" cm="1">
        <f t="array" ref="AB574:AC574">LINEST(G565:G574,D565:D574)</f>
        <v>16.756363636363698</v>
      </c>
      <c r="AC574" s="59">
        <v>-9.0348363636363995</v>
      </c>
      <c r="AD574" s="37" cm="1">
        <f t="array" ref="AD574:AE574">LINEST(G560:G574,D560:D574)</f>
        <v>15.814285714285772</v>
      </c>
      <c r="AE574" s="59">
        <v>-8.4913273809524128</v>
      </c>
      <c r="AF574" s="37" cm="1">
        <f t="array" ref="AF574:AG574">LINEST(G555:G574,D555:D574)</f>
        <v>11.027368421052671</v>
      </c>
      <c r="AG574" s="59">
        <v>-5.7360368421052854</v>
      </c>
      <c r="AH574" s="37" cm="1">
        <f t="array" ref="AH574:AI574">LINEST(G550:G574,D550:D574)</f>
        <v>3.8769230769230587</v>
      </c>
      <c r="AI574" s="59">
        <v>-1.6369076923076822</v>
      </c>
      <c r="AJ574" s="37" cm="1">
        <f t="array" ref="AJ574:AK574">LINEST(G545:G574,D545:D574)</f>
        <v>3.4197997775305762</v>
      </c>
      <c r="AK574" s="59">
        <v>-1.3755873192435963</v>
      </c>
    </row>
    <row r="575" spans="1:37" x14ac:dyDescent="0.25">
      <c r="A575" s="61">
        <v>502</v>
      </c>
      <c r="B575" s="14">
        <f t="shared" si="9"/>
        <v>569</v>
      </c>
      <c r="C575" s="15">
        <v>44095</v>
      </c>
      <c r="D575" s="16">
        <v>0.58430555555555552</v>
      </c>
      <c r="E575" s="36">
        <v>20.28</v>
      </c>
      <c r="F575" s="36">
        <v>0.65</v>
      </c>
      <c r="G575" s="36">
        <v>0.74</v>
      </c>
      <c r="H575" s="56" cm="1">
        <f t="array" ref="H575:I575">LINEST(E566:E575,D566:D575)</f>
        <v>21.949090909091016</v>
      </c>
      <c r="I575" s="56">
        <v>7.4532060606059982</v>
      </c>
      <c r="J575" s="56" cm="1">
        <f t="array" ref="J575:K575">LINEST(E561:E575,D561:D575)</f>
        <v>8.3314285714285869</v>
      </c>
      <c r="K575" s="56">
        <v>15.341566666666655</v>
      </c>
      <c r="L575" s="56" cm="1">
        <f t="array" ref="L575:M575">LINEST(E556:E575,D556:D575)</f>
        <v>5.9494736842105373</v>
      </c>
      <c r="M575" s="56">
        <v>16.716689473684205</v>
      </c>
      <c r="N575" s="56" cm="1">
        <f t="array" ref="N575:O575">LINEST(E551:E575,D551:D575)</f>
        <v>5.4276923076922818</v>
      </c>
      <c r="O575" s="56">
        <v>17.016230769230781</v>
      </c>
      <c r="P575" s="56" cm="1">
        <f t="array" ref="P575:Q575">LINEST(E546:E575,D546:D575)</f>
        <v>3.1026473859844037</v>
      </c>
      <c r="Q575" s="56">
        <v>18.345923099740464</v>
      </c>
      <c r="R575" s="56" cm="1">
        <f t="array" ref="R575:S575">LINEST(F566:F575,D566:D575)</f>
        <v>21.338181818181887</v>
      </c>
      <c r="S575" s="56">
        <v>-11.443654545454585</v>
      </c>
      <c r="T575" s="56" cm="1">
        <f t="array" ref="T575:U575">LINEST(F561:F575,D561:D575)</f>
        <v>25.354285714285801</v>
      </c>
      <c r="U575" s="56">
        <v>-13.749483333333384</v>
      </c>
      <c r="V575" s="56" cm="1">
        <f t="array" ref="V575:W575">LINEST(F556:F575,D556:D575)</f>
        <v>21.643308270676769</v>
      </c>
      <c r="W575" s="56">
        <v>-11.617733834586508</v>
      </c>
      <c r="X575" s="56" cm="1">
        <f t="array" ref="X575:Y575">LINEST(F551:F575,D551:D575)</f>
        <v>24.834461538461532</v>
      </c>
      <c r="Y575" s="56">
        <v>-13.470606153846148</v>
      </c>
      <c r="Z575" s="56" cm="1">
        <f t="array" ref="Z575:AA575">LINEST(F546:F575,D546:D575)</f>
        <v>11.898020022246898</v>
      </c>
      <c r="AA575" s="56">
        <v>-6.0577996292176257</v>
      </c>
      <c r="AB575" s="37" cm="1">
        <f t="array" ref="AB575:AC575">LINEST(G566:G575,D566:D575)</f>
        <v>16.930909090909157</v>
      </c>
      <c r="AC575" s="59">
        <v>-9.1390060606060999</v>
      </c>
      <c r="AD575" s="37" cm="1">
        <f t="array" ref="AD575:AE575">LINEST(G561:G575,D561:D575)</f>
        <v>16.482857142857203</v>
      </c>
      <c r="AE575" s="59">
        <v>-8.8787750000000329</v>
      </c>
      <c r="AF575" s="37" cm="1">
        <f t="array" ref="AF575:AG575">LINEST(G556:G575,D556:D575)</f>
        <v>11.806917293233125</v>
      </c>
      <c r="AG575" s="59">
        <v>-6.1815616541353622</v>
      </c>
      <c r="AH575" s="37" cm="1">
        <f t="array" ref="AH575:AI575">LINEST(G551:G575,D551:D575)</f>
        <v>5.4553846153846033</v>
      </c>
      <c r="AI575" s="59">
        <v>-2.5330884615384539</v>
      </c>
      <c r="AJ575" s="37" cm="1">
        <f t="array" ref="AJ575:AK575">LINEST(G546:G575,D546:D575)</f>
        <v>4.063715239154603</v>
      </c>
      <c r="AK575" s="59">
        <v>-1.7356126807563887</v>
      </c>
    </row>
    <row r="576" spans="1:37" x14ac:dyDescent="0.25">
      <c r="A576" s="61">
        <v>502</v>
      </c>
      <c r="B576" s="14">
        <f t="shared" si="9"/>
        <v>570</v>
      </c>
      <c r="C576" s="15">
        <v>44096</v>
      </c>
      <c r="D576" s="16">
        <v>0.58569444444444441</v>
      </c>
      <c r="E576" s="36">
        <v>20.309999999999999</v>
      </c>
      <c r="F576" s="36">
        <v>0.95</v>
      </c>
      <c r="G576" s="36">
        <v>0.76</v>
      </c>
      <c r="H576" s="56" cm="1">
        <f t="array" ref="H576:I576">LINEST(E567:E576,D567:D576)</f>
        <v>23.258181818181967</v>
      </c>
      <c r="I576" s="56">
        <v>6.6921757575756722</v>
      </c>
      <c r="J576" s="56" cm="1">
        <f t="array" ref="J576:K576">LINEST(E562:E576,D562:D576)</f>
        <v>10.80000000000001</v>
      </c>
      <c r="K576" s="56">
        <v>13.922833333333323</v>
      </c>
      <c r="L576" s="56" cm="1">
        <f t="array" ref="L576:M576">LINEST(E557:E576,D557:D576)</f>
        <v>7.2270676691729498</v>
      </c>
      <c r="M576" s="56">
        <v>15.990003759398487</v>
      </c>
      <c r="N576" s="56" cm="1">
        <f t="array" ref="N576:O576">LINEST(E552:E576,D552:D576)</f>
        <v>6.2861538461538151</v>
      </c>
      <c r="O576" s="56">
        <v>16.531803846153863</v>
      </c>
      <c r="P576" s="56" cm="1">
        <f t="array" ref="P576:Q576">LINEST(E547:E576,D547:D576)</f>
        <v>4.3119911012235557</v>
      </c>
      <c r="Q576" s="56">
        <v>17.663329477196896</v>
      </c>
      <c r="R576" s="56" cm="1">
        <f t="array" ref="R576:S576">LINEST(F567:F576,D567:D576)</f>
        <v>29.847272727272838</v>
      </c>
      <c r="S576" s="56">
        <v>-16.410836363636427</v>
      </c>
      <c r="T576" s="56" cm="1">
        <f t="array" ref="T576:U576">LINEST(F562:F576,D562:D576)</f>
        <v>7.9971428571428822</v>
      </c>
      <c r="U576" s="56">
        <v>-3.7147988095238236</v>
      </c>
      <c r="V576" s="56" cm="1">
        <f t="array" ref="V576:W576">LINEST(F557:F576,D557:D576)</f>
        <v>28.854135338345955</v>
      </c>
      <c r="W576" s="56">
        <v>-15.787992481203061</v>
      </c>
      <c r="X576" s="56" cm="1">
        <f t="array" ref="X576:Y576">LINEST(F552:F576,D552:D576)</f>
        <v>31.043076923076971</v>
      </c>
      <c r="Y576" s="56">
        <v>-17.047573076923104</v>
      </c>
      <c r="Z576" s="56" cm="1">
        <f t="array" ref="Z576:AA576">LINEST(F547:F576,D547:D576)</f>
        <v>11.310166852057794</v>
      </c>
      <c r="AA576" s="56">
        <v>-5.7188610307749084</v>
      </c>
      <c r="AB576" s="37" cm="1">
        <f t="array" ref="AB576:AC576">LINEST(G567:G576,D567:D576)</f>
        <v>18.065454545454617</v>
      </c>
      <c r="AC576" s="59">
        <v>-9.8019272727273137</v>
      </c>
      <c r="AD576" s="37" cm="1">
        <f t="array" ref="AD576:AE576">LINEST(G562:G576,D562:D576)</f>
        <v>15.762857142857198</v>
      </c>
      <c r="AE576" s="59">
        <v>-8.4636345238095547</v>
      </c>
      <c r="AF576" s="37" cm="1">
        <f t="array" ref="AF576:AG576">LINEST(G557:G576,D557:D576)</f>
        <v>13.14947368421057</v>
      </c>
      <c r="AG576" s="59">
        <v>-6.9535736842105518</v>
      </c>
      <c r="AH576" s="37" cm="1">
        <f t="array" ref="AH576:AI576">LINEST(G552:G576,D552:D576)</f>
        <v>7.4547692307692319</v>
      </c>
      <c r="AI576" s="59">
        <v>-3.6743707692307699</v>
      </c>
      <c r="AJ576" s="37" cm="1">
        <f t="array" ref="AJ576:AK576">LINEST(G547:G576,D547:D576)</f>
        <v>4.6243381535038814</v>
      </c>
      <c r="AK576" s="59">
        <v>-2.0489868001483065</v>
      </c>
    </row>
    <row r="577" spans="1:37" x14ac:dyDescent="0.25">
      <c r="A577" s="61">
        <v>502</v>
      </c>
      <c r="B577" s="14">
        <f t="shared" si="9"/>
        <v>571</v>
      </c>
      <c r="C577" s="15">
        <v>44097</v>
      </c>
      <c r="D577" s="16">
        <v>0.58708333333333329</v>
      </c>
      <c r="E577" s="36">
        <v>20.350000000000001</v>
      </c>
      <c r="F577" s="36">
        <v>1.02</v>
      </c>
      <c r="G577" s="36">
        <v>0.78</v>
      </c>
      <c r="H577" s="56" cm="1">
        <f t="array" ref="H577:I577">LINEST(E568:E577,D568:D577)</f>
        <v>24.654545454545744</v>
      </c>
      <c r="I577" s="56">
        <v>5.8788181818180121</v>
      </c>
      <c r="J577" s="56" cm="1">
        <f t="array" ref="J577:K577">LINEST(E563:E577,D563:D577)</f>
        <v>14.451428571428645</v>
      </c>
      <c r="K577" s="56">
        <v>11.813640476190429</v>
      </c>
      <c r="L577" s="56" cm="1">
        <f t="array" ref="L577:M577">LINEST(E558:E577,D558:D577)</f>
        <v>8.7482706766917566</v>
      </c>
      <c r="M577" s="56">
        <v>15.12146466165412</v>
      </c>
      <c r="N577" s="56" cm="1">
        <f t="array" ref="N577:O577">LINEST(E553:E577,D553:D577)</f>
        <v>7.3218461538461481</v>
      </c>
      <c r="O577" s="56">
        <v>15.945096923076928</v>
      </c>
      <c r="P577" s="56" cm="1">
        <f t="array" ref="P577:Q577">LINEST(E548:E577,D548:D577)</f>
        <v>5.7023359288097639</v>
      </c>
      <c r="Q577" s="56">
        <v>16.875758991472011</v>
      </c>
      <c r="R577" s="56" cm="1">
        <f t="array" ref="R577:S577">LINEST(F568:F577,D568:D577)</f>
        <v>41.716363636363781</v>
      </c>
      <c r="S577" s="56">
        <v>-23.346254545454627</v>
      </c>
      <c r="T577" s="56" cm="1">
        <f t="array" ref="T577:U577">LINEST(F563:F577,D563:D577)</f>
        <v>19.748571428571495</v>
      </c>
      <c r="U577" s="56">
        <v>-10.53272380952385</v>
      </c>
      <c r="V577" s="56" cm="1">
        <f t="array" ref="V577:W577">LINEST(F558:F577,D558:D577)</f>
        <v>26.358496240601603</v>
      </c>
      <c r="W577" s="56">
        <v>-14.357348120300808</v>
      </c>
      <c r="X577" s="56" cm="1">
        <f t="array" ref="X577:Y577">LINEST(F553:F577,D553:D577)</f>
        <v>30.577846153846238</v>
      </c>
      <c r="Y577" s="56">
        <v>-16.791713076923124</v>
      </c>
      <c r="Z577" s="56" cm="1">
        <f t="array" ref="Z577:AA577">LINEST(F548:F577,D548:D577)</f>
        <v>10.280222469410408</v>
      </c>
      <c r="AA577" s="56">
        <v>-5.1216483500185124</v>
      </c>
      <c r="AB577" s="37" cm="1">
        <f t="array" ref="AB577:AC577">LINEST(G568:G577,D568:D577)</f>
        <v>19.854545454545526</v>
      </c>
      <c r="AC577" s="59">
        <v>-10.84918181818186</v>
      </c>
      <c r="AD577" s="37" cm="1">
        <f t="array" ref="AD577:AE577">LINEST(G563:G577,D563:D577)</f>
        <v>16.148571428571486</v>
      </c>
      <c r="AE577" s="59">
        <v>-8.6888904761905117</v>
      </c>
      <c r="AF577" s="37" cm="1">
        <f t="array" ref="AF577:AG577">LINEST(G558:G577,D558:D577)</f>
        <v>14.188872180451177</v>
      </c>
      <c r="AG577" s="59">
        <v>-7.553336090225593</v>
      </c>
      <c r="AH577" s="37" cm="1">
        <f t="array" ref="AH577:AI577">LINEST(G553:G577,D553:D577)</f>
        <v>9.2436923076923261</v>
      </c>
      <c r="AI577" s="59">
        <v>-4.6987561538461646</v>
      </c>
      <c r="AJ577" s="37" cm="1">
        <f t="array" ref="AJ577:AK577">LINEST(G548:G577,D548:D577)</f>
        <v>5.0888542825361389</v>
      </c>
      <c r="AK577" s="59">
        <v>-2.3080976640711834</v>
      </c>
    </row>
    <row r="578" spans="1:37" x14ac:dyDescent="0.25">
      <c r="A578" s="61">
        <v>502</v>
      </c>
      <c r="B578" s="14">
        <f t="shared" si="9"/>
        <v>572</v>
      </c>
      <c r="C578" s="15">
        <v>44098</v>
      </c>
      <c r="D578" s="16">
        <v>0.58847222222222217</v>
      </c>
      <c r="E578" s="36">
        <v>20.350000000000001</v>
      </c>
      <c r="F578" s="36">
        <v>0.06</v>
      </c>
      <c r="G578" s="36">
        <v>0.72</v>
      </c>
      <c r="H578" s="56" cm="1">
        <f t="array" ref="H578:I578">LINEST(E569:E578,D569:D578)</f>
        <v>23.912727272727604</v>
      </c>
      <c r="I578" s="56">
        <v>6.3054787878785934</v>
      </c>
      <c r="J578" s="56" cm="1">
        <f t="array" ref="J578:K578">LINEST(E564:E578,D564:D578)</f>
        <v>17.562857142857276</v>
      </c>
      <c r="K578" s="56">
        <v>10.006829761904685</v>
      </c>
      <c r="L578" s="56" cm="1">
        <f t="array" ref="L578:M578">LINEST(E559:E578,D559:D578)</f>
        <v>9.9554887218045494</v>
      </c>
      <c r="M578" s="56">
        <v>14.429328571428551</v>
      </c>
      <c r="N578" s="56" cm="1">
        <f t="array" ref="N578:O578">LINEST(E554:E578,D554:D578)</f>
        <v>8.3243076923077144</v>
      </c>
      <c r="O578" s="56">
        <v>15.3737146153846</v>
      </c>
      <c r="P578" s="56" cm="1">
        <f t="array" ref="P578:Q578">LINEST(E549:E578,D549:D578)</f>
        <v>7.2272302558398165</v>
      </c>
      <c r="Q578" s="56">
        <v>16.006524137931034</v>
      </c>
      <c r="R578" s="56" cm="1">
        <f t="array" ref="R578:S578">LINEST(F569:F578,D569:D578)</f>
        <v>-23.476363636363715</v>
      </c>
      <c r="S578" s="56">
        <v>14.538460606060653</v>
      </c>
      <c r="T578" s="56" cm="1">
        <f t="array" ref="T578:U578">LINEST(F564:F578,D564:D578)</f>
        <v>-10.23428571428575</v>
      </c>
      <c r="U578" s="56">
        <v>6.7884261904762111</v>
      </c>
      <c r="V578" s="56" cm="1">
        <f t="array" ref="V578:W578">LINEST(F559:F578,D559:D578)</f>
        <v>9.2896240601504143</v>
      </c>
      <c r="W578" s="56">
        <v>-4.5671142857143074</v>
      </c>
      <c r="X578" s="56" cm="1">
        <f t="array" ref="X578:Y578">LINEST(F554:F578,D554:D578)</f>
        <v>25.643076923077015</v>
      </c>
      <c r="Y578" s="56">
        <v>-14.0304538461539</v>
      </c>
      <c r="Z578" s="56" cm="1">
        <f t="array" ref="Z578:AA578">LINEST(F549:F578,D549:D578)</f>
        <v>9.6763515016684885</v>
      </c>
      <c r="AA578" s="56">
        <v>-4.8303931034482579</v>
      </c>
      <c r="AB578" s="37" cm="1">
        <f t="array" ref="AB578:AC578">LINEST(G569:G578,D569:D578)</f>
        <v>16.36363636363642</v>
      </c>
      <c r="AC578" s="59">
        <v>-8.8302727272727601</v>
      </c>
      <c r="AD578" s="37" cm="1">
        <f t="array" ref="AD578:AE578">LINEST(G564:G578,D564:D578)</f>
        <v>14.09142857142862</v>
      </c>
      <c r="AE578" s="59">
        <v>-7.5034142857143129</v>
      </c>
      <c r="AF578" s="37" cm="1">
        <f t="array" ref="AF578:AG578">LINEST(G559:G578,D559:D578)</f>
        <v>13.717894736842153</v>
      </c>
      <c r="AG578" s="59">
        <v>-7.2876000000000269</v>
      </c>
      <c r="AH578" s="37" cm="1">
        <f t="array" ref="AH578:AI578">LINEST(G554:G578,D554:D578)</f>
        <v>10.473230769230808</v>
      </c>
      <c r="AI578" s="59">
        <v>-5.4102515384615613</v>
      </c>
      <c r="AJ578" s="37" cm="1">
        <f t="array" ref="AJ578:AK578">LINEST(G549:G578,D549:D578)</f>
        <v>5.4204226918798577</v>
      </c>
      <c r="AK578" s="59">
        <v>-2.496606896551719</v>
      </c>
    </row>
    <row r="579" spans="1:37" x14ac:dyDescent="0.25">
      <c r="A579" s="61">
        <v>502</v>
      </c>
      <c r="B579" s="14">
        <f t="shared" si="9"/>
        <v>573</v>
      </c>
      <c r="C579" s="15">
        <v>44099</v>
      </c>
      <c r="D579" s="16">
        <v>0.58986111111111106</v>
      </c>
      <c r="E579" s="36">
        <v>20.34</v>
      </c>
      <c r="F579" s="36">
        <v>-0.24</v>
      </c>
      <c r="G579" s="36">
        <v>0.65</v>
      </c>
      <c r="H579" s="56" cm="1">
        <f t="array" ref="H579:I579">LINEST(E570:E579,D570:D579)</f>
        <v>21.207272727272986</v>
      </c>
      <c r="I579" s="56">
        <v>7.8771999999998474</v>
      </c>
      <c r="J579" s="56" cm="1">
        <f t="array" ref="J579:K579">LINEST(E565:E579,D565:D579)</f>
        <v>20.777142857143001</v>
      </c>
      <c r="K579" s="56">
        <v>8.1283714285713469</v>
      </c>
      <c r="L579" s="56" cm="1">
        <f t="array" ref="L579:M579">LINEST(E560:E579,D560:D579)</f>
        <v>11.086917293233123</v>
      </c>
      <c r="M579" s="56">
        <v>13.775544360902234</v>
      </c>
      <c r="N579" s="56" cm="1">
        <f t="array" ref="N579:O579">LINEST(E555:E579,D555:D579)</f>
        <v>8.9501538461538797</v>
      </c>
      <c r="O579" s="56">
        <v>15.01582153846152</v>
      </c>
      <c r="P579" s="56" cm="1">
        <f t="array" ref="P579:Q579">LINEST(E550:E579,D550:D579)</f>
        <v>7.5620022246940968</v>
      </c>
      <c r="Q579" s="56">
        <v>15.818092621431223</v>
      </c>
      <c r="R579" s="56" cm="1">
        <f t="array" ref="R579:S579">LINEST(F570:F579,D570:D579)</f>
        <v>-86.269090909091176</v>
      </c>
      <c r="S579" s="56">
        <v>51.146600000000156</v>
      </c>
      <c r="T579" s="56" cm="1">
        <f t="array" ref="T579:U579">LINEST(F565:F579,D565:D579)</f>
        <v>-26.948571428571519</v>
      </c>
      <c r="U579" s="56">
        <v>16.415247619047673</v>
      </c>
      <c r="V579" s="56" cm="1">
        <f t="array" ref="V579:W579">LINEST(F560:F579,D560:D579)</f>
        <v>1.9326315789473876</v>
      </c>
      <c r="W579" s="56">
        <v>-0.40198421052632682</v>
      </c>
      <c r="X579" s="56" cm="1">
        <f t="array" ref="X579:Y579">LINEST(F555:F579,D555:D579)</f>
        <v>12.267692307692359</v>
      </c>
      <c r="Y579" s="56">
        <v>-6.3921730769231067</v>
      </c>
      <c r="Z579" s="56" cm="1">
        <f t="array" ref="Z579:AA579">LINEST(F550:F579,D550:D579)</f>
        <v>8.040934371523905</v>
      </c>
      <c r="AA579" s="56">
        <v>-3.9597656655543139</v>
      </c>
      <c r="AB579" s="37" cm="1">
        <f t="array" ref="AB579:AC579">LINEST(G570:G579,D570:D579)</f>
        <v>8.4218181818182085</v>
      </c>
      <c r="AC579" s="59">
        <v>-4.2100666666666822</v>
      </c>
      <c r="AD579" s="37" cm="1">
        <f t="array" ref="AD579:AE579">LINEST(G565:G579,D565:D579)</f>
        <v>10.928571428571466</v>
      </c>
      <c r="AE579" s="59">
        <v>-5.6780892857143073</v>
      </c>
      <c r="AF579" s="37" cm="1">
        <f t="array" ref="AF579:AG579">LINEST(G560:G579,D560:D579)</f>
        <v>12.78135338345869</v>
      </c>
      <c r="AG579" s="59">
        <v>-6.7580804511278449</v>
      </c>
      <c r="AH579" s="37" cm="1">
        <f t="array" ref="AH579:AI579">LINEST(G555:G579,D555:D579)</f>
        <v>10.600615384615425</v>
      </c>
      <c r="AI579" s="59">
        <v>-5.49301384615387</v>
      </c>
      <c r="AJ579" s="37" cm="1">
        <f t="array" ref="AJ579:AK579">LINEST(G550:G579,D550:D579)</f>
        <v>5.6078309232480503</v>
      </c>
      <c r="AK579" s="59">
        <v>-2.6079058954393757</v>
      </c>
    </row>
    <row r="580" spans="1:37" x14ac:dyDescent="0.25">
      <c r="A580" s="61">
        <v>502</v>
      </c>
      <c r="B580" s="14">
        <f t="shared" si="9"/>
        <v>574</v>
      </c>
      <c r="C580" s="15">
        <v>44100</v>
      </c>
      <c r="D580" s="16">
        <v>0.59124999999999994</v>
      </c>
      <c r="E580" s="36">
        <v>20.37</v>
      </c>
      <c r="F580" s="36">
        <v>0.71</v>
      </c>
      <c r="G580" s="36">
        <v>0.65</v>
      </c>
      <c r="H580" s="56" cm="1">
        <f t="array" ref="H580:I580">LINEST(E571:E580,D571:D580)</f>
        <v>17.410909090909303</v>
      </c>
      <c r="I580" s="56">
        <v>10.09761818181806</v>
      </c>
      <c r="J580" s="56" cm="1">
        <f t="array" ref="J580:K580">LINEST(E566:E580,D566:D580)</f>
        <v>19.800000000000143</v>
      </c>
      <c r="K580" s="56">
        <v>8.6944166666665836</v>
      </c>
      <c r="L580" s="56" cm="1">
        <f t="array" ref="L580:M580">LINEST(E561:E580,D561:D580)</f>
        <v>12.369924812030147</v>
      </c>
      <c r="M580" s="56">
        <v>13.03199624060146</v>
      </c>
      <c r="N580" s="56" cm="1">
        <f t="array" ref="N580:O580">LINEST(E556:E580,D556:D580)</f>
        <v>9.4596923076923609</v>
      </c>
      <c r="O580" s="56">
        <v>14.725018461538429</v>
      </c>
      <c r="P580" s="56" cm="1">
        <f t="array" ref="P580:Q580">LINEST(E551:E580,D551:D580)</f>
        <v>8.1162180200222522</v>
      </c>
      <c r="Q580" s="56">
        <v>15.503071041898401</v>
      </c>
      <c r="R580" s="56" cm="1">
        <f t="array" ref="R580:S580">LINEST(F571:F580,D571:D580)</f>
        <v>-120.43636363636411</v>
      </c>
      <c r="S580" s="56">
        <v>71.309272727272997</v>
      </c>
      <c r="T580" s="56" cm="1">
        <f t="array" ref="T580:U580">LINEST(F566:F580,D566:D580)</f>
        <v>-23.322857142857227</v>
      </c>
      <c r="U580" s="56">
        <v>14.323555952381001</v>
      </c>
      <c r="V580" s="56" cm="1">
        <f t="array" ref="V580:W580">LINEST(F561:F580,D561:D580)</f>
        <v>-4.1467669172932409</v>
      </c>
      <c r="W580" s="56">
        <v>3.136061654135343</v>
      </c>
      <c r="X580" s="56" cm="1">
        <f t="array" ref="X580:Y580">LINEST(F556:F580,D556:D580)</f>
        <v>3.3784615384615519</v>
      </c>
      <c r="Y580" s="56">
        <v>-1.2468076923077001</v>
      </c>
      <c r="Z580" s="56" cm="1">
        <f t="array" ref="Z580:AA580">LINEST(F551:F580,D551:D580)</f>
        <v>11.276529477196888</v>
      </c>
      <c r="AA580" s="56">
        <v>-5.8348179458657787</v>
      </c>
      <c r="AB580" s="37" cm="1">
        <f t="array" ref="AB580:AC580">LINEST(G571:G580,D571:D580)</f>
        <v>-1.658181818181822</v>
      </c>
      <c r="AC580" s="59">
        <v>1.686036363636366</v>
      </c>
      <c r="AD580" s="37" cm="1">
        <f t="array" ref="AD580:AE580">LINEST(G566:G580,D566:D580)</f>
        <v>8.2028571428571748</v>
      </c>
      <c r="AE580" s="59">
        <v>-4.1008559523809707</v>
      </c>
      <c r="AF580" s="37" cm="1">
        <f t="array" ref="AF580:AG580">LINEST(G561:G580,D561:D580)</f>
        <v>11.433383458646661</v>
      </c>
      <c r="AG580" s="59">
        <v>-5.9871308270676948</v>
      </c>
      <c r="AH580" s="37" cm="1">
        <f t="array" ref="AH580:AI580">LINEST(G556:G580,D556:D580)</f>
        <v>10.013538461538497</v>
      </c>
      <c r="AI580" s="59">
        <v>-5.1620123076923283</v>
      </c>
      <c r="AJ580" s="37" cm="1">
        <f t="array" ref="AJ580:AK580">LINEST(G551:G580,D551:D580)</f>
        <v>6.0146829810901004</v>
      </c>
      <c r="AK580" s="59">
        <v>-2.8467189469781244</v>
      </c>
    </row>
    <row r="581" spans="1:37" x14ac:dyDescent="0.25">
      <c r="A581" s="61">
        <v>502</v>
      </c>
      <c r="B581" s="14">
        <f t="shared" si="9"/>
        <v>575</v>
      </c>
      <c r="C581" s="15">
        <v>44101</v>
      </c>
      <c r="D581" s="16">
        <v>0.59263888888888883</v>
      </c>
      <c r="E581" s="36">
        <v>20.41</v>
      </c>
      <c r="F581" s="36">
        <v>1.24</v>
      </c>
      <c r="G581" s="36">
        <v>0.7</v>
      </c>
      <c r="H581" s="56" cm="1">
        <f t="array" ref="H581:I581">LINEST(E572:E581,D572:D581)</f>
        <v>15.054545454545595</v>
      </c>
      <c r="I581" s="56">
        <v>11.483181818181736</v>
      </c>
      <c r="J581" s="56" cm="1">
        <f t="array" ref="J581:K581">LINEST(E567:E581,D567:D581)</f>
        <v>19.748571428571598</v>
      </c>
      <c r="K581" s="56">
        <v>8.722228571428472</v>
      </c>
      <c r="L581" s="56" cm="1">
        <f t="array" ref="L581:M581">LINEST(E562:E581,D562:D581)</f>
        <v>13.658345864661733</v>
      </c>
      <c r="M581" s="56">
        <v>12.284247368421006</v>
      </c>
      <c r="N581" s="56" cm="1">
        <f t="array" ref="N581:O581">LINEST(E557:E581,D557:D581)</f>
        <v>10.323692307692367</v>
      </c>
      <c r="O581" s="56">
        <v>14.228639999999967</v>
      </c>
      <c r="P581" s="56" cm="1">
        <f t="array" ref="P581:Q581">LINEST(E552:E581,D552:D581)</f>
        <v>8.7905672969966773</v>
      </c>
      <c r="Q581" s="56">
        <v>15.118733555802736</v>
      </c>
      <c r="R581" s="56" cm="1">
        <f t="array" ref="R581:S581">LINEST(F572:F581,D572:D581)</f>
        <v>-71.389090909091166</v>
      </c>
      <c r="S581" s="56">
        <v>42.683769696969847</v>
      </c>
      <c r="T581" s="56" cm="1">
        <f t="array" ref="T581:U581">LINEST(F567:F581,D567:D581)</f>
        <v>-9.3600000000000403</v>
      </c>
      <c r="U581" s="56">
        <v>6.2314333333333565</v>
      </c>
      <c r="V581" s="56" cm="1">
        <f t="array" ref="V581:W581">LINEST(F562:F581,D562:D581)</f>
        <v>-8.9864661654135674</v>
      </c>
      <c r="W581" s="56">
        <v>6.0151578947368609</v>
      </c>
      <c r="X581" s="56" cm="1">
        <f t="array" ref="X581:Y581">LINEST(F557:F581,D557:D581)</f>
        <v>10.572923076923129</v>
      </c>
      <c r="Y581" s="56">
        <v>-5.3933100000000298</v>
      </c>
      <c r="Z581" s="56" cm="1">
        <f t="array" ref="Z581:AA581">LINEST(F552:F581,D552:D581)</f>
        <v>17.127830923248087</v>
      </c>
      <c r="AA581" s="56">
        <v>-9.198683203559531</v>
      </c>
      <c r="AB581" s="37" cm="1">
        <f t="array" ref="AB581:AC581">LINEST(G572:G581,D572:D581)</f>
        <v>-6.8945454545454785</v>
      </c>
      <c r="AC581" s="59">
        <v>4.766884848484862</v>
      </c>
      <c r="AD581" s="37" cm="1">
        <f t="array" ref="AD581:AE581">LINEST(G567:G581,D567:D581)</f>
        <v>6.9171428571428795</v>
      </c>
      <c r="AE581" s="59">
        <v>-3.3547845238095366</v>
      </c>
      <c r="AF581" s="37" cm="1">
        <f t="array" ref="AF581:AG581">LINEST(G562:G581,D562:D581)</f>
        <v>9.8255639097744698</v>
      </c>
      <c r="AG581" s="59">
        <v>-5.0568684210526511</v>
      </c>
      <c r="AH581" s="37" cm="1">
        <f t="array" ref="AH581:AI581">LINEST(G557:G581,D557:D581)</f>
        <v>10.074461538461573</v>
      </c>
      <c r="AI581" s="59">
        <v>-5.2030100000000203</v>
      </c>
      <c r="AJ581" s="37" cm="1">
        <f t="array" ref="AJ581:AK581">LINEST(G552:G581,D552:D581)</f>
        <v>6.8892547274749818</v>
      </c>
      <c r="AK581" s="59">
        <v>-3.3544316648127608</v>
      </c>
    </row>
    <row r="582" spans="1:37" x14ac:dyDescent="0.25">
      <c r="A582" s="61">
        <v>502</v>
      </c>
      <c r="B582" s="14">
        <f t="shared" si="9"/>
        <v>576</v>
      </c>
      <c r="C582" s="15">
        <v>44102</v>
      </c>
      <c r="D582" s="16">
        <v>0.59402777777777771</v>
      </c>
      <c r="E582" s="36">
        <v>20.440000000000001</v>
      </c>
      <c r="F582" s="36">
        <v>0.86</v>
      </c>
      <c r="G582" s="36">
        <v>0.71</v>
      </c>
      <c r="H582" s="56" cm="1">
        <f t="array" ref="H582:I582">LINEST(E573:E582,D573:D582)</f>
        <v>14.792727272727403</v>
      </c>
      <c r="I582" s="56">
        <v>11.640163636363562</v>
      </c>
      <c r="J582" s="56" cm="1">
        <f t="array" ref="J582:K582">LINEST(E568:E582,D568:D582)</f>
        <v>19.671428571428784</v>
      </c>
      <c r="K582" s="56">
        <v>8.7658749999998751</v>
      </c>
      <c r="L582" s="56" cm="1">
        <f t="array" ref="L582:M582">LINEST(E563:E582,D563:D582)</f>
        <v>15.477293233082811</v>
      </c>
      <c r="M582" s="56">
        <v>11.223772180451068</v>
      </c>
      <c r="N582" s="56" cm="1">
        <f t="array" ref="N582:O582">LINEST(E558:E582,D558:D582)</f>
        <v>11.259692307692374</v>
      </c>
      <c r="O582" s="56">
        <v>13.689091538461501</v>
      </c>
      <c r="P582" s="56" cm="1">
        <f t="array" ref="P582:Q582">LINEST(E553:E582,D553:D582)</f>
        <v>9.5289877641824496</v>
      </c>
      <c r="Q582" s="56">
        <v>14.696419799777518</v>
      </c>
      <c r="R582" s="56" cm="1">
        <f t="array" ref="R582:S582">LINEST(F573:F582,D573:D582)</f>
        <v>-9.9927272727273166</v>
      </c>
      <c r="S582" s="56">
        <v>6.5745030303030561</v>
      </c>
      <c r="T582" s="56" cm="1">
        <f t="array" ref="T582:U582">LINEST(F568:F582,D568:D582)</f>
        <v>-2.8028571428571527</v>
      </c>
      <c r="U582" s="56">
        <v>2.4023916666666723</v>
      </c>
      <c r="V582" s="56" cm="1">
        <f t="array" ref="V582:W582">LINEST(F563:F582,D563:D582)</f>
        <v>-2.289924812030081</v>
      </c>
      <c r="W582" s="56">
        <v>2.1135646616541388</v>
      </c>
      <c r="X582" s="56" cm="1">
        <f t="array" ref="X582:Y582">LINEST(F558:F582,D558:D582)</f>
        <v>8.4461538461538801</v>
      </c>
      <c r="Y582" s="56">
        <v>-4.1556807692307887</v>
      </c>
      <c r="Z582" s="56" cm="1">
        <f t="array" ref="Z582:AA582">LINEST(F553:F582,D553:D582)</f>
        <v>16.182780867630751</v>
      </c>
      <c r="AA582" s="56">
        <v>-8.6574514645903147</v>
      </c>
      <c r="AB582" s="37" cm="1">
        <f t="array" ref="AB582:AC582">LINEST(G573:G582,D573:D582)</f>
        <v>-7.1563636363636629</v>
      </c>
      <c r="AC582" s="59">
        <v>4.9283515151515305</v>
      </c>
      <c r="AD582" s="37" cm="1">
        <f t="array" ref="AD582:AE582">LINEST(G568:G582,D568:D582)</f>
        <v>6.1200000000000188</v>
      </c>
      <c r="AE582" s="59">
        <v>-2.8919500000000111</v>
      </c>
      <c r="AF582" s="37" cm="1">
        <f t="array" ref="AF582:AG582">LINEST(G563:G582,D563:D582)</f>
        <v>8.9160902255639414</v>
      </c>
      <c r="AG582" s="59">
        <v>-4.5312624060150561</v>
      </c>
      <c r="AH582" s="37" cm="1">
        <f t="array" ref="AH582:AI582">LINEST(G558:G582,D558:D582)</f>
        <v>9.947076923076958</v>
      </c>
      <c r="AI582" s="59">
        <v>-5.134255384615404</v>
      </c>
      <c r="AJ582" s="37" cm="1">
        <f t="array" ref="AJ582:AK582">LINEST(G553:G582,D553:D582)</f>
        <v>7.5988431590656456</v>
      </c>
      <c r="AK582" s="59">
        <v>-3.7682249907304519</v>
      </c>
    </row>
    <row r="583" spans="1:37" x14ac:dyDescent="0.25">
      <c r="A583" s="61">
        <v>502</v>
      </c>
      <c r="B583" s="14">
        <f t="shared" si="9"/>
        <v>577</v>
      </c>
      <c r="C583" s="15">
        <v>44103</v>
      </c>
      <c r="D583" s="16">
        <v>0.59541666666666659</v>
      </c>
      <c r="E583" s="36">
        <v>20.48</v>
      </c>
      <c r="F583" s="36">
        <v>1.37</v>
      </c>
      <c r="G583" s="36">
        <v>0.76</v>
      </c>
      <c r="H583" s="56" cm="1">
        <f t="array" ref="H583:I583">LINEST(E574:E583,D574:D583)</f>
        <v>15.927272727272763</v>
      </c>
      <c r="I583" s="56">
        <v>10.975181818181799</v>
      </c>
      <c r="J583" s="56" cm="1">
        <f t="array" ref="J583:K583">LINEST(E569:E583,D569:D583)</f>
        <v>19.517142857143046</v>
      </c>
      <c r="K583" s="56">
        <v>8.8569178571427472</v>
      </c>
      <c r="L583" s="56" cm="1">
        <f t="array" ref="L583:M583">LINEST(E564:E583,D564:D583)</f>
        <v>17.382857142857262</v>
      </c>
      <c r="M583" s="56">
        <v>10.109814285714217</v>
      </c>
      <c r="N583" s="56" cm="1">
        <f t="array" ref="N583:O583">LINEST(E559:E583,D559:D583)</f>
        <v>12.25107692307699</v>
      </c>
      <c r="O583" s="56">
        <v>13.116489230769194</v>
      </c>
      <c r="P583" s="56" cm="1">
        <f t="array" ref="P583:Q583">LINEST(E554:E583,D554:D583)</f>
        <v>10.421179087875457</v>
      </c>
      <c r="Q583" s="56">
        <v>14.184260585836089</v>
      </c>
      <c r="R583" s="56" cm="1">
        <f t="array" ref="R583:S583">LINEST(F574:F583,D574:D583)</f>
        <v>34.472727272727397</v>
      </c>
      <c r="S583" s="56">
        <v>-19.580181818181888</v>
      </c>
      <c r="T583" s="56" cm="1">
        <f t="array" ref="T583:U583">LINEST(F569:F583,D569:D583)</f>
        <v>-3.5228571428571667</v>
      </c>
      <c r="U583" s="56">
        <v>2.9059845238095376</v>
      </c>
      <c r="V583" s="56" cm="1">
        <f t="array" ref="V583:W583">LINEST(F564:F583,D564:D583)</f>
        <v>-3.8003007518797118</v>
      </c>
      <c r="W583" s="56">
        <v>3.0586195488721879</v>
      </c>
      <c r="X583" s="56" cm="1">
        <f t="array" ref="X583:Y583">LINEST(F559:F583,D559:D583)</f>
        <v>6.9230769230769535</v>
      </c>
      <c r="Y583" s="56">
        <v>-3.2275307692307869</v>
      </c>
      <c r="Z583" s="56" cm="1">
        <f t="array" ref="Z583:AA583">LINEST(F554:F583,D554:D583)</f>
        <v>19.027541713014525</v>
      </c>
      <c r="AA583" s="56">
        <v>-10.287788579903635</v>
      </c>
      <c r="AB583" s="37" cm="1">
        <f t="array" ref="AB583:AC583">LINEST(G574:G583,D574:D583)</f>
        <v>-3.840000000000015</v>
      </c>
      <c r="AC583" s="59">
        <v>2.9844000000000084</v>
      </c>
      <c r="AD583" s="37" cm="1">
        <f t="array" ref="AD583:AE583">LINEST(G569:G583,D569:D583)</f>
        <v>5.348571428571443</v>
      </c>
      <c r="AE583" s="59">
        <v>-2.4366285714285798</v>
      </c>
      <c r="AF583" s="37" cm="1">
        <f t="array" ref="AF583:AG583">LINEST(G564:G583,D564:D583)</f>
        <v>7.9416541353383741</v>
      </c>
      <c r="AG583" s="59">
        <v>-3.9613075187970095</v>
      </c>
      <c r="AH583" s="37" cm="1">
        <f t="array" ref="AH583:AI583">LINEST(G559:G583,D559:D583)</f>
        <v>9.6646153846154235</v>
      </c>
      <c r="AI583" s="59">
        <v>-4.9713961538461762</v>
      </c>
      <c r="AJ583" s="37" cm="1">
        <f t="array" ref="AJ583:AK583">LINEST(G554:G583,D554:D583)</f>
        <v>8.4622024471635449</v>
      </c>
      <c r="AK583" s="59">
        <v>-4.2704503522432509</v>
      </c>
    </row>
    <row r="584" spans="1:37" x14ac:dyDescent="0.25">
      <c r="A584" s="61">
        <v>502</v>
      </c>
      <c r="B584" s="14">
        <f t="shared" si="9"/>
        <v>578</v>
      </c>
      <c r="C584" s="15">
        <v>44104</v>
      </c>
      <c r="D584" s="16">
        <v>0.59680555555555559</v>
      </c>
      <c r="E584" s="36">
        <v>20.53</v>
      </c>
      <c r="F584" s="36">
        <v>1.3</v>
      </c>
      <c r="G584" s="36">
        <v>0.81</v>
      </c>
      <c r="H584" s="56" cm="1">
        <f t="array" ref="H584:I584">LINEST(E575:E584,D575:D584)</f>
        <v>17.890909090909133</v>
      </c>
      <c r="I584" s="56">
        <v>9.8204242424242203</v>
      </c>
      <c r="J584" s="56" cm="1">
        <f t="array" ref="J584:K584">LINEST(E570:E584,D570:D584)</f>
        <v>19.594285714285864</v>
      </c>
      <c r="K584" s="56">
        <v>8.8145214285713394</v>
      </c>
      <c r="L584" s="56" cm="1">
        <f t="array" ref="L584:M584">LINEST(E565:E584,D565:D584)</f>
        <v>19.889323308270797</v>
      </c>
      <c r="M584" s="56">
        <v>8.6403699248119619</v>
      </c>
      <c r="N584" s="56" cm="1">
        <f t="array" ref="N584:O584">LINEST(E560:E584,D560:D584)</f>
        <v>13.558153846153912</v>
      </c>
      <c r="O584" s="56">
        <v>12.358787692307654</v>
      </c>
      <c r="P584" s="56" cm="1">
        <f t="array" ref="P584:Q584">LINEST(E555:E584,D555:D584)</f>
        <v>11.30856507230261</v>
      </c>
      <c r="Q584" s="56">
        <v>13.674727474972165</v>
      </c>
      <c r="R584" s="56" cm="1">
        <f t="array" ref="R584:S584">LINEST(F575:F584,D575:D584)</f>
        <v>54.458181818181878</v>
      </c>
      <c r="S584" s="56">
        <v>-31.368581818181852</v>
      </c>
      <c r="T584" s="56" cm="1">
        <f t="array" ref="T584:U584">LINEST(F570:F584,D570:D584)</f>
        <v>-2.95714285714278</v>
      </c>
      <c r="U584" s="56">
        <v>2.6340892857142402</v>
      </c>
      <c r="V584" s="56" cm="1">
        <f t="array" ref="V584:W584">LINEST(F565:F584,D565:D584)</f>
        <v>2.8475187969925222</v>
      </c>
      <c r="W584" s="56">
        <v>-0.80184360902258034</v>
      </c>
      <c r="X584" s="56" cm="1">
        <f t="array" ref="X584:Y584">LINEST(F560:F584,D560:D584)</f>
        <v>12.3341538461539</v>
      </c>
      <c r="Y584" s="56">
        <v>-6.3663223076923385</v>
      </c>
      <c r="Z584" s="56" cm="1">
        <f t="array" ref="Z584:AA584">LINEST(F555:F584,D555:D584)</f>
        <v>16.653704115684146</v>
      </c>
      <c r="AA584" s="56">
        <v>-8.8879693733778549</v>
      </c>
      <c r="AB584" s="37" cm="1">
        <f t="array" ref="AB584:AC584">LINEST(G575:G584,D575:D584)</f>
        <v>0.9600000000000527</v>
      </c>
      <c r="AC584" s="59">
        <v>0.16106666666663561</v>
      </c>
      <c r="AD584" s="37" cm="1">
        <f t="array" ref="AD584:AE584">LINEST(G570:G584,D570:D584)</f>
        <v>4.8085714285714447</v>
      </c>
      <c r="AE584" s="59">
        <v>-2.1110321428571526</v>
      </c>
      <c r="AF584" s="37" cm="1">
        <f t="array" ref="AF584:AG584">LINEST(G565:G584,D565:D584)</f>
        <v>7.6114285714285952</v>
      </c>
      <c r="AG584" s="59">
        <v>-3.7641142857142995</v>
      </c>
      <c r="AH584" s="37" cm="1">
        <f t="array" ref="AH584:AI584">LINEST(G560:G584,D560:D584)</f>
        <v>9.8916923076923382</v>
      </c>
      <c r="AI584" s="59">
        <v>-5.1033553846154023</v>
      </c>
      <c r="AJ584" s="37" cm="1">
        <f t="array" ref="AJ584:AK584">LINEST(G555:G584,D555:D584)</f>
        <v>9.1125250278087044</v>
      </c>
      <c r="AK584" s="59">
        <v>-4.6478894327030185</v>
      </c>
    </row>
    <row r="585" spans="1:37" x14ac:dyDescent="0.25">
      <c r="A585" s="61">
        <v>502</v>
      </c>
      <c r="B585" s="14">
        <f t="shared" si="9"/>
        <v>579</v>
      </c>
      <c r="C585" s="15">
        <v>44105</v>
      </c>
      <c r="D585" s="16">
        <v>0.59819444444444447</v>
      </c>
      <c r="E585" s="36">
        <v>20.57</v>
      </c>
      <c r="F585" s="36">
        <v>1.2</v>
      </c>
      <c r="G585" s="36">
        <v>0.84</v>
      </c>
      <c r="H585" s="56" cm="1">
        <f t="array" ref="H585:I585">LINEST(E576:E585,D576:D585)</f>
        <v>20.029090909090904</v>
      </c>
      <c r="I585" s="56">
        <v>8.5588909090909127</v>
      </c>
      <c r="J585" s="56" cm="1">
        <f t="array" ref="J585:K585">LINEST(E571:E585,D571:D585)</f>
        <v>19.2342857142858</v>
      </c>
      <c r="K585" s="56">
        <v>9.0318238095237593</v>
      </c>
      <c r="L585" s="56" cm="1">
        <f t="array" ref="L585:M585">LINEST(E566:E585,D566:D585)</f>
        <v>20.040902255639189</v>
      </c>
      <c r="M585" s="56">
        <v>8.5540721804510742</v>
      </c>
      <c r="N585" s="56" cm="1">
        <f t="array" ref="N585:O585">LINEST(E561:E585,D561:D585)</f>
        <v>14.959384615384687</v>
      </c>
      <c r="O585" s="56">
        <v>11.543902307692264</v>
      </c>
      <c r="P585" s="56" cm="1">
        <f t="array" ref="P585:Q585">LINEST(E556:E585,D556:D585)</f>
        <v>12.122269187986712</v>
      </c>
      <c r="Q585" s="56">
        <v>13.207321616611019</v>
      </c>
      <c r="R585" s="56" cm="1">
        <f t="array" ref="R585:S585">LINEST(F576:F585,D576:D585)</f>
        <v>63.665454545454352</v>
      </c>
      <c r="S585" s="56">
        <v>-36.839412121212</v>
      </c>
      <c r="T585" s="56" cm="1">
        <f t="array" ref="T585:U585">LINEST(F571:F585,D571:D585)</f>
        <v>-12.702857142856969</v>
      </c>
      <c r="U585" s="56">
        <v>8.4426119047618027</v>
      </c>
      <c r="V585" s="56" cm="1">
        <f t="array" ref="V585:W585">LINEST(F566:F585,D566:D585)</f>
        <v>8.1636090225564502</v>
      </c>
      <c r="W585" s="56">
        <v>-3.9067112781955231</v>
      </c>
      <c r="X585" s="56" cm="1">
        <f t="array" ref="X585:Y585">LINEST(F561:F585,D561:D585)</f>
        <v>10.678153846153887</v>
      </c>
      <c r="Y585" s="56">
        <v>-5.3796430769231005</v>
      </c>
      <c r="Z585" s="56" cm="1">
        <f t="array" ref="Z585:AA585">LINEST(F556:F585,D556:D585)</f>
        <v>12.072614015572894</v>
      </c>
      <c r="AA585" s="56">
        <v>-6.2009749351131083</v>
      </c>
      <c r="AB585" s="37" cm="1">
        <f t="array" ref="AB585:AC585">LINEST(G576:G585,D576:D585)</f>
        <v>5.9345454545455052</v>
      </c>
      <c r="AC585" s="59">
        <v>-2.7749212121212419</v>
      </c>
      <c r="AD585" s="37" cm="1">
        <f t="array" ref="AD585:AE585">LINEST(G571:G585,D571:D585)</f>
        <v>3.5742857142857383</v>
      </c>
      <c r="AE585" s="59">
        <v>-1.3713678571428713</v>
      </c>
      <c r="AF585" s="37" cm="1">
        <f t="array" ref="AF585:AG585">LINEST(G566:G585,D566:D585)</f>
        <v>7.708872180451146</v>
      </c>
      <c r="AG585" s="59">
        <v>-3.8166902255639203</v>
      </c>
      <c r="AH585" s="37" cm="1">
        <f t="array" ref="AH585:AI585">LINEST(G561:G585,D561:D585)</f>
        <v>9.9913846153846357</v>
      </c>
      <c r="AI585" s="59">
        <v>-5.1598676923077038</v>
      </c>
      <c r="AJ585" s="37" cm="1">
        <f t="array" ref="AJ585:AK585">LINEST(G556:G585,D556:D585)</f>
        <v>9.365606229143518</v>
      </c>
      <c r="AK585" s="59">
        <v>-4.7935073785687949</v>
      </c>
    </row>
    <row r="586" spans="1:37" x14ac:dyDescent="0.25">
      <c r="A586" s="61">
        <v>502</v>
      </c>
      <c r="B586" s="14">
        <f t="shared" si="9"/>
        <v>580</v>
      </c>
      <c r="C586" s="15">
        <v>44106</v>
      </c>
      <c r="D586" s="16">
        <v>0.59958333333333336</v>
      </c>
      <c r="E586" s="36">
        <v>20.61</v>
      </c>
      <c r="F586" s="36">
        <v>1.45</v>
      </c>
      <c r="G586" s="36">
        <v>0.88</v>
      </c>
      <c r="H586" s="56" cm="1">
        <f t="array" ref="H586:I586">LINEST(E577:E586,D577:D586)</f>
        <v>22.647272727272522</v>
      </c>
      <c r="I586" s="56">
        <v>7.0076181818183052</v>
      </c>
      <c r="J586" s="56" cm="1">
        <f t="array" ref="J586:K586">LINEST(E572:E586,D572:D586)</f>
        <v>19.362857142857159</v>
      </c>
      <c r="K586" s="56">
        <v>8.9612702380952314</v>
      </c>
      <c r="L586" s="56" cm="1">
        <f t="array" ref="L586:M586">LINEST(E567:E586,D567:D586)</f>
        <v>20.636390977443686</v>
      </c>
      <c r="M586" s="56">
        <v>8.2060496240601086</v>
      </c>
      <c r="N586" s="56" cm="1">
        <f t="array" ref="N586:O586">LINEST(E562:E586,D562:D586)</f>
        <v>16.2941538461539</v>
      </c>
      <c r="O586" s="56">
        <v>10.765866153846122</v>
      </c>
      <c r="P586" s="56" cm="1">
        <f t="array" ref="P586:Q586">LINEST(E557:E586,D557:D586)</f>
        <v>13.141001112347112</v>
      </c>
      <c r="Q586" s="56">
        <v>12.618853244345539</v>
      </c>
      <c r="R586" s="56" cm="1">
        <f t="array" ref="R586:S586">LINEST(F577:F586,D577:D586)</f>
        <v>92.290909090908414</v>
      </c>
      <c r="S586" s="56">
        <v>-53.86227272727232</v>
      </c>
      <c r="T586" s="56" cm="1">
        <f t="array" ref="T586:U586">LINEST(F572:F586,D572:D586)</f>
        <v>8.177142857143032</v>
      </c>
      <c r="U586" s="56">
        <v>-3.8633785714286741</v>
      </c>
      <c r="V586" s="56" cm="1">
        <f t="array" ref="V586:W586">LINEST(F567:F586,D567:D586)</f>
        <v>15.856240601503819</v>
      </c>
      <c r="W586" s="56">
        <v>-8.4074233082707117</v>
      </c>
      <c r="X586" s="56" cm="1">
        <f t="array" ref="X586:Y586">LINEST(F562:F586,D562:D586)</f>
        <v>7.8147692307692873</v>
      </c>
      <c r="Y586" s="56">
        <v>-3.6617592307692632</v>
      </c>
      <c r="Z586" s="56" cm="1">
        <f t="array" ref="Z586:AA586">LINEST(F557:F586,D557:D586)</f>
        <v>17.243159065628532</v>
      </c>
      <c r="AA586" s="56">
        <v>-9.2051193919169769</v>
      </c>
      <c r="AB586" s="37" cm="1">
        <f t="array" ref="AB586:AC586">LINEST(G577:G586,D577:D586)</f>
        <v>12.567272727272712</v>
      </c>
      <c r="AC586" s="59">
        <v>-6.7065818181818084</v>
      </c>
      <c r="AD586" s="37" cm="1">
        <f t="array" ref="AD586:AE586">LINEST(G572:G586,D572:D586)</f>
        <v>3.9342857142857466</v>
      </c>
      <c r="AE586" s="59">
        <v>-1.5713488095238284</v>
      </c>
      <c r="AF586" s="37" cm="1">
        <f t="array" ref="AF586:AG586">LINEST(G567:G586,D567:D586)</f>
        <v>8.3476691729323456</v>
      </c>
      <c r="AG586" s="59">
        <v>-4.1869804511278277</v>
      </c>
      <c r="AH586" s="37" cm="1">
        <f t="array" ref="AH586:AI586">LINEST(G562:G586,D562:D586)</f>
        <v>9.7864615384615572</v>
      </c>
      <c r="AI586" s="59">
        <v>-5.0354915384615495</v>
      </c>
      <c r="AJ586" s="37" cm="1">
        <f t="array" ref="AJ586:AK586">LINEST(G557:G586,D557:D586)</f>
        <v>9.9742825361513034</v>
      </c>
      <c r="AK586" s="59">
        <v>-5.146542602892116</v>
      </c>
    </row>
    <row r="587" spans="1:37" x14ac:dyDescent="0.25">
      <c r="A587" s="61">
        <v>502</v>
      </c>
      <c r="B587" s="14">
        <f t="shared" si="9"/>
        <v>581</v>
      </c>
      <c r="C587" s="15">
        <v>44107</v>
      </c>
      <c r="D587" s="16">
        <v>0.60097222222222224</v>
      </c>
      <c r="E587" s="36">
        <v>20.64</v>
      </c>
      <c r="F587" s="36">
        <v>0.8</v>
      </c>
      <c r="G587" s="36">
        <v>0.88</v>
      </c>
      <c r="H587" s="56" cm="1">
        <f t="array" ref="H587:I587">LINEST(E578:E587,D578:D587)</f>
        <v>25.745454545454301</v>
      </c>
      <c r="I587" s="56">
        <v>5.1626060606062083</v>
      </c>
      <c r="J587" s="56" cm="1">
        <f t="array" ref="J587:K587">LINEST(E573:E587,D573:D587)</f>
        <v>20.237142857142839</v>
      </c>
      <c r="K587" s="56">
        <v>8.4467892857142974</v>
      </c>
      <c r="L587" s="56" cm="1">
        <f t="array" ref="L587:M587">LINEST(E568:E587,D568:D587)</f>
        <v>21.139849624060233</v>
      </c>
      <c r="M587" s="56">
        <v>7.910966165413484</v>
      </c>
      <c r="N587" s="56" cm="1">
        <f t="array" ref="N587:O587">LINEST(E563:E587,D563:D587)</f>
        <v>17.900307692307759</v>
      </c>
      <c r="O587" s="56">
        <v>9.8247507692307288</v>
      </c>
      <c r="P587" s="56" cm="1">
        <f t="array" ref="P587:Q587">LINEST(E558:E587,D558:D587)</f>
        <v>14.16934371523921</v>
      </c>
      <c r="Q587" s="56">
        <v>12.022639525398558</v>
      </c>
      <c r="R587" s="56" cm="1">
        <f t="array" ref="R587:S587">LINEST(F578:F587,D578:D587)</f>
        <v>94.385454545453527</v>
      </c>
      <c r="S587" s="56">
        <v>-55.258127272726661</v>
      </c>
      <c r="T587" s="56" cm="1">
        <f t="array" ref="T587:U587">LINEST(F573:F587,D573:D587)</f>
        <v>28.131428571428582</v>
      </c>
      <c r="U587" s="56">
        <v>-15.757373809523813</v>
      </c>
      <c r="V587" s="56" cm="1">
        <f t="array" ref="V587:W587">LINEST(F568:F587,D568:D587)</f>
        <v>16.397593984962452</v>
      </c>
      <c r="W587" s="56">
        <v>-8.758641353383485</v>
      </c>
      <c r="X587" s="56" cm="1">
        <f t="array" ref="X587:Y587">LINEST(F563:F587,D563:D587)</f>
        <v>10.478769230769279</v>
      </c>
      <c r="Y587" s="56">
        <v>-5.2512030769231046</v>
      </c>
      <c r="Z587" s="56" cm="1">
        <f t="array" ref="Z587:AA587">LINEST(F558:F587,D558:D587)</f>
        <v>14.643470522803153</v>
      </c>
      <c r="AA587" s="56">
        <v>-7.7007491286614966</v>
      </c>
      <c r="AB587" s="37" cm="1">
        <f t="array" ref="AB587:AC587">LINEST(G578:G587,D578:D587)</f>
        <v>19.112727272727156</v>
      </c>
      <c r="AC587" s="59">
        <v>-10.606763636363565</v>
      </c>
      <c r="AD587" s="37" cm="1">
        <f t="array" ref="AD587:AE587">LINEST(G573:G587,D573:D587)</f>
        <v>5.8885714285714528</v>
      </c>
      <c r="AE587" s="59">
        <v>-2.7222845238095377</v>
      </c>
      <c r="AF587" s="37" cm="1">
        <f t="array" ref="AF587:AG587">LINEST(G568:G587,D568:D587)</f>
        <v>9.0027067669173029</v>
      </c>
      <c r="AG587" s="59">
        <v>-4.5700909774436145</v>
      </c>
      <c r="AH587" s="37" cm="1">
        <f t="array" ref="AH587:AI587">LINEST(G563:G587,D563:D587)</f>
        <v>9.897230769230779</v>
      </c>
      <c r="AI587" s="59">
        <v>-5.098206923076928</v>
      </c>
      <c r="AJ587" s="37" cm="1">
        <f t="array" ref="AJ587:AK587">LINEST(G558:G587,D558:D587)</f>
        <v>10.361913236929947</v>
      </c>
      <c r="AK587" s="59">
        <v>-5.3722112717834776</v>
      </c>
    </row>
    <row r="588" spans="1:37" x14ac:dyDescent="0.25">
      <c r="A588" s="61">
        <v>502</v>
      </c>
      <c r="B588" s="14">
        <f t="shared" si="9"/>
        <v>582</v>
      </c>
      <c r="C588" s="15">
        <v>44108</v>
      </c>
      <c r="D588" s="16">
        <v>0.60236111111111112</v>
      </c>
      <c r="E588" s="36">
        <v>20.71</v>
      </c>
      <c r="F588" s="36">
        <v>2.09</v>
      </c>
      <c r="G588" s="36">
        <v>0.97</v>
      </c>
      <c r="H588" s="56" cm="1">
        <f t="array" ref="H588:I588">LINEST(E579:E588,D579:D588)</f>
        <v>29.061818181817941</v>
      </c>
      <c r="I588" s="56">
        <v>3.1859272727274153</v>
      </c>
      <c r="J588" s="56" cm="1">
        <f t="array" ref="J588:K588">LINEST(E574:E588,D574:D588)</f>
        <v>22.062857142857048</v>
      </c>
      <c r="K588" s="56">
        <v>7.3680261904762432</v>
      </c>
      <c r="L588" s="56" cm="1">
        <f t="array" ref="L588:M588">LINEST(E569:E588,D569:D588)</f>
        <v>21.838195488721865</v>
      </c>
      <c r="M588" s="56">
        <v>7.5026631578947018</v>
      </c>
      <c r="N588" s="56" cm="1">
        <f t="array" ref="N588:O588">LINEST(E564:E588,D564:D588)</f>
        <v>19.694769230769293</v>
      </c>
      <c r="O588" s="56">
        <v>8.7716830769230398</v>
      </c>
      <c r="P588" s="56" cm="1">
        <f t="array" ref="P588:Q588">LINEST(E559:E588,D559:D588)</f>
        <v>15.337041156840986</v>
      </c>
      <c r="Q588" s="56">
        <v>11.344767148683696</v>
      </c>
      <c r="R588" s="56" cm="1">
        <f t="array" ref="R588:S588">LINEST(F579:F588,D579:D588)</f>
        <v>102.98181818181706</v>
      </c>
      <c r="S588" s="56">
        <v>-60.31060606060538</v>
      </c>
      <c r="T588" s="56" cm="1">
        <f t="array" ref="T588:U588">LINEST(F574:F588,D574:D588)</f>
        <v>54.20571428571413</v>
      </c>
      <c r="U588" s="56">
        <v>-31.181747619047528</v>
      </c>
      <c r="V588" s="56" cm="1">
        <f t="array" ref="V588:W588">LINEST(F569:F588,D569:D588)</f>
        <v>21.123609022556451</v>
      </c>
      <c r="W588" s="56">
        <v>-11.471326315789508</v>
      </c>
      <c r="X588" s="56" cm="1">
        <f t="array" ref="X588:Y588">LINEST(F564:F588,D564:D588)</f>
        <v>13.164923076923136</v>
      </c>
      <c r="Y588" s="56">
        <v>-6.7602223076923416</v>
      </c>
      <c r="Z588" s="56" cm="1">
        <f t="array" ref="Z588:AA588">LINEST(F559:F588,D559:D588)</f>
        <v>16.171568409343759</v>
      </c>
      <c r="AA588" s="56">
        <v>-8.5381131627734792</v>
      </c>
      <c r="AB588" s="37" cm="1">
        <f t="array" ref="AB588:AC588">LINEST(G579:G588,D579:D588)</f>
        <v>25.439999999999788</v>
      </c>
      <c r="AC588" s="59">
        <v>-14.380066666666538</v>
      </c>
      <c r="AD588" s="37" cm="1">
        <f t="array" ref="AD588:AE588">LINEST(G574:G588,D574:D588)</f>
        <v>9.6942857142857157</v>
      </c>
      <c r="AE588" s="59">
        <v>-4.9718773809523817</v>
      </c>
      <c r="AF588" s="37" cm="1">
        <f t="array" ref="AF588:AG588">LINEST(G569:G588,D569:D588)</f>
        <v>9.9500751879699294</v>
      </c>
      <c r="AG588" s="59">
        <v>-5.1212526315789493</v>
      </c>
      <c r="AH588" s="37" cm="1">
        <f t="array" ref="AH588:AI588">LINEST(G564:G588,D564:D588)</f>
        <v>10.174153846153859</v>
      </c>
      <c r="AI588" s="59">
        <v>-5.2537453846153923</v>
      </c>
      <c r="AJ588" s="37" cm="1">
        <f t="array" ref="AJ588:AK588">LINEST(G559:G588,D559:D588)</f>
        <v>10.791190211345961</v>
      </c>
      <c r="AK588" s="59">
        <v>-5.6185374119392053</v>
      </c>
    </row>
    <row r="589" spans="1:37" x14ac:dyDescent="0.25">
      <c r="A589" s="61">
        <v>502</v>
      </c>
      <c r="B589" s="14">
        <f t="shared" si="9"/>
        <v>583</v>
      </c>
      <c r="C589" s="15">
        <v>44109</v>
      </c>
      <c r="D589" s="16">
        <v>0.60375000000000001</v>
      </c>
      <c r="E589" s="36">
        <v>20.72</v>
      </c>
      <c r="F589" s="36">
        <v>0.23</v>
      </c>
      <c r="G589" s="36">
        <v>0.91</v>
      </c>
      <c r="H589" s="56" cm="1">
        <f t="array" ref="H589:I589">LINEST(E580:E589,D580:D589)</f>
        <v>29.149090909090585</v>
      </c>
      <c r="I589" s="56">
        <v>3.1314181818183791</v>
      </c>
      <c r="J589" s="56" cm="1">
        <f t="array" ref="J589:K589">LINEST(E575:E589,D575:D589)</f>
        <v>23.271428571428459</v>
      </c>
      <c r="K589" s="56">
        <v>6.6501250000000685</v>
      </c>
      <c r="L589" s="56" cm="1">
        <f t="array" ref="L589:M589">LINEST(E570:E589,D570:D589)</f>
        <v>22.163007518796999</v>
      </c>
      <c r="M589" s="56">
        <v>7.3125127819548847</v>
      </c>
      <c r="N589" s="56" cm="1">
        <f t="array" ref="N589:O589">LINEST(E565:E589,D565:D589)</f>
        <v>21.528000000000034</v>
      </c>
      <c r="O589" s="56">
        <v>7.6896699999999836</v>
      </c>
      <c r="P589" s="56" cm="1">
        <f t="array" ref="P589:Q589">LINEST(E560:E589,D560:D589)</f>
        <v>16.491924360400475</v>
      </c>
      <c r="Q589" s="56">
        <v>10.670463032999615</v>
      </c>
      <c r="R589" s="56" cm="1">
        <f t="array" ref="R589:S589">LINEST(F580:F589,D580:D589)</f>
        <v>6.4145454545455465</v>
      </c>
      <c r="S589" s="56">
        <v>-2.7076909090909633</v>
      </c>
      <c r="T589" s="56" cm="1">
        <f t="array" ref="T589:U589">LINEST(F575:F589,D575:D589)</f>
        <v>35.974285714285621</v>
      </c>
      <c r="U589" s="56">
        <v>-20.457058333333276</v>
      </c>
      <c r="V589" s="56" cm="1">
        <f t="array" ref="V589:W589">LINEST(F570:F589,D570:D589)</f>
        <v>7.7413533834587138</v>
      </c>
      <c r="W589" s="56">
        <v>-3.6096992481203403</v>
      </c>
      <c r="X589" s="56" cm="1">
        <f t="array" ref="X589:Y589">LINEST(F565:F589,D565:D589)</f>
        <v>8.8781538461538805</v>
      </c>
      <c r="Y589" s="56">
        <v>-4.2934161538461737</v>
      </c>
      <c r="Z589" s="56" cm="1">
        <f t="array" ref="Z589:AA589">LINEST(F560:F589,D560:D589)</f>
        <v>14.021979977753093</v>
      </c>
      <c r="AA589" s="56">
        <v>-7.3333833147942364</v>
      </c>
      <c r="AB589" s="37" cm="1">
        <f t="array" ref="AB589:AC589">LINEST(G580:G589,D580:D589)</f>
        <v>23.869090909090733</v>
      </c>
      <c r="AC589" s="59">
        <v>-13.450781818181712</v>
      </c>
      <c r="AD589" s="37" cm="1">
        <f t="array" ref="AD589:AE589">LINEST(G575:G589,D575:D589)</f>
        <v>11.674285714285697</v>
      </c>
      <c r="AE589" s="59">
        <v>-6.1508499999999886</v>
      </c>
      <c r="AF589" s="37" cm="1">
        <f t="array" ref="AF589:AG589">LINEST(G570:G589,D570:D589)</f>
        <v>9.7443609022556394</v>
      </c>
      <c r="AG589" s="59">
        <v>-4.9965864661654136</v>
      </c>
      <c r="AH589" s="37" cm="1">
        <f t="array" ref="AH589:AI589">LINEST(G565:G589,D565:D589)</f>
        <v>10.05784615384616</v>
      </c>
      <c r="AI589" s="59">
        <v>-5.1831938461538503</v>
      </c>
      <c r="AJ589" s="37" cm="1">
        <f t="array" ref="AJ589:AK589">LINEST(G560:G589,D560:D589)</f>
        <v>11.01704115684095</v>
      </c>
      <c r="AK589" s="59">
        <v>-5.7510009640341222</v>
      </c>
    </row>
    <row r="590" spans="1:37" x14ac:dyDescent="0.25">
      <c r="A590" s="61">
        <v>502</v>
      </c>
      <c r="B590" s="14">
        <f t="shared" ref="B590:B601" si="10">B589+1</f>
        <v>584</v>
      </c>
      <c r="C590" s="15">
        <v>44110</v>
      </c>
      <c r="D590" s="16">
        <v>0.60513888888888889</v>
      </c>
      <c r="E590" s="36">
        <v>20.77</v>
      </c>
      <c r="F590" s="36">
        <v>1.59</v>
      </c>
      <c r="G590" s="36">
        <v>0.97</v>
      </c>
      <c r="H590" s="56" cm="1">
        <f t="array" ref="H590:I590">LINEST(E581:E590,D581:D590)</f>
        <v>29.323636363636069</v>
      </c>
      <c r="I590" s="56">
        <v>3.0264000000001801</v>
      </c>
      <c r="J590" s="56" cm="1">
        <f t="array" ref="J590:K590">LINEST(E576:E590,D576:D590)</f>
        <v>24.608571428571292</v>
      </c>
      <c r="K590" s="56">
        <v>5.8543130952381723</v>
      </c>
      <c r="L590" s="56" cm="1">
        <f t="array" ref="L590:M590">LINEST(E571:E590,D571:D590)</f>
        <v>22.309172932330796</v>
      </c>
      <c r="M590" s="56">
        <v>7.2297090225564116</v>
      </c>
      <c r="N590" s="56" cm="1">
        <f t="array" ref="N590:O590">LINEST(E566:E590,D566:D590)</f>
        <v>21.882461538461559</v>
      </c>
      <c r="O590" s="56">
        <v>7.4831792307692186</v>
      </c>
      <c r="P590" s="56" cm="1">
        <f t="array" ref="P590:Q590">LINEST(E561:E590,D561:D590)</f>
        <v>17.726896551724177</v>
      </c>
      <c r="Q590" s="56">
        <v>9.9474321839080186</v>
      </c>
      <c r="R590" s="56" cm="1">
        <f t="array" ref="R590:S590">LINEST(F581:F590,D581:D590)</f>
        <v>4.7563636363636785</v>
      </c>
      <c r="S590" s="56">
        <v>-1.6355333333333579</v>
      </c>
      <c r="T590" s="56" cm="1">
        <f t="array" ref="T590:U590">LINEST(F576:F590,D576:D590)</f>
        <v>42.762857142856987</v>
      </c>
      <c r="U590" s="56">
        <v>-24.486384523809427</v>
      </c>
      <c r="V590" s="56" cm="1">
        <f t="array" ref="V590:W590">LINEST(F571:F590,D571:D590)</f>
        <v>5.083308270676766</v>
      </c>
      <c r="W590" s="56">
        <v>-1.9755360902256076</v>
      </c>
      <c r="X590" s="56" cm="1">
        <f t="array" ref="X590:Y590">LINEST(F566:F590,D566:D590)</f>
        <v>14.067692307692342</v>
      </c>
      <c r="Y590" s="56">
        <v>-7.3368461538461736</v>
      </c>
      <c r="Z590" s="56" cm="1">
        <f t="array" ref="Z590:AA590">LINEST(F561:F590,D561:D590)</f>
        <v>14.132502780867659</v>
      </c>
      <c r="AA590" s="56">
        <v>-7.3705141268075813</v>
      </c>
      <c r="AB590" s="37" cm="1">
        <f t="array" ref="AB590:AC590">LINEST(G581:G590,D581:D590)</f>
        <v>22.385454545454426</v>
      </c>
      <c r="AC590" s="59">
        <v>-12.563399999999927</v>
      </c>
      <c r="AD590" s="37" cm="1">
        <f t="array" ref="AD590:AE590">LINEST(G576:G590,D576:D590)</f>
        <v>14.117142857142818</v>
      </c>
      <c r="AE590" s="59">
        <v>-7.6062488095237857</v>
      </c>
      <c r="AF590" s="37" cm="1">
        <f t="array" ref="AF590:AG590">LINEST(G571:G590,D571:D590)</f>
        <v>9.4466165413533822</v>
      </c>
      <c r="AG590" s="59">
        <v>-4.8123721804511259</v>
      </c>
      <c r="AH590" s="37" cm="1">
        <f t="array" ref="AH590:AI590">LINEST(G566:G590,D566:D590)</f>
        <v>10.401230769230772</v>
      </c>
      <c r="AI590" s="59">
        <v>-5.382035384615385</v>
      </c>
      <c r="AJ590" s="37" cm="1">
        <f t="array" ref="AJ590:AK590">LINEST(G561:G590,D561:D590)</f>
        <v>11.284538375973314</v>
      </c>
      <c r="AK590" s="59">
        <v>-5.9057882832777224</v>
      </c>
    </row>
    <row r="591" spans="1:37" x14ac:dyDescent="0.25">
      <c r="A591" s="61">
        <v>502</v>
      </c>
      <c r="B591" s="14">
        <f t="shared" si="10"/>
        <v>585</v>
      </c>
      <c r="C591" s="15">
        <v>44111</v>
      </c>
      <c r="D591" s="16">
        <v>0.60652777777777778</v>
      </c>
      <c r="E591" s="36">
        <v>20.84</v>
      </c>
      <c r="F591" s="36">
        <v>1.96</v>
      </c>
      <c r="G591" s="36">
        <v>1.05</v>
      </c>
      <c r="H591" s="56" cm="1">
        <f t="array" ref="H591:I591">LINEST(E582:E591,D582:D591)</f>
        <v>30.67636363636338</v>
      </c>
      <c r="I591" s="56">
        <v>2.216660606060767</v>
      </c>
      <c r="J591" s="56" cm="1">
        <f t="array" ref="J591:K591">LINEST(E577:E591,D577:D591)</f>
        <v>26.562857142856952</v>
      </c>
      <c r="K591" s="56">
        <v>4.6891392857143934</v>
      </c>
      <c r="L591" s="56" cm="1">
        <f t="array" ref="L591:M591">LINEST(E572:E591,D572:D591)</f>
        <v>22.996691729323253</v>
      </c>
      <c r="M591" s="56">
        <v>6.8262962406015326</v>
      </c>
      <c r="N591" s="56" cm="1">
        <f t="array" ref="N591:O591">LINEST(E567:E591,D567:D591)</f>
        <v>22.691076923076938</v>
      </c>
      <c r="O591" s="56">
        <v>7.0082161538461456</v>
      </c>
      <c r="P591" s="56" cm="1">
        <f t="array" ref="P591:Q591">LINEST(E562:E591,D562:D591)</f>
        <v>19.022736373748636</v>
      </c>
      <c r="Q591" s="56">
        <v>9.1879454208379574</v>
      </c>
      <c r="R591" s="56" cm="1">
        <f t="array" ref="R591:S591">LINEST(F582:F591,D582:D591)</f>
        <v>35.389090909090726</v>
      </c>
      <c r="S591" s="56">
        <v>-19.958284848484734</v>
      </c>
      <c r="T591" s="56" cm="1">
        <f t="array" ref="T591:U591">LINEST(F577:F591,D577:D591)</f>
        <v>59.965714285714043</v>
      </c>
      <c r="U591" s="56">
        <v>-34.745204761904617</v>
      </c>
      <c r="V591" s="56" cm="1">
        <f t="array" ref="V591:W591">LINEST(F572:F591,D572:D591)</f>
        <v>20.598496240601527</v>
      </c>
      <c r="W591" s="56">
        <v>-11.168274436090242</v>
      </c>
      <c r="X591" s="56" cm="1">
        <f t="array" ref="X591:Y591">LINEST(F567:F591,D567:D591)</f>
        <v>21.400615384615403</v>
      </c>
      <c r="Y591" s="56">
        <v>-11.64419076923078</v>
      </c>
      <c r="Z591" s="56" cm="1">
        <f t="array" ref="Z591:AA591">LINEST(F562:F591,D562:D591)</f>
        <v>13.921067853170221</v>
      </c>
      <c r="AA591" s="56">
        <v>-7.1961595105673144</v>
      </c>
      <c r="AB591" s="37" cm="1">
        <f t="array" ref="AB591:AC591">LINEST(G582:G591,D582:D591)</f>
        <v>23.650909090909011</v>
      </c>
      <c r="AC591" s="59">
        <v>-13.319115151515101</v>
      </c>
      <c r="AD591" s="37" cm="1">
        <f t="array" ref="AD591:AE591">LINEST(G577:G591,D577:D591)</f>
        <v>17.819999999999936</v>
      </c>
      <c r="AE591" s="59">
        <v>-9.8164083333332961</v>
      </c>
      <c r="AF591" s="37" cm="1">
        <f t="array" ref="AF591:AG591">LINEST(G572:G591,D572:D591)</f>
        <v>10.415639097744355</v>
      </c>
      <c r="AG591" s="59">
        <v>-5.3789458646616515</v>
      </c>
      <c r="AH591" s="37" cm="1">
        <f t="array" ref="AH591:AI591">LINEST(G567:G591,D567:D591)</f>
        <v>11.326153846153847</v>
      </c>
      <c r="AI591" s="59">
        <v>-5.9232576923076934</v>
      </c>
      <c r="AJ591" s="37" cm="1">
        <f t="array" ref="AJ591:AK591">LINEST(G562:G591,D562:D591)</f>
        <v>11.511991101223593</v>
      </c>
      <c r="AK591" s="59">
        <v>-6.0335036707452794</v>
      </c>
    </row>
    <row r="592" spans="1:37" x14ac:dyDescent="0.25">
      <c r="A592" s="61">
        <v>502</v>
      </c>
      <c r="B592" s="14">
        <f t="shared" si="10"/>
        <v>586</v>
      </c>
      <c r="C592" s="15">
        <v>44112</v>
      </c>
      <c r="D592" s="16">
        <v>0.60791666666666666</v>
      </c>
      <c r="E592" s="36">
        <v>20.85</v>
      </c>
      <c r="F592" s="36">
        <v>0.38</v>
      </c>
      <c r="G592" s="36">
        <v>0.99</v>
      </c>
      <c r="H592" s="56" cm="1">
        <f t="array" ref="H592:I592">LINEST(E583:E592,D583:D592)</f>
        <v>30.109090909090867</v>
      </c>
      <c r="I592" s="56">
        <v>2.5563636363636597</v>
      </c>
      <c r="J592" s="56" cm="1">
        <f t="array" ref="J592:K592">LINEST(E578:E592,D578:D592)</f>
        <v>28.157142857142706</v>
      </c>
      <c r="K592" s="56">
        <v>3.7318869047619962</v>
      </c>
      <c r="L592" s="56" cm="1">
        <f t="array" ref="L592:M592">LINEST(E573:E592,D573:D592)</f>
        <v>23.814135338345807</v>
      </c>
      <c r="M592" s="56">
        <v>6.340704511278231</v>
      </c>
      <c r="N592" s="56" cm="1">
        <f t="array" ref="N592:O592">LINEST(E568:E592,D568:D592)</f>
        <v>23.261538461538489</v>
      </c>
      <c r="O592" s="56">
        <v>6.6714153846153668</v>
      </c>
      <c r="P592" s="56" cm="1">
        <f t="array" ref="P592:Q592">LINEST(E563:E592,D563:D592)</f>
        <v>20.373036707452762</v>
      </c>
      <c r="Q592" s="56">
        <v>8.3915150908416525</v>
      </c>
      <c r="R592" s="56" cm="1">
        <f t="array" ref="R592:S592">LINEST(F583:F592,D583:D592)</f>
        <v>-20.552727272727264</v>
      </c>
      <c r="S592" s="56">
        <v>13.602890909090906</v>
      </c>
      <c r="T592" s="56" cm="1">
        <f t="array" ref="T592:U592">LINEST(F578:F592,D578:D592)</f>
        <v>47.571428571428427</v>
      </c>
      <c r="U592" s="56">
        <v>-27.456964285714196</v>
      </c>
      <c r="V592" s="56" cm="1">
        <f t="array" ref="V592:W592">LINEST(F573:F592,D573:D592)</f>
        <v>25.227067669172925</v>
      </c>
      <c r="W592" s="56">
        <v>-14.034097744360897</v>
      </c>
      <c r="X592" s="56" cm="1">
        <f t="array" ref="X592:Y592">LINEST(F568:F592,D568:D592)</f>
        <v>17.712000000000018</v>
      </c>
      <c r="Y592" s="56">
        <v>-9.5186200000000092</v>
      </c>
      <c r="Z592" s="56" cm="1">
        <f t="array" ref="Z592:AA592">LINEST(F563:F592,D563:D592)</f>
        <v>13.096151279199132</v>
      </c>
      <c r="AA592" s="56">
        <v>-6.7629600296626018</v>
      </c>
      <c r="AB592" s="37" cm="1">
        <f t="array" ref="AB592:AC592">LINEST(G583:G592,D583:D592)</f>
        <v>19.985454545454548</v>
      </c>
      <c r="AC592" s="59">
        <v>-11.118581818181822</v>
      </c>
      <c r="AD592" s="37" cm="1">
        <f t="array" ref="AD592:AE592">LINEST(G578:G592,D578:D592)</f>
        <v>20.108571428571356</v>
      </c>
      <c r="AE592" s="59">
        <v>-11.196169047619003</v>
      </c>
      <c r="AF592" s="37" cm="1">
        <f t="array" ref="AF592:AG592">LINEST(G573:G592,D573:D592)</f>
        <v>11.552481203007508</v>
      </c>
      <c r="AG592" s="59">
        <v>-6.0565172932330755</v>
      </c>
      <c r="AH592" s="37" cm="1">
        <f t="array" ref="AH592:AI592">LINEST(G568:G592,D568:D592)</f>
        <v>11.808000000000002</v>
      </c>
      <c r="AI592" s="59">
        <v>-6.2086800000000002</v>
      </c>
      <c r="AJ592" s="37" cm="1">
        <f t="array" ref="AJ592:AK592">LINEST(G563:G592,D563:D592)</f>
        <v>11.65294771968855</v>
      </c>
      <c r="AK592" s="59">
        <v>-6.1156770485724934</v>
      </c>
    </row>
    <row r="593" spans="1:37" x14ac:dyDescent="0.25">
      <c r="A593" s="61">
        <v>502</v>
      </c>
      <c r="B593" s="14">
        <f t="shared" si="10"/>
        <v>587</v>
      </c>
      <c r="C593" s="15">
        <v>44113</v>
      </c>
      <c r="D593" s="16">
        <v>0.60930555555555554</v>
      </c>
      <c r="E593" s="36">
        <v>20.92</v>
      </c>
      <c r="F593" s="36">
        <v>2.27</v>
      </c>
      <c r="G593" s="36">
        <v>1.0900000000000001</v>
      </c>
      <c r="H593" s="56" cm="1">
        <f t="array" ref="H593:I593">LINEST(E584:E593,D584:D593)</f>
        <v>30.632727272727418</v>
      </c>
      <c r="I593" s="56">
        <v>2.2427636363635486</v>
      </c>
      <c r="J593" s="56" cm="1">
        <f t="array" ref="J593:K593">LINEST(E579:E593,D579:D593)</f>
        <v>29.725714285714187</v>
      </c>
      <c r="K593" s="56">
        <v>2.7902904761905383</v>
      </c>
      <c r="L593" s="56" cm="1">
        <f t="array" ref="L593:M593">LINEST(E574:E593,D574:D593)</f>
        <v>25.102556390977369</v>
      </c>
      <c r="M593" s="56">
        <v>5.5735872180451551</v>
      </c>
      <c r="N593" s="56" cm="1">
        <f t="array" ref="N593:O593">LINEST(E569:E593,D569:D593)</f>
        <v>23.926153846153866</v>
      </c>
      <c r="O593" s="56">
        <v>6.2796307692307582</v>
      </c>
      <c r="P593" s="56" cm="1">
        <f t="array" ref="P593:Q593">LINEST(E564:E593,D564:D593)</f>
        <v>21.82104560622918</v>
      </c>
      <c r="Q593" s="56">
        <v>7.5361006303299725</v>
      </c>
      <c r="R593" s="56" cm="1">
        <f t="array" ref="R593:S593">LINEST(F584:F593,D584:D593)</f>
        <v>26.400000000000102</v>
      </c>
      <c r="S593" s="56">
        <v>-14.593666666666728</v>
      </c>
      <c r="T593" s="56" cm="1">
        <f t="array" ref="T593:U593">LINEST(F579:F593,D579:D593)</f>
        <v>51.094285714285554</v>
      </c>
      <c r="U593" s="56">
        <v>-29.487948809523715</v>
      </c>
      <c r="V593" s="56" cm="1">
        <f t="array" ref="V593:W593">LINEST(F574:F593,D574:D593)</f>
        <v>39.87067669172923</v>
      </c>
      <c r="W593" s="56">
        <v>-22.738853383458597</v>
      </c>
      <c r="X593" s="56" cm="1">
        <f t="array" ref="X593:Y593">LINEST(F569:F593,D569:D593)</f>
        <v>21.035076923076932</v>
      </c>
      <c r="Y593" s="56">
        <v>-11.429804615384619</v>
      </c>
      <c r="Z593" s="56" cm="1">
        <f t="array" ref="Z593:AA593">LINEST(F564:F593,D564:D593)</f>
        <v>15.253748609566214</v>
      </c>
      <c r="AA593" s="56">
        <v>-7.9806668891360966</v>
      </c>
      <c r="AB593" s="37" cm="1">
        <f t="array" ref="AB593:AC593">LINEST(G584:G593,D584:D593)</f>
        <v>20.203636363636438</v>
      </c>
      <c r="AC593" s="59">
        <v>-11.244915151515196</v>
      </c>
      <c r="AD593" s="37" cm="1">
        <f t="array" ref="AD593:AE593">LINEST(G579:G593,D579:D593)</f>
        <v>22.422857142857072</v>
      </c>
      <c r="AE593" s="59">
        <v>-12.587038095238054</v>
      </c>
      <c r="AF593" s="37" cm="1">
        <f t="array" ref="AF593:AG593">LINEST(G574:G593,D574:D593)</f>
        <v>13.777443609022534</v>
      </c>
      <c r="AG593" s="59">
        <v>-7.3823872180450998</v>
      </c>
      <c r="AH593" s="37" cm="1">
        <f t="array" ref="AH593:AI593">LINEST(G569:G593,D569:D593)</f>
        <v>12.527999999999997</v>
      </c>
      <c r="AI593" s="59">
        <v>-6.6313799999999965</v>
      </c>
      <c r="AJ593" s="37" cm="1">
        <f t="array" ref="AJ593:AK593">LINEST(G564:G593,D564:D593)</f>
        <v>11.949276974416026</v>
      </c>
      <c r="AK593" s="59">
        <v>-6.2854490174267763</v>
      </c>
    </row>
    <row r="594" spans="1:37" x14ac:dyDescent="0.25">
      <c r="A594" s="61">
        <v>502</v>
      </c>
      <c r="B594" s="14">
        <f t="shared" si="10"/>
        <v>588</v>
      </c>
      <c r="C594" s="15">
        <v>44114</v>
      </c>
      <c r="D594" s="16">
        <v>0.61069444444444443</v>
      </c>
      <c r="E594" s="36">
        <v>20.97</v>
      </c>
      <c r="F594" s="36">
        <v>1.51</v>
      </c>
      <c r="G594" s="36">
        <v>1.1299999999999999</v>
      </c>
      <c r="H594" s="56" cm="1">
        <f t="array" ref="H594:I594">LINEST(E585:E594,D585:D594)</f>
        <v>31.680000000000135</v>
      </c>
      <c r="I594" s="56">
        <v>1.6111999999999114</v>
      </c>
      <c r="J594" s="56" cm="1">
        <f t="array" ref="J594:K594">LINEST(E580:E594,D580:D594)</f>
        <v>30.522857142857021</v>
      </c>
      <c r="K594" s="56">
        <v>2.3119440476191215</v>
      </c>
      <c r="L594" s="56" cm="1">
        <f t="array" ref="L594:M594">LINEST(E575:E594,D575:D594)</f>
        <v>26.396390977443541</v>
      </c>
      <c r="M594" s="56">
        <v>4.8011563909774857</v>
      </c>
      <c r="N594" s="56" cm="1">
        <f t="array" ref="N594:O594">LINEST(E570:E594,D570:D594)</f>
        <v>24.590769230769229</v>
      </c>
      <c r="O594" s="56">
        <v>5.8872000000000035</v>
      </c>
      <c r="P594" s="56" cm="1">
        <f t="array" ref="P594:Q594">LINEST(E565:E594,D565:D594)</f>
        <v>23.450055617352639</v>
      </c>
      <c r="Q594" s="56">
        <v>6.5701060437523076</v>
      </c>
      <c r="R594" s="56" cm="1">
        <f t="array" ref="R594:S594">LINEST(F585:F594,D585:D594)</f>
        <v>32.290909090909203</v>
      </c>
      <c r="S594" s="56">
        <v>-18.17006060606068</v>
      </c>
      <c r="T594" s="56" cm="1">
        <f t="array" ref="T594:U594">LINEST(F580:F594,D580:D594)</f>
        <v>29.082857142857062</v>
      </c>
      <c r="U594" s="56">
        <v>-16.213989285714238</v>
      </c>
      <c r="V594" s="56" cm="1">
        <f t="array" ref="V594:W594">LINEST(F575:F594,D575:D594)</f>
        <v>40.861353383458571</v>
      </c>
      <c r="W594" s="56">
        <v>-23.344658646616491</v>
      </c>
      <c r="X594" s="56" cm="1">
        <f t="array" ref="X594:Y594">LINEST(F570:F594,D570:D594)</f>
        <v>20.1046153846154</v>
      </c>
      <c r="Y594" s="56">
        <v>-10.864700000000008</v>
      </c>
      <c r="Z594" s="56" cm="1">
        <f t="array" ref="Z594:AA594">LINEST(F565:F594,D565:D594)</f>
        <v>17.661223581757529</v>
      </c>
      <c r="AA594" s="56">
        <v>-9.4072670374490297</v>
      </c>
      <c r="AB594" s="37" cm="1">
        <f t="array" ref="AB594:AC594">LINEST(G585:G594,D585:D594)</f>
        <v>21.512727272727346</v>
      </c>
      <c r="AC594" s="59">
        <v>-12.032248484848532</v>
      </c>
      <c r="AD594" s="37" cm="1">
        <f t="array" ref="AD594:AE594">LINEST(G580:G594,D580:D594)</f>
        <v>23.065714285714225</v>
      </c>
      <c r="AE594" s="59">
        <v>-12.972520238095203</v>
      </c>
      <c r="AF594" s="37" cm="1">
        <f t="array" ref="AF594:AG594">LINEST(G575:G594,D575:D594)</f>
        <v>15.942857142857108</v>
      </c>
      <c r="AG594" s="59">
        <v>-8.6763571428571193</v>
      </c>
      <c r="AH594" s="37" cm="1">
        <f t="array" ref="AH594:AI594">LINEST(G570:G594,D570:D594)</f>
        <v>13.15938461538461</v>
      </c>
      <c r="AI594" s="59">
        <v>-7.0014399999999961</v>
      </c>
      <c r="AJ594" s="37" cm="1">
        <f t="array" ref="AJ594:AK594">LINEST(G565:G594,D565:D594)</f>
        <v>12.428209121245827</v>
      </c>
      <c r="AK594" s="59">
        <v>-6.5638812754912852</v>
      </c>
    </row>
    <row r="595" spans="1:37" x14ac:dyDescent="0.25">
      <c r="A595" s="61">
        <v>502</v>
      </c>
      <c r="B595" s="14">
        <f t="shared" si="10"/>
        <v>589</v>
      </c>
      <c r="C595" s="15">
        <v>44115</v>
      </c>
      <c r="D595" s="16">
        <v>0.61208333333333331</v>
      </c>
      <c r="E595" s="36">
        <v>21.02</v>
      </c>
      <c r="F595" s="36">
        <v>1.41</v>
      </c>
      <c r="G595" s="36">
        <v>1.1499999999999999</v>
      </c>
      <c r="H595" s="56" cm="1">
        <f t="array" ref="H595:I595">LINEST(E586:E595,D586:D595)</f>
        <v>32.770909090909207</v>
      </c>
      <c r="I595" s="56">
        <v>0.95129090909084013</v>
      </c>
      <c r="J595" s="56" cm="1">
        <f t="array" ref="J595:K595">LINEST(E581:E595,D581:D595)</f>
        <v>31.217142857142779</v>
      </c>
      <c r="K595" s="56">
        <v>1.8946738095238622</v>
      </c>
      <c r="L595" s="56" cm="1">
        <f t="array" ref="L595:M595">LINEST(E576:E595,D576:D595)</f>
        <v>27.663157894736759</v>
      </c>
      <c r="M595" s="56">
        <v>4.0428421052632046</v>
      </c>
      <c r="N595" s="56" cm="1">
        <f t="array" ref="N595:O595">LINEST(E571:E595,D571:D595)</f>
        <v>25.094769230769217</v>
      </c>
      <c r="O595" s="56">
        <v>5.5905561538461672</v>
      </c>
      <c r="P595" s="56" cm="1">
        <f t="array" ref="P595:Q595">LINEST(E566:E595,D566:D595)</f>
        <v>24.015483870967756</v>
      </c>
      <c r="Q595" s="56">
        <v>6.2378344086021436</v>
      </c>
      <c r="R595" s="56" cm="1">
        <f t="array" ref="R595:S595">LINEST(F586:F595,D586:D595)</f>
        <v>27.621818181818277</v>
      </c>
      <c r="S595" s="56">
        <v>-15.365218181818239</v>
      </c>
      <c r="T595" s="56" cm="1">
        <f t="array" ref="T595:U595">LINEST(F581:F595,D581:D595)</f>
        <v>20.314285714285674</v>
      </c>
      <c r="U595" s="56">
        <v>-10.925869047619022</v>
      </c>
      <c r="V595" s="56" cm="1">
        <f t="array" ref="V595:W595">LINEST(F576:F595,D576:D595)</f>
        <v>39.58375939849617</v>
      </c>
      <c r="W595" s="56">
        <v>-22.598273684210479</v>
      </c>
      <c r="X595" s="56" cm="1">
        <f t="array" ref="X595:Y595">LINEST(F571:F595,D571:D595)</f>
        <v>15.701538461538487</v>
      </c>
      <c r="Y595" s="56">
        <v>-8.2209576923077066</v>
      </c>
      <c r="Z595" s="56" cm="1">
        <f t="array" ref="Z595:AA595">LINEST(F566:F595,D566:D595)</f>
        <v>19.447208008898787</v>
      </c>
      <c r="AA595" s="56">
        <v>-10.476000074156474</v>
      </c>
      <c r="AB595" s="37" cm="1">
        <f t="array" ref="AB595:AC595">LINEST(G586:G595,D586:D595)</f>
        <v>22.254545454545525</v>
      </c>
      <c r="AC595" s="59">
        <v>-12.480545454545497</v>
      </c>
      <c r="AD595" s="37" cm="1">
        <f t="array" ref="AD595:AE595">LINEST(G581:G595,D581:D595)</f>
        <v>22.834285714285681</v>
      </c>
      <c r="AE595" s="59">
        <v>-12.831819047619026</v>
      </c>
      <c r="AF595" s="37" cm="1">
        <f t="array" ref="AF595:AG595">LINEST(G576:G595,D576:D595)</f>
        <v>17.78887218045109</v>
      </c>
      <c r="AG595" s="59">
        <v>-9.7835578947368163</v>
      </c>
      <c r="AH595" s="37" cm="1">
        <f t="array" ref="AH595:AI595">LINEST(G571:G595,D571:D595)</f>
        <v>13.397538461538449</v>
      </c>
      <c r="AI595" s="59">
        <v>-7.137117692307684</v>
      </c>
      <c r="AJ595" s="37" cm="1">
        <f t="array" ref="AJ595:AK595">LINEST(G566:G595,D566:D595)</f>
        <v>12.996840934371521</v>
      </c>
      <c r="AK595" s="59">
        <v>-6.8974077864293637</v>
      </c>
    </row>
    <row r="596" spans="1:37" x14ac:dyDescent="0.25">
      <c r="A596" s="61">
        <v>502</v>
      </c>
      <c r="B596" s="14">
        <f t="shared" si="10"/>
        <v>590</v>
      </c>
      <c r="C596" s="15">
        <v>44116</v>
      </c>
      <c r="D596" s="16">
        <v>0.6134722222222222</v>
      </c>
      <c r="E596" s="36">
        <v>21.08</v>
      </c>
      <c r="F596" s="36">
        <v>1.62</v>
      </c>
      <c r="G596" s="36">
        <v>1.18</v>
      </c>
      <c r="H596" s="56" cm="1">
        <f t="array" ref="H596:I596">LINEST(E587:E596,D587:D596)</f>
        <v>34.210909090909112</v>
      </c>
      <c r="I596" s="56">
        <v>7.8375757575738447E-2</v>
      </c>
      <c r="J596" s="56" cm="1">
        <f t="array" ref="J596:K596">LINEST(E582:E596,D582:D596)</f>
        <v>32.142857142857068</v>
      </c>
      <c r="K596" s="56">
        <v>1.337083333333382</v>
      </c>
      <c r="L596" s="56" cm="1">
        <f t="array" ref="L596:M596">LINEST(E577:E596,D577:D596)</f>
        <v>29.086917293232968</v>
      </c>
      <c r="M596" s="56">
        <v>3.1882699248120971</v>
      </c>
      <c r="N596" s="56" cm="1">
        <f t="array" ref="N596:O596">LINEST(E572:E596,D572:D596)</f>
        <v>25.836923076923021</v>
      </c>
      <c r="O596" s="56">
        <v>5.150780769230801</v>
      </c>
      <c r="P596" s="56" cm="1">
        <f t="array" ref="P596:Q596">LINEST(E567:E596,D567:D596)</f>
        <v>24.821179087875421</v>
      </c>
      <c r="Q596" s="56">
        <v>5.7614337411939154</v>
      </c>
      <c r="R596" s="56" cm="1">
        <f t="array" ref="R596:S596">LINEST(F587:F596,D587:D596)</f>
        <v>41.367272727272876</v>
      </c>
      <c r="S596" s="56">
        <v>-23.733127272727369</v>
      </c>
      <c r="T596" s="56" cm="1">
        <f t="array" ref="T596:U596">LINEST(F582:F596,D582:D596)</f>
        <v>24.428571428571423</v>
      </c>
      <c r="U596" s="56">
        <v>-13.412749999999997</v>
      </c>
      <c r="V596" s="56" cm="1">
        <f t="array" ref="V596:W596">LINEST(F577:F596,D577:D596)</f>
        <v>43.05383458646611</v>
      </c>
      <c r="W596" s="56">
        <v>-24.702760150375905</v>
      </c>
      <c r="X596" s="56" cm="1">
        <f t="array" ref="X596:Y596">LINEST(F572:F596,D572:D596)</f>
        <v>22.081846153846161</v>
      </c>
      <c r="Y596" s="56">
        <v>-12.048168461538467</v>
      </c>
      <c r="Z596" s="56" cm="1">
        <f t="array" ref="Z596:AA596">LINEST(F567:F596,D567:D596)</f>
        <v>22.083737486095675</v>
      </c>
      <c r="AA596" s="56">
        <v>-12.047350908416767</v>
      </c>
      <c r="AB596" s="37" cm="1">
        <f t="array" ref="AB596:AC596">LINEST(G587:G596,D587:D596)</f>
        <v>23.389090909090992</v>
      </c>
      <c r="AC596" s="59">
        <v>-13.17037575757581</v>
      </c>
      <c r="AD596" s="37" cm="1">
        <f t="array" ref="AD596:AE596">LINEST(G582:G596,D582:D596)</f>
        <v>22.885714285714272</v>
      </c>
      <c r="AE596" s="59">
        <v>-12.862583333333326</v>
      </c>
      <c r="AF596" s="37" cm="1">
        <f t="array" ref="AF596:AG596">LINEST(G577:G596,D577:D596)</f>
        <v>19.726917293233047</v>
      </c>
      <c r="AG596" s="59">
        <v>-10.950630075187949</v>
      </c>
      <c r="AH596" s="37" cm="1">
        <f t="array" ref="AH596:AI596">LINEST(G572:G596,D572:D596)</f>
        <v>14.073230769230756</v>
      </c>
      <c r="AI596" s="59">
        <v>-7.5365823076923002</v>
      </c>
      <c r="AJ596" s="37" cm="1">
        <f t="array" ref="AJ596:AK596">LINEST(G567:G596,D567:D596)</f>
        <v>13.708031145717461</v>
      </c>
      <c r="AK596" s="59">
        <v>-7.3174318131256948</v>
      </c>
    </row>
    <row r="597" spans="1:37" x14ac:dyDescent="0.25">
      <c r="A597" s="61">
        <v>502</v>
      </c>
      <c r="B597" s="14">
        <f t="shared" si="10"/>
        <v>591</v>
      </c>
      <c r="C597" s="15">
        <v>44117</v>
      </c>
      <c r="D597" s="16">
        <v>0.61486111111111108</v>
      </c>
      <c r="E597" s="36">
        <v>21.14</v>
      </c>
      <c r="F597" s="36">
        <v>1.89</v>
      </c>
      <c r="G597" s="36">
        <v>1.24</v>
      </c>
      <c r="H597" s="56" cm="1">
        <f t="array" ref="H597:I597">LINEST(E588:E597,D588:D597)</f>
        <v>35.345454545454629</v>
      </c>
      <c r="I597" s="56">
        <v>-0.60963636363640461</v>
      </c>
      <c r="J597" s="56" cm="1">
        <f t="array" ref="J597:K597">LINEST(E583:E597,D583:D597)</f>
        <v>33.042857142857152</v>
      </c>
      <c r="K597" s="56">
        <v>0.79448214285713448</v>
      </c>
      <c r="L597" s="56" cm="1">
        <f t="array" ref="L597:M597">LINEST(E578:E597,D578:D597)</f>
        <v>30.748872180451031</v>
      </c>
      <c r="M597" s="56">
        <v>2.1874285714286295</v>
      </c>
      <c r="N597" s="56" cm="1">
        <f t="array" ref="N597:O597">LINEST(E573:E597,D573:D597)</f>
        <v>26.955692307692253</v>
      </c>
      <c r="O597" s="56">
        <v>4.4832546153846486</v>
      </c>
      <c r="P597" s="56" cm="1">
        <f t="array" ref="P597:Q597">LINEST(E568:E597,D568:D597)</f>
        <v>25.668520578420477</v>
      </c>
      <c r="Q597" s="56">
        <v>5.2593604004449332</v>
      </c>
      <c r="R597" s="56" cm="1">
        <f t="array" ref="R597:S597">LINEST(F588:F597,D588:D597)</f>
        <v>33.032727272727421</v>
      </c>
      <c r="S597" s="56">
        <v>-18.609084848484933</v>
      </c>
      <c r="T597" s="56" cm="1">
        <f t="array" ref="T597:U597">LINEST(F583:F597,D583:D597)</f>
        <v>24.60857142857142</v>
      </c>
      <c r="U597" s="56">
        <v>-13.486936904761901</v>
      </c>
      <c r="V597" s="56" cm="1">
        <f t="array" ref="V597:W597">LINEST(F578:F597,D578:D597)</f>
        <v>49.371428571428524</v>
      </c>
      <c r="W597" s="56">
        <v>-28.520142857142826</v>
      </c>
      <c r="X597" s="56" cm="1">
        <f t="array" ref="X597:Y597">LINEST(F573:F597,D573:D597)</f>
        <v>33.895384615384593</v>
      </c>
      <c r="Y597" s="56">
        <v>-19.152830769230757</v>
      </c>
      <c r="Z597" s="56" cm="1">
        <f t="array" ref="Z597:AA597">LINEST(F568:F597,D568:D597)</f>
        <v>25.782246941045599</v>
      </c>
      <c r="AA597" s="56">
        <v>-14.248608527994062</v>
      </c>
      <c r="AB597" s="37" cm="1">
        <f t="array" ref="AB597:AC597">LINEST(G588:G597,D588:D597)</f>
        <v>24.261818181818263</v>
      </c>
      <c r="AC597" s="59">
        <v>-13.698012121212168</v>
      </c>
      <c r="AD597" s="37" cm="1">
        <f t="array" ref="AD597:AE597">LINEST(G583:G597,D583:D597)</f>
        <v>22.988571428571461</v>
      </c>
      <c r="AE597" s="59">
        <v>-12.921278571428594</v>
      </c>
      <c r="AF597" s="37" cm="1">
        <f t="array" ref="AF597:AG597">LINEST(G578:G597,D578:D597)</f>
        <v>22.054736842105225</v>
      </c>
      <c r="AG597" s="59">
        <v>-12.355599999999976</v>
      </c>
      <c r="AH597" s="37" cm="1">
        <f t="array" ref="AH597:AI597">LINEST(G573:G597,D573:D597)</f>
        <v>15.629538461538447</v>
      </c>
      <c r="AI597" s="59">
        <v>-8.4667030769230696</v>
      </c>
      <c r="AJ597" s="37" cm="1">
        <f t="array" ref="AJ597:AK597">LINEST(G568:G597,D568:D597)</f>
        <v>14.654682981090096</v>
      </c>
      <c r="AK597" s="59">
        <v>-7.8784656284760803</v>
      </c>
    </row>
    <row r="598" spans="1:37" x14ac:dyDescent="0.25">
      <c r="A598" s="61">
        <v>502</v>
      </c>
      <c r="B598" s="14">
        <f t="shared" si="10"/>
        <v>592</v>
      </c>
      <c r="C598" s="15">
        <v>44118</v>
      </c>
      <c r="D598" s="16">
        <v>0.61624999999999996</v>
      </c>
      <c r="E598" s="36">
        <v>21.21</v>
      </c>
      <c r="F598" s="36">
        <v>2.0299999999999998</v>
      </c>
      <c r="G598" s="36">
        <v>1.3</v>
      </c>
      <c r="H598" s="56" cm="1">
        <f t="array" ref="H598:I598">LINEST(E589:E598,D589:D598)</f>
        <v>38.225454545454717</v>
      </c>
      <c r="I598" s="56">
        <v>-2.3655272727273804</v>
      </c>
      <c r="J598" s="56" cm="1">
        <f t="array" ref="J598:K598">LINEST(E584:E598,D584:D598)</f>
        <v>34.225714285714382</v>
      </c>
      <c r="K598" s="56">
        <v>7.9820238095177132E-2</v>
      </c>
      <c r="L598" s="56" cm="1">
        <f t="array" ref="L598:M598">LINEST(E579:E598,D579:D598)</f>
        <v>32.275488721804443</v>
      </c>
      <c r="M598" s="56">
        <v>1.2670872180451589</v>
      </c>
      <c r="N598" s="56" cm="1">
        <f t="array" ref="N598:O598">LINEST(E574:E598,D574:D598)</f>
        <v>28.307076923076863</v>
      </c>
      <c r="O598" s="56">
        <v>3.6743484615384929</v>
      </c>
      <c r="P598" s="56" cm="1">
        <f t="array" ref="P598:Q598">LINEST(E569:E598,D569:D598)</f>
        <v>26.541490545050067</v>
      </c>
      <c r="Q598" s="56">
        <v>4.7416559139784891</v>
      </c>
      <c r="R598" s="56" cm="1">
        <f t="array" ref="R598:S598">LINEST(F589:F598,D589:D598)</f>
        <v>82.603636363636667</v>
      </c>
      <c r="S598" s="56">
        <v>-48.899218181818377</v>
      </c>
      <c r="T598" s="56" cm="1">
        <f t="array" ref="T598:U598">LINEST(F584:F598,D584:D598)</f>
        <v>35.151428571428688</v>
      </c>
      <c r="U598" s="56">
        <v>-19.87165119047626</v>
      </c>
      <c r="V598" s="56" cm="1">
        <f t="array" ref="V598:W598">LINEST(F579:F598,D579:D598)</f>
        <v>45.273383458646578</v>
      </c>
      <c r="W598" s="56">
        <v>-26.018865413533806</v>
      </c>
      <c r="X598" s="56" cm="1">
        <f t="array" ref="X598:Y598">LINEST(F574:F598,D574:D598)</f>
        <v>39.611076923076901</v>
      </c>
      <c r="Y598" s="56">
        <v>-22.58894153846153</v>
      </c>
      <c r="Z598" s="56" cm="1">
        <f t="array" ref="Z598:AA598">LINEST(F569:F598,D569:D598)</f>
        <v>25.780645161290323</v>
      </c>
      <c r="AA598" s="56">
        <v>-14.222462365591399</v>
      </c>
      <c r="AB598" s="37" cm="1">
        <f t="array" ref="AB598:AC598">LINEST(G589:G598,D589:D598)</f>
        <v>28.669090909091</v>
      </c>
      <c r="AC598" s="59">
        <v>-16.387145454545514</v>
      </c>
      <c r="AD598" s="37" cm="1">
        <f t="array" ref="AD598:AE598">LINEST(G584:G598,D584:D598)</f>
        <v>23.83714285714294</v>
      </c>
      <c r="AE598" s="59">
        <v>-13.431889285714336</v>
      </c>
      <c r="AF598" s="37" cm="1">
        <f t="array" ref="AF598:AG598">LINEST(G579:G598,D579:D598)</f>
        <v>23.819548872180423</v>
      </c>
      <c r="AG598" s="59">
        <v>-13.421511278195469</v>
      </c>
      <c r="AH598" s="37" cm="1">
        <f t="array" ref="AH598:AI598">LINEST(G574:G598,D574:D598)</f>
        <v>17.51815384615383</v>
      </c>
      <c r="AI598" s="59">
        <v>-9.5991930769230684</v>
      </c>
      <c r="AJ598" s="37" cm="1">
        <f t="array" ref="AJ598:AK598">LINEST(G569:G598,D569:D598)</f>
        <v>15.529254727474964</v>
      </c>
      <c r="AK598" s="59">
        <v>-8.396161290322576</v>
      </c>
    </row>
    <row r="599" spans="1:37" x14ac:dyDescent="0.25">
      <c r="A599" s="61">
        <v>502</v>
      </c>
      <c r="B599" s="14">
        <f t="shared" si="10"/>
        <v>593</v>
      </c>
      <c r="C599" s="15">
        <v>44119</v>
      </c>
      <c r="D599" s="16">
        <v>0.61763888888888896</v>
      </c>
      <c r="E599" s="36">
        <v>21.29</v>
      </c>
      <c r="F599" s="36">
        <v>2.4500000000000002</v>
      </c>
      <c r="G599" s="36">
        <v>1.39</v>
      </c>
      <c r="H599" s="56" cm="1">
        <f t="array" ref="H599:I599">LINEST(E590:E599,D590:D599)</f>
        <v>40.363636363636296</v>
      </c>
      <c r="I599" s="56">
        <v>-3.668878787878743</v>
      </c>
      <c r="J599" s="56" cm="1">
        <f t="array" ref="J599:K599">LINEST(E585:E599,D585:D599)</f>
        <v>36.00000000000005</v>
      </c>
      <c r="K599" s="56">
        <v>-0.9956666666666969</v>
      </c>
      <c r="L599" s="56" cm="1">
        <f t="array" ref="L599:M599">LINEST(E580:E599,D580:D599)</f>
        <v>33.580150375939766</v>
      </c>
      <c r="M599" s="56">
        <v>0.48116466165418359</v>
      </c>
      <c r="N599" s="56" cm="1">
        <f t="array" ref="N599:O599">LINEST(E575:E599,D575:D599)</f>
        <v>29.796923076923008</v>
      </c>
      <c r="O599" s="56">
        <v>2.7808769230769634</v>
      </c>
      <c r="P599" s="56" cm="1">
        <f t="array" ref="P599:Q599">LINEST(E570:E599,D570:D599)</f>
        <v>27.516974416017771</v>
      </c>
      <c r="Q599" s="56">
        <v>4.1622744530960496</v>
      </c>
      <c r="R599" s="56" cm="1">
        <f t="array" ref="R599:S599">LINEST(F590:F599,D590:D599)</f>
        <v>59.912727272727466</v>
      </c>
      <c r="S599" s="56">
        <v>-34.918975757575872</v>
      </c>
      <c r="T599" s="56" cm="1">
        <f t="array" ref="T599:U599">LINEST(F585:F599,D585:D599)</f>
        <v>50.11714285714303</v>
      </c>
      <c r="U599" s="56">
        <v>-28.9417130952382</v>
      </c>
      <c r="V599" s="56" cm="1">
        <f t="array" ref="V599:W599">LINEST(F580:F599,D580:D599)</f>
        <v>39.951879699248074</v>
      </c>
      <c r="W599" s="56">
        <v>-22.730691729323286</v>
      </c>
      <c r="X599" s="56" cm="1">
        <f t="array" ref="X599:Y599">LINEST(F575:F599,D575:D599)</f>
        <v>44.711999999999946</v>
      </c>
      <c r="Y599" s="56">
        <v>-25.638669999999969</v>
      </c>
      <c r="Z599" s="56" cm="1">
        <f t="array" ref="Z599:AA599">LINEST(F570:F599,D570:D599)</f>
        <v>28.484449388209114</v>
      </c>
      <c r="AA599" s="56">
        <v>-15.807791842788276</v>
      </c>
      <c r="AB599" s="37" cm="1">
        <f t="array" ref="AB599:AC599">LINEST(G590:G599,D590:D599)</f>
        <v>30.850909090909092</v>
      </c>
      <c r="AC599" s="59">
        <v>-17.712903030303025</v>
      </c>
      <c r="AD599" s="37" cm="1">
        <f t="array" ref="AD599:AE599">LINEST(G585:G599,D585:D599)</f>
        <v>25.945714285714342</v>
      </c>
      <c r="AE599" s="59">
        <v>-14.708165476190509</v>
      </c>
      <c r="AF599" s="37" cm="1">
        <f t="array" ref="AF599:AG599">LINEST(G580:G599,D580:D599)</f>
        <v>25.086315789473648</v>
      </c>
      <c r="AG599" s="59">
        <v>-14.183284210526297</v>
      </c>
      <c r="AH599" s="37" cm="1">
        <f t="array" ref="AH599:AI599">LINEST(G575:G599,D575:D599)</f>
        <v>19.633846153846125</v>
      </c>
      <c r="AI599" s="59">
        <v>-10.869396153846138</v>
      </c>
      <c r="AJ599" s="37" cm="1">
        <f t="array" ref="AJ599:AK599">LINEST(G570:G599,D570:D599)</f>
        <v>16.541579532814218</v>
      </c>
      <c r="AK599" s="59">
        <v>-8.9952604375231608</v>
      </c>
    </row>
    <row r="600" spans="1:37" x14ac:dyDescent="0.25">
      <c r="A600" s="61">
        <v>502</v>
      </c>
      <c r="B600" s="14">
        <f t="shared" si="10"/>
        <v>594</v>
      </c>
      <c r="C600" s="15">
        <v>44120</v>
      </c>
      <c r="D600" s="16">
        <v>0.61902777777777784</v>
      </c>
      <c r="E600" s="36">
        <v>21.34</v>
      </c>
      <c r="F600" s="36">
        <v>1.54</v>
      </c>
      <c r="G600" s="36">
        <v>1.4</v>
      </c>
      <c r="H600" s="56" cm="1">
        <f t="array" ref="H600:I600">LINEST(E591:E600,D591:D600)</f>
        <v>41.890909090908863</v>
      </c>
      <c r="I600" s="56">
        <v>-4.6038181818180455</v>
      </c>
      <c r="J600" s="56" cm="1">
        <f t="array" ref="J600:K600">LINEST(E586:E600,D586:D600)</f>
        <v>37.542857142857137</v>
      </c>
      <c r="K600" s="56">
        <v>-1.9344047619047586</v>
      </c>
      <c r="L600" s="56" cm="1">
        <f t="array" ref="L600:M600">LINEST(E581:E600,D581:D600)</f>
        <v>34.711578947368331</v>
      </c>
      <c r="M600" s="56">
        <v>-0.20243157894731212</v>
      </c>
      <c r="N600" s="56" cm="1">
        <f t="array" ref="N600:O600">LINEST(E576:E600,D576:D600)</f>
        <v>31.192615384615298</v>
      </c>
      <c r="O600" s="56">
        <v>1.9411815384615849</v>
      </c>
      <c r="P600" s="56" cm="1">
        <f t="array" ref="P600:Q600">LINEST(E571:E600,D571:D600)</f>
        <v>28.337085650722987</v>
      </c>
      <c r="Q600" s="56">
        <v>3.6749009269559068</v>
      </c>
      <c r="R600" s="56" cm="1">
        <f t="array" ref="R600:S600">LINEST(F591:F600,D591:D600)</f>
        <v>47.389090909090754</v>
      </c>
      <c r="S600" s="56">
        <v>-27.332981818181729</v>
      </c>
      <c r="T600" s="56" cm="1">
        <f t="array" ref="T600:U600">LINEST(F586:F600,D586:D600)</f>
        <v>43.688571428571457</v>
      </c>
      <c r="U600" s="56">
        <v>-25.071689285714299</v>
      </c>
      <c r="V600" s="56" cm="1">
        <f t="array" ref="V600:W600">LINEST(F581:F600,D581:D600)</f>
        <v>33.157894736842053</v>
      </c>
      <c r="W600" s="56">
        <v>-18.628657894736804</v>
      </c>
      <c r="X600" s="56" cm="1">
        <f t="array" ref="X600:Y600">LINEST(F576:F600,D576:D600)</f>
        <v>42.56861538461532</v>
      </c>
      <c r="Y600" s="56">
        <v>-24.374078461538421</v>
      </c>
      <c r="Z600" s="56" cm="1">
        <f t="array" ref="Z600:AA600">LINEST(F571:F600,D571:D600)</f>
        <v>24.787541713014452</v>
      </c>
      <c r="AA600" s="56">
        <v>-13.587316648127542</v>
      </c>
      <c r="AB600" s="37" cm="1">
        <f t="array" ref="AB600:AC600">LINEST(G591:G600,D591:D600)</f>
        <v>32.116363636363538</v>
      </c>
      <c r="AC600" s="59">
        <v>-18.488193939393881</v>
      </c>
      <c r="AD600" s="37" cm="1">
        <f t="array" ref="AD600:AE600">LINEST(G586:G600,D586:D600)</f>
        <v>27.360000000000007</v>
      </c>
      <c r="AE600" s="59">
        <v>-15.568600000000004</v>
      </c>
      <c r="AF600" s="37" cm="1">
        <f t="array" ref="AF600:AG600">LINEST(G581:G600,D581:D600)</f>
        <v>25.654736842105223</v>
      </c>
      <c r="AG600" s="59">
        <v>-14.524994736842078</v>
      </c>
      <c r="AH600" s="37" cm="1">
        <f t="array" ref="AH600:AI600">LINEST(G576:G600,D576:D600)</f>
        <v>21.389538461538422</v>
      </c>
      <c r="AI600" s="59">
        <v>-11.92782615384613</v>
      </c>
      <c r="AJ600" s="37" cm="1">
        <f t="array" ref="AJ600:AK600">LINEST(G571:G600,D571:D600)</f>
        <v>17.188698553948811</v>
      </c>
      <c r="AK600" s="59">
        <v>-9.3771205784204525</v>
      </c>
    </row>
    <row r="601" spans="1:37" x14ac:dyDescent="0.25">
      <c r="A601" s="61">
        <v>502</v>
      </c>
      <c r="B601" s="14">
        <f t="shared" si="10"/>
        <v>595</v>
      </c>
      <c r="C601" s="15">
        <v>44121</v>
      </c>
      <c r="D601" s="16">
        <v>0.62041666666666673</v>
      </c>
      <c r="E601" s="36">
        <v>21.42</v>
      </c>
      <c r="F601" s="36">
        <v>2.42</v>
      </c>
      <c r="G601" s="36">
        <v>1.48</v>
      </c>
      <c r="H601" s="56" cm="1">
        <f t="array" ref="H601:I601">LINEST(E592:E601,D592:D601)</f>
        <v>44.945454545454254</v>
      </c>
      <c r="I601" s="56">
        <v>-6.4799999999998157</v>
      </c>
      <c r="J601" s="56" cm="1">
        <f t="array" ref="J601:K601">LINEST(E587:E601,D587:D601)</f>
        <v>39.368571428571386</v>
      </c>
      <c r="K601" s="56">
        <v>-3.0475011904761722</v>
      </c>
      <c r="L601" s="56" cm="1">
        <f t="array" ref="L601:M601">LINEST(E582:E601,D582:D601)</f>
        <v>36.070375939849555</v>
      </c>
      <c r="M601" s="56">
        <v>-1.0252338345864231</v>
      </c>
      <c r="N601" s="56" cm="1">
        <f t="array" ref="N601:O601">LINEST(E577:E601,D577:D601)</f>
        <v>32.748923076922971</v>
      </c>
      <c r="O601" s="56">
        <v>1.0026376923077471</v>
      </c>
      <c r="P601" s="56" cm="1">
        <f t="array" ref="P601:Q601">LINEST(E572:E601,D572:D601)</f>
        <v>29.373437152391496</v>
      </c>
      <c r="Q601" s="56">
        <v>3.0564450871338806</v>
      </c>
      <c r="R601" s="56" cm="1">
        <f t="array" ref="R601:S601">LINEST(F592:F601,D592:D601)</f>
        <v>87.621818181817517</v>
      </c>
      <c r="S601" s="56">
        <v>-52.062399999999585</v>
      </c>
      <c r="T601" s="56" cm="1">
        <f t="array" ref="T601:U601">LINEST(F587:F601,D587:D601)</f>
        <v>57.368571428571364</v>
      </c>
      <c r="U601" s="56">
        <v>-33.422001190476152</v>
      </c>
      <c r="V601" s="56" cm="1">
        <f t="array" ref="V601:W601">LINEST(F582:F601,D582:D601)</f>
        <v>40.54195488721799</v>
      </c>
      <c r="W601" s="56">
        <v>-23.09947593984959</v>
      </c>
      <c r="X601" s="56" cm="1">
        <f t="array" ref="X601:Y601">LINEST(F577:F601,D577:D601)</f>
        <v>47.940923076922992</v>
      </c>
      <c r="Y601" s="56">
        <v>-27.617932307692264</v>
      </c>
      <c r="Z601" s="56" cm="1">
        <f t="array" ref="Z601:AA601">LINEST(F572:F601,D572:D601)</f>
        <v>31.688008898776374</v>
      </c>
      <c r="AA601" s="56">
        <v>-17.735274230626594</v>
      </c>
      <c r="AB601" s="37" cm="1">
        <f t="array" ref="AB601:AC601">LINEST(G592:G601,D592:D601)</f>
        <v>36.610909090908869</v>
      </c>
      <c r="AC601" s="59">
        <v>-21.250199999999865</v>
      </c>
      <c r="AD601" s="37" cm="1">
        <f t="array" ref="AD601:AE601">LINEST(G587:G601,D587:D601)</f>
        <v>29.597142857142828</v>
      </c>
      <c r="AE601" s="59">
        <v>-16.932810714285701</v>
      </c>
      <c r="AF601" s="37" cm="1">
        <f t="array" ref="AF601:AG601">LINEST(G582:G601,D582:D601)</f>
        <v>26.802406015037558</v>
      </c>
      <c r="AG601" s="59">
        <v>-15.218516541353363</v>
      </c>
      <c r="AH601" s="37" cm="1">
        <f t="array" ref="AH601:AI601">LINEST(G577:G601,D577:D601)</f>
        <v>23.455384615384567</v>
      </c>
      <c r="AI601" s="59">
        <v>-13.175988461538434</v>
      </c>
      <c r="AJ601" s="37" cm="1">
        <f t="array" ref="AJ601:AK601">LINEST(G572:G601,D572:D601)</f>
        <v>18.32916573971076</v>
      </c>
      <c r="AK601" s="59">
        <v>-10.056924212087488</v>
      </c>
    </row>
  </sheetData>
  <mergeCells count="3">
    <mergeCell ref="AL515:AL521"/>
    <mergeCell ref="AL163:AL167"/>
    <mergeCell ref="AL267:AL272"/>
  </mergeCells>
  <conditionalFormatting sqref="AB16:AB60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1:AD60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26:AF60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36:AJ60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31:AH60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6:H60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1:J60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6:L60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1:N60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6:P60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6:R60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1:T60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26:V60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1:X60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6:Z60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8B5BE5C5-568C-412A-95BB-B433B189B09E}">
            <x14:iconSet iconSet="3Symbols" custom="1">
              <x14:cfvo type="percent">
                <xm:f>0</xm:f>
              </x14:cfvo>
              <x14:cfvo type="num">
                <xm:f>-20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NoIcons" iconId="0"/>
            </x14:iconSet>
          </x14:cfRule>
          <xm:sqref>AF155:AF601</xm:sqref>
        </x14:conditionalFormatting>
        <x14:conditionalFormatting xmlns:xm="http://schemas.microsoft.com/office/excel/2006/main">
          <x14:cfRule type="iconSet" priority="13" id="{7C19F7C2-55BB-43E4-80BD-A1E76255CDD2}">
            <x14:iconSet iconSet="3Symbols" custom="1">
              <x14:cfvo type="percent">
                <xm:f>0</xm:f>
              </x14:cfvo>
              <x14:cfvo type="num">
                <xm:f>-30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NoIcons" iconId="0"/>
            </x14:iconSet>
          </x14:cfRule>
          <xm:sqref>AD155:AD601</xm:sqref>
        </x14:conditionalFormatting>
        <x14:conditionalFormatting xmlns:xm="http://schemas.microsoft.com/office/excel/2006/main">
          <x14:cfRule type="iconSet" priority="1" id="{E9B505C7-50DA-44FB-A578-826E45E25EF8}">
            <x14:iconSet iconSet="3Symbols" custom="1">
              <x14:cfvo type="percent">
                <xm:f>0</xm:f>
              </x14:cfvo>
              <x14:cfvo type="num">
                <xm:f>-20</xm:f>
              </x14:cfvo>
              <x14:cfvo type="num">
                <xm:f>0</xm:f>
              </x14:cfvo>
              <x14:cfIcon iconSet="3Symbols" iconId="0"/>
              <x14:cfIcon iconSet="NoIcons" iconId="0"/>
              <x14:cfIcon iconSet="NoIcons" iconId="0"/>
            </x14:iconSet>
          </x14:cfRule>
          <xm:sqref>AJ1:AJ1048576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A6C4-260B-48F6-8F29-DDCB25692857}">
  <sheetPr codeName="Planilha2"/>
  <dimension ref="A1:AF66"/>
  <sheetViews>
    <sheetView workbookViewId="0"/>
  </sheetViews>
  <sheetFormatPr defaultRowHeight="15" x14ac:dyDescent="0.25"/>
  <cols>
    <col min="1" max="1" width="49.42578125" bestFit="1" customWidth="1"/>
    <col min="2" max="2" width="20.85546875" customWidth="1"/>
    <col min="3" max="3" width="15.85546875" bestFit="1" customWidth="1"/>
    <col min="4" max="4" width="15.28515625" bestFit="1" customWidth="1"/>
    <col min="5" max="5" width="21" bestFit="1" customWidth="1"/>
    <col min="6" max="6" width="15.42578125" bestFit="1" customWidth="1"/>
    <col min="7" max="7" width="22.42578125" bestFit="1" customWidth="1"/>
    <col min="8" max="8" width="15.42578125" bestFit="1" customWidth="1"/>
    <col min="9" max="10" width="10.28515625" bestFit="1" customWidth="1"/>
    <col min="11" max="11" width="15.28515625" bestFit="1" customWidth="1"/>
    <col min="12" max="62" width="10.28515625" bestFit="1" customWidth="1"/>
    <col min="63" max="132" width="9.5703125" bestFit="1" customWidth="1"/>
    <col min="133" max="145" width="10.28515625" bestFit="1" customWidth="1"/>
  </cols>
  <sheetData>
    <row r="1" spans="1:11" x14ac:dyDescent="0.25">
      <c r="A1">
        <v>3</v>
      </c>
    </row>
    <row r="2" spans="1:11" x14ac:dyDescent="0.25">
      <c r="A2" t="s">
        <v>36</v>
      </c>
    </row>
    <row r="3" spans="1:11" x14ac:dyDescent="0.25">
      <c r="A3" t="s">
        <v>37</v>
      </c>
    </row>
    <row r="4" spans="1:11" x14ac:dyDescent="0.25">
      <c r="A4" t="s">
        <v>0</v>
      </c>
    </row>
    <row r="5" spans="1:11" hidden="1" x14ac:dyDescent="0.25"/>
    <row r="6" spans="1:11" hidden="1" x14ac:dyDescent="0.25"/>
    <row r="7" spans="1:11" hidden="1" x14ac:dyDescent="0.25"/>
    <row r="9" spans="1:11" s="7" customFormat="1" ht="31.5" x14ac:dyDescent="0.5">
      <c r="A9" s="24" t="s">
        <v>81</v>
      </c>
      <c r="B9" s="35">
        <f>IFERROR((($B$19*$B$15)-($B$11*$B$13))/(($B$19*$B$12)-($B$11*$B$11)),"")</f>
        <v>-5.636363636363638E-2</v>
      </c>
      <c r="C9" s="2" t="s">
        <v>34</v>
      </c>
      <c r="G9" s="8"/>
      <c r="K9" s="9"/>
    </row>
    <row r="10" spans="1:11" s="7" customFormat="1" ht="15.75" customHeight="1" x14ac:dyDescent="0.5">
      <c r="A10" s="4" t="s">
        <v>128</v>
      </c>
      <c r="B10" cm="1">
        <f t="array" ref="B10">LOOKUP(2,1/(LEN(C23:AF23)&gt;0),C23:AF23)</f>
        <v>2025</v>
      </c>
      <c r="C10" s="2"/>
      <c r="G10" s="8"/>
      <c r="K10" s="9"/>
    </row>
    <row r="11" spans="1:11" ht="15.75" x14ac:dyDescent="0.25">
      <c r="A11" s="4" t="s">
        <v>3</v>
      </c>
      <c r="B11" cm="1">
        <f t="array" ref="B11">LOOKUP(2,1/(LEN(C24:AF24)&gt;0),C24:AF24)</f>
        <v>45</v>
      </c>
      <c r="G11" s="6"/>
      <c r="K11" s="5"/>
    </row>
    <row r="12" spans="1:11" ht="15.75" x14ac:dyDescent="0.25">
      <c r="A12" s="4" t="s">
        <v>4</v>
      </c>
      <c r="B12" cm="1">
        <f t="array" ref="B12">LOOKUP(2,1/(LEN(C25:AF25)&gt;0),C25:AF25)</f>
        <v>285</v>
      </c>
      <c r="D12" s="5"/>
      <c r="G12" s="6"/>
      <c r="K12" s="5"/>
    </row>
    <row r="13" spans="1:11" ht="15.75" x14ac:dyDescent="0.25">
      <c r="A13" s="4" t="s">
        <v>5</v>
      </c>
      <c r="B13" cm="1">
        <f t="array" ref="B13">IF($A$1=1,LOOKUP(2,1/(LEN(C26:AF26)&gt;0),C26:AF26),IF($A$1=2,LOOKUP(2,1/(LEN(C29:AF29)&gt;0),C29:AF29),IF($A$1=3,LOOKUP(2,1/(LEN(C32:AF32)&gt;0),C32:AF32))))</f>
        <v>2.3800000000000003</v>
      </c>
      <c r="D13" s="5"/>
      <c r="G13" s="6"/>
      <c r="K13" s="5"/>
    </row>
    <row r="14" spans="1:11" ht="15.75" x14ac:dyDescent="0.25">
      <c r="A14" s="4" t="s">
        <v>6</v>
      </c>
      <c r="B14" cm="1">
        <f t="array" ref="B14">IF($A$1=1,LOOKUP(2,1/(LEN(C27:AF27)&gt;0),C27:AF27),IF($A$1=2,LOOKUP(2,1/(LEN(C30:AF30)&gt;0),C30:AF30),IF($A$1=3,LOOKUP(2,1/(LEN(C33:AF33)&gt;0),C33:AF33))))</f>
        <v>1.0393999999999997</v>
      </c>
      <c r="D14" s="5"/>
      <c r="G14" s="6"/>
      <c r="K14" s="5"/>
    </row>
    <row r="15" spans="1:11" ht="15.75" x14ac:dyDescent="0.25">
      <c r="A15" s="4" t="s">
        <v>7</v>
      </c>
      <c r="B15" cm="1">
        <f t="array" ref="B15">IF($A$1=1,LOOKUP(2,1/(LEN(C28:AF28)&gt;0),C28:AF28),IF($A$1=2,LOOKUP(2,1/(LEN(C31:AF31)&gt;0),C31:AF31),IF($A$1=3,LOOKUP(2,1/(LEN(C34:AF34)&gt;0),C34:AF34))))</f>
        <v>6.06</v>
      </c>
      <c r="G15" s="6"/>
      <c r="K15" s="5"/>
    </row>
    <row r="16" spans="1:11" ht="15.75" x14ac:dyDescent="0.25">
      <c r="G16" s="6"/>
      <c r="K16" s="5"/>
    </row>
    <row r="17" spans="1:32" ht="36" x14ac:dyDescent="0.55000000000000004">
      <c r="A17" s="10" t="s">
        <v>13</v>
      </c>
      <c r="B17" s="26">
        <v>161</v>
      </c>
      <c r="C17" s="2" t="s">
        <v>33</v>
      </c>
      <c r="G17" s="6"/>
      <c r="K17" s="5"/>
    </row>
    <row r="18" spans="1:32" ht="15.75" x14ac:dyDescent="0.25">
      <c r="A18" s="4"/>
      <c r="G18" s="6"/>
      <c r="K18" s="5"/>
    </row>
    <row r="19" spans="1:32" ht="36" x14ac:dyDescent="0.55000000000000004">
      <c r="A19" s="10" t="s">
        <v>10</v>
      </c>
      <c r="B19" s="25">
        <f>SizeOfBuffer</f>
        <v>10</v>
      </c>
      <c r="C19" s="2" t="s">
        <v>14</v>
      </c>
      <c r="D19" s="1"/>
    </row>
    <row r="20" spans="1:32" ht="15.75" x14ac:dyDescent="0.25">
      <c r="A20" s="4" t="s">
        <v>11</v>
      </c>
      <c r="B20">
        <v>10</v>
      </c>
      <c r="C20" s="2" t="s">
        <v>1</v>
      </c>
      <c r="D20" s="1"/>
    </row>
    <row r="21" spans="1:32" ht="15.75" x14ac:dyDescent="0.25">
      <c r="A21" s="4" t="s">
        <v>12</v>
      </c>
      <c r="B21">
        <v>1</v>
      </c>
      <c r="C21" s="2" t="s">
        <v>2</v>
      </c>
      <c r="D21" s="1"/>
    </row>
    <row r="22" spans="1:32" ht="36" x14ac:dyDescent="0.55000000000000004">
      <c r="A22" s="10" t="s">
        <v>78</v>
      </c>
      <c r="B22" s="25">
        <v>10</v>
      </c>
      <c r="C22" s="2" t="s">
        <v>32</v>
      </c>
      <c r="D22" s="1"/>
      <c r="E22" s="2"/>
    </row>
    <row r="23" spans="1:32" x14ac:dyDescent="0.25">
      <c r="A23" s="4" t="s">
        <v>127</v>
      </c>
      <c r="B23">
        <f>IFERROR(B24*B24,"")</f>
        <v>0</v>
      </c>
      <c r="C23">
        <f t="shared" ref="C23:AF23" si="0">IFERROR(C24*C24,"")</f>
        <v>0</v>
      </c>
      <c r="D23">
        <f t="shared" si="0"/>
        <v>1</v>
      </c>
      <c r="E23">
        <f t="shared" si="0"/>
        <v>9</v>
      </c>
      <c r="F23">
        <f t="shared" si="0"/>
        <v>36</v>
      </c>
      <c r="G23">
        <f t="shared" si="0"/>
        <v>100</v>
      </c>
      <c r="H23">
        <f t="shared" si="0"/>
        <v>225</v>
      </c>
      <c r="I23">
        <f t="shared" si="0"/>
        <v>441</v>
      </c>
      <c r="J23">
        <f t="shared" si="0"/>
        <v>784</v>
      </c>
      <c r="K23">
        <f t="shared" si="0"/>
        <v>1296</v>
      </c>
      <c r="L23">
        <f t="shared" si="0"/>
        <v>2025</v>
      </c>
      <c r="M23" t="str">
        <f t="shared" si="0"/>
        <v/>
      </c>
      <c r="N23" t="str">
        <f t="shared" si="0"/>
        <v/>
      </c>
      <c r="O23" t="str">
        <f t="shared" si="0"/>
        <v/>
      </c>
      <c r="P23" t="str">
        <f t="shared" si="0"/>
        <v/>
      </c>
      <c r="Q23" t="str">
        <f t="shared" si="0"/>
        <v/>
      </c>
      <c r="R23" t="str">
        <f t="shared" si="0"/>
        <v/>
      </c>
      <c r="S23" t="str">
        <f t="shared" si="0"/>
        <v/>
      </c>
      <c r="T23" t="str">
        <f t="shared" si="0"/>
        <v/>
      </c>
      <c r="U23" t="str">
        <f t="shared" si="0"/>
        <v/>
      </c>
      <c r="V23" t="str">
        <f t="shared" si="0"/>
        <v/>
      </c>
      <c r="W23" t="str">
        <f t="shared" si="0"/>
        <v/>
      </c>
      <c r="X23" t="str">
        <f t="shared" si="0"/>
        <v/>
      </c>
      <c r="Y23" t="str">
        <f t="shared" si="0"/>
        <v/>
      </c>
      <c r="Z23" t="str">
        <f t="shared" si="0"/>
        <v/>
      </c>
      <c r="AA23" t="str">
        <f t="shared" si="0"/>
        <v/>
      </c>
      <c r="AB23" t="str">
        <f t="shared" si="0"/>
        <v/>
      </c>
      <c r="AC23" t="str">
        <f t="shared" si="0"/>
        <v/>
      </c>
      <c r="AD23" t="str">
        <f t="shared" si="0"/>
        <v/>
      </c>
      <c r="AE23" t="str">
        <f t="shared" si="0"/>
        <v/>
      </c>
      <c r="AF23" t="str">
        <f t="shared" si="0"/>
        <v/>
      </c>
    </row>
    <row r="24" spans="1:32" x14ac:dyDescent="0.25">
      <c r="A24" s="4" t="s">
        <v>3</v>
      </c>
      <c r="B24">
        <v>0</v>
      </c>
      <c r="C24">
        <f>IFERROR(B24+VLOOKUP(C36,$A$37:$B$66,2,0),"")</f>
        <v>0</v>
      </c>
      <c r="D24">
        <f t="shared" ref="D24:AF24" si="1">IFERROR(C24+VLOOKUP(D36,$A$37:$B$66,2,0),"")</f>
        <v>1</v>
      </c>
      <c r="E24">
        <f t="shared" si="1"/>
        <v>3</v>
      </c>
      <c r="F24">
        <f t="shared" si="1"/>
        <v>6</v>
      </c>
      <c r="G24">
        <f t="shared" si="1"/>
        <v>10</v>
      </c>
      <c r="H24">
        <f t="shared" si="1"/>
        <v>15</v>
      </c>
      <c r="I24">
        <f t="shared" si="1"/>
        <v>21</v>
      </c>
      <c r="J24">
        <f t="shared" si="1"/>
        <v>28</v>
      </c>
      <c r="K24">
        <f t="shared" si="1"/>
        <v>36</v>
      </c>
      <c r="L24">
        <f t="shared" si="1"/>
        <v>45</v>
      </c>
      <c r="M24" t="str">
        <f t="shared" si="1"/>
        <v/>
      </c>
      <c r="N24" t="str">
        <f t="shared" si="1"/>
        <v/>
      </c>
      <c r="O24" t="str">
        <f t="shared" si="1"/>
        <v/>
      </c>
      <c r="P24" t="str">
        <f t="shared" si="1"/>
        <v/>
      </c>
      <c r="Q24" t="str">
        <f t="shared" si="1"/>
        <v/>
      </c>
      <c r="R24" t="str">
        <f t="shared" si="1"/>
        <v/>
      </c>
      <c r="S24" t="str">
        <f t="shared" si="1"/>
        <v/>
      </c>
      <c r="T24" t="str">
        <f t="shared" si="1"/>
        <v/>
      </c>
      <c r="U24" t="str">
        <f t="shared" si="1"/>
        <v/>
      </c>
      <c r="V24" t="str">
        <f t="shared" si="1"/>
        <v/>
      </c>
      <c r="W24" t="str">
        <f t="shared" si="1"/>
        <v/>
      </c>
      <c r="X24" t="str">
        <f t="shared" si="1"/>
        <v/>
      </c>
      <c r="Y24" t="str">
        <f t="shared" si="1"/>
        <v/>
      </c>
      <c r="Z24" t="str">
        <f t="shared" si="1"/>
        <v/>
      </c>
      <c r="AA24" t="str">
        <f t="shared" si="1"/>
        <v/>
      </c>
      <c r="AB24" t="str">
        <f t="shared" si="1"/>
        <v/>
      </c>
      <c r="AC24" t="str">
        <f t="shared" si="1"/>
        <v/>
      </c>
      <c r="AD24" t="str">
        <f t="shared" si="1"/>
        <v/>
      </c>
      <c r="AE24" t="str">
        <f t="shared" si="1"/>
        <v/>
      </c>
      <c r="AF24" t="str">
        <f t="shared" si="1"/>
        <v/>
      </c>
    </row>
    <row r="25" spans="1:32" x14ac:dyDescent="0.25">
      <c r="A25" s="4" t="s">
        <v>4</v>
      </c>
      <c r="B25">
        <v>0</v>
      </c>
      <c r="C25">
        <f>IFERROR(B25+POWER(VLOOKUP(C36,$A$37:$B$66,2,0),2),"")</f>
        <v>0</v>
      </c>
      <c r="D25">
        <f t="shared" ref="D25:AF25" si="2">IFERROR(C25+POWER(VLOOKUP(D36,$A$37:$B$66,2,0),2),"")</f>
        <v>1</v>
      </c>
      <c r="E25">
        <f t="shared" si="2"/>
        <v>5</v>
      </c>
      <c r="F25">
        <f t="shared" si="2"/>
        <v>14</v>
      </c>
      <c r="G25">
        <f t="shared" si="2"/>
        <v>30</v>
      </c>
      <c r="H25">
        <f t="shared" si="2"/>
        <v>55</v>
      </c>
      <c r="I25">
        <f t="shared" si="2"/>
        <v>91</v>
      </c>
      <c r="J25">
        <f t="shared" si="2"/>
        <v>140</v>
      </c>
      <c r="K25">
        <f t="shared" si="2"/>
        <v>204</v>
      </c>
      <c r="L25">
        <f t="shared" si="2"/>
        <v>285</v>
      </c>
      <c r="M25" t="str">
        <f t="shared" si="2"/>
        <v/>
      </c>
      <c r="N25" t="str">
        <f t="shared" si="2"/>
        <v/>
      </c>
      <c r="O25" t="str">
        <f t="shared" si="2"/>
        <v/>
      </c>
      <c r="P25" t="str">
        <f t="shared" si="2"/>
        <v/>
      </c>
      <c r="Q25" t="str">
        <f t="shared" si="2"/>
        <v/>
      </c>
      <c r="R25" t="str">
        <f t="shared" si="2"/>
        <v/>
      </c>
      <c r="S25" t="str">
        <f t="shared" si="2"/>
        <v/>
      </c>
      <c r="T25" t="str">
        <f t="shared" si="2"/>
        <v/>
      </c>
      <c r="U25" t="str">
        <f t="shared" si="2"/>
        <v/>
      </c>
      <c r="V25" t="str">
        <f t="shared" si="2"/>
        <v/>
      </c>
      <c r="W25" t="str">
        <f t="shared" si="2"/>
        <v/>
      </c>
      <c r="X25" t="str">
        <f t="shared" si="2"/>
        <v/>
      </c>
      <c r="Y25" t="str">
        <f t="shared" si="2"/>
        <v/>
      </c>
      <c r="Z25" t="str">
        <f t="shared" si="2"/>
        <v/>
      </c>
      <c r="AA25" t="str">
        <f t="shared" si="2"/>
        <v/>
      </c>
      <c r="AB25" t="str">
        <f t="shared" si="2"/>
        <v/>
      </c>
      <c r="AC25" t="str">
        <f t="shared" si="2"/>
        <v/>
      </c>
      <c r="AD25" t="str">
        <f t="shared" si="2"/>
        <v/>
      </c>
      <c r="AE25" t="str">
        <f t="shared" si="2"/>
        <v/>
      </c>
      <c r="AF25" t="str">
        <f t="shared" si="2"/>
        <v/>
      </c>
    </row>
    <row r="26" spans="1:32" x14ac:dyDescent="0.25">
      <c r="A26" s="4" t="s">
        <v>38</v>
      </c>
      <c r="B26">
        <v>0</v>
      </c>
      <c r="C26">
        <f>IFERROR(B26+VLOOKUP(C$36,$C$37:$D$66,2,0),"")</f>
        <v>19.96</v>
      </c>
      <c r="D26">
        <f t="shared" ref="D26:AF26" si="3">IFERROR(C26+VLOOKUP(D36,$C$37:$D$66,2,0),"")</f>
        <v>40</v>
      </c>
      <c r="E26">
        <f t="shared" si="3"/>
        <v>60.11</v>
      </c>
      <c r="F26">
        <f t="shared" si="3"/>
        <v>80.19</v>
      </c>
      <c r="G26">
        <f t="shared" si="3"/>
        <v>100.33</v>
      </c>
      <c r="H26">
        <f t="shared" si="3"/>
        <v>120.38</v>
      </c>
      <c r="I26">
        <f t="shared" si="3"/>
        <v>140.03</v>
      </c>
      <c r="J26">
        <f t="shared" si="3"/>
        <v>160.02000000000001</v>
      </c>
      <c r="K26">
        <f t="shared" si="3"/>
        <v>179.99</v>
      </c>
      <c r="L26">
        <f t="shared" si="3"/>
        <v>199.94</v>
      </c>
      <c r="M26" t="str">
        <f t="shared" si="3"/>
        <v/>
      </c>
      <c r="N26" t="str">
        <f t="shared" si="3"/>
        <v/>
      </c>
      <c r="O26" t="str">
        <f t="shared" si="3"/>
        <v/>
      </c>
      <c r="P26" t="str">
        <f t="shared" si="3"/>
        <v/>
      </c>
      <c r="Q26" t="str">
        <f t="shared" si="3"/>
        <v/>
      </c>
      <c r="R26" t="str">
        <f t="shared" si="3"/>
        <v/>
      </c>
      <c r="S26" t="str">
        <f t="shared" si="3"/>
        <v/>
      </c>
      <c r="T26" t="str">
        <f t="shared" si="3"/>
        <v/>
      </c>
      <c r="U26" t="str">
        <f t="shared" si="3"/>
        <v/>
      </c>
      <c r="V26" t="str">
        <f t="shared" si="3"/>
        <v/>
      </c>
      <c r="W26" t="str">
        <f t="shared" si="3"/>
        <v/>
      </c>
      <c r="X26" t="str">
        <f t="shared" si="3"/>
        <v/>
      </c>
      <c r="Y26" t="str">
        <f t="shared" si="3"/>
        <v/>
      </c>
      <c r="Z26" t="str">
        <f t="shared" si="3"/>
        <v/>
      </c>
      <c r="AA26" t="str">
        <f t="shared" si="3"/>
        <v/>
      </c>
      <c r="AB26" t="str">
        <f t="shared" si="3"/>
        <v/>
      </c>
      <c r="AC26" t="str">
        <f t="shared" si="3"/>
        <v/>
      </c>
      <c r="AD26" t="str">
        <f t="shared" si="3"/>
        <v/>
      </c>
      <c r="AE26" t="str">
        <f t="shared" si="3"/>
        <v/>
      </c>
      <c r="AF26" t="str">
        <f t="shared" si="3"/>
        <v/>
      </c>
    </row>
    <row r="27" spans="1:32" x14ac:dyDescent="0.25">
      <c r="A27" s="4" t="s">
        <v>39</v>
      </c>
      <c r="B27">
        <v>0</v>
      </c>
      <c r="C27">
        <f>IFERROR(B27+POWER(VLOOKUP(C$36,$C$37:$D$66,2,0),2),"")</f>
        <v>398.40160000000003</v>
      </c>
      <c r="D27">
        <f t="shared" ref="D27:AF27" si="4">IFERROR(C27+POWER(VLOOKUP(D36,$C$37:$D$66,2,0),2),"")</f>
        <v>800.00319999999999</v>
      </c>
      <c r="E27">
        <f t="shared" si="4"/>
        <v>1204.4152999999999</v>
      </c>
      <c r="F27">
        <f t="shared" si="4"/>
        <v>1607.6216999999997</v>
      </c>
      <c r="G27">
        <f t="shared" si="4"/>
        <v>2013.2412999999997</v>
      </c>
      <c r="H27">
        <f t="shared" si="4"/>
        <v>2415.2437999999997</v>
      </c>
      <c r="I27">
        <f t="shared" si="4"/>
        <v>2801.3662999999997</v>
      </c>
      <c r="J27">
        <f t="shared" si="4"/>
        <v>3200.9663999999998</v>
      </c>
      <c r="K27">
        <f t="shared" si="4"/>
        <v>3599.7672999999995</v>
      </c>
      <c r="L27">
        <f t="shared" si="4"/>
        <v>3997.7697999999996</v>
      </c>
      <c r="M27" t="str">
        <f t="shared" si="4"/>
        <v/>
      </c>
      <c r="N27" t="str">
        <f t="shared" si="4"/>
        <v/>
      </c>
      <c r="O27" t="str">
        <f t="shared" si="4"/>
        <v/>
      </c>
      <c r="P27" t="str">
        <f t="shared" si="4"/>
        <v/>
      </c>
      <c r="Q27" t="str">
        <f t="shared" si="4"/>
        <v/>
      </c>
      <c r="R27" t="str">
        <f t="shared" si="4"/>
        <v/>
      </c>
      <c r="S27" t="str">
        <f t="shared" si="4"/>
        <v/>
      </c>
      <c r="T27" t="str">
        <f t="shared" si="4"/>
        <v/>
      </c>
      <c r="U27" t="str">
        <f t="shared" si="4"/>
        <v/>
      </c>
      <c r="V27" t="str">
        <f t="shared" si="4"/>
        <v/>
      </c>
      <c r="W27" t="str">
        <f t="shared" si="4"/>
        <v/>
      </c>
      <c r="X27" t="str">
        <f t="shared" si="4"/>
        <v/>
      </c>
      <c r="Y27" t="str">
        <f t="shared" si="4"/>
        <v/>
      </c>
      <c r="Z27" t="str">
        <f t="shared" si="4"/>
        <v/>
      </c>
      <c r="AA27" t="str">
        <f t="shared" si="4"/>
        <v/>
      </c>
      <c r="AB27" t="str">
        <f t="shared" si="4"/>
        <v/>
      </c>
      <c r="AC27" t="str">
        <f t="shared" si="4"/>
        <v/>
      </c>
      <c r="AD27" t="str">
        <f t="shared" si="4"/>
        <v/>
      </c>
      <c r="AE27" t="str">
        <f t="shared" si="4"/>
        <v/>
      </c>
      <c r="AF27" t="str">
        <f t="shared" si="4"/>
        <v/>
      </c>
    </row>
    <row r="28" spans="1:32" x14ac:dyDescent="0.25">
      <c r="A28" s="4" t="s">
        <v>40</v>
      </c>
      <c r="B28">
        <v>0</v>
      </c>
      <c r="C28">
        <f>IFERROR(B28+VLOOKUP(C$36,$A$37:$B$66,2,0)*VLOOKUP(C$36,$C$37:$D$66,2,0),"")</f>
        <v>0</v>
      </c>
      <c r="D28">
        <f t="shared" ref="D28:AF28" si="5">IFERROR(C28+VLOOKUP(D36,$A$37:$B$66,2,0)*VLOOKUP(D36,$C$37:$D$66,2,0),"")</f>
        <v>20.04</v>
      </c>
      <c r="E28">
        <f t="shared" si="5"/>
        <v>60.26</v>
      </c>
      <c r="F28">
        <f t="shared" si="5"/>
        <v>120.5</v>
      </c>
      <c r="G28">
        <f t="shared" si="5"/>
        <v>201.06</v>
      </c>
      <c r="H28">
        <f t="shared" si="5"/>
        <v>301.31</v>
      </c>
      <c r="I28">
        <f t="shared" si="5"/>
        <v>419.21</v>
      </c>
      <c r="J28">
        <f t="shared" si="5"/>
        <v>559.14</v>
      </c>
      <c r="K28">
        <f t="shared" si="5"/>
        <v>718.9</v>
      </c>
      <c r="L28">
        <f t="shared" si="5"/>
        <v>898.44999999999993</v>
      </c>
      <c r="M28" t="str">
        <f t="shared" si="5"/>
        <v/>
      </c>
      <c r="N28" t="str">
        <f t="shared" si="5"/>
        <v/>
      </c>
      <c r="O28" t="str">
        <f t="shared" si="5"/>
        <v/>
      </c>
      <c r="P28" t="str">
        <f t="shared" si="5"/>
        <v/>
      </c>
      <c r="Q28" t="str">
        <f t="shared" si="5"/>
        <v/>
      </c>
      <c r="R28" t="str">
        <f t="shared" si="5"/>
        <v/>
      </c>
      <c r="S28" t="str">
        <f t="shared" si="5"/>
        <v/>
      </c>
      <c r="T28" t="str">
        <f t="shared" si="5"/>
        <v/>
      </c>
      <c r="U28" t="str">
        <f t="shared" si="5"/>
        <v/>
      </c>
      <c r="V28" t="str">
        <f t="shared" si="5"/>
        <v/>
      </c>
      <c r="W28" t="str">
        <f t="shared" si="5"/>
        <v/>
      </c>
      <c r="X28" t="str">
        <f t="shared" si="5"/>
        <v/>
      </c>
      <c r="Y28" t="str">
        <f t="shared" si="5"/>
        <v/>
      </c>
      <c r="Z28" t="str">
        <f t="shared" si="5"/>
        <v/>
      </c>
      <c r="AA28" t="str">
        <f t="shared" si="5"/>
        <v/>
      </c>
      <c r="AB28" t="str">
        <f t="shared" si="5"/>
        <v/>
      </c>
      <c r="AC28" t="str">
        <f t="shared" si="5"/>
        <v/>
      </c>
      <c r="AD28" t="str">
        <f t="shared" si="5"/>
        <v/>
      </c>
      <c r="AE28" t="str">
        <f t="shared" si="5"/>
        <v/>
      </c>
      <c r="AF28" t="str">
        <f t="shared" si="5"/>
        <v/>
      </c>
    </row>
    <row r="29" spans="1:32" x14ac:dyDescent="0.25">
      <c r="A29" s="4" t="s">
        <v>41</v>
      </c>
      <c r="B29">
        <v>0</v>
      </c>
      <c r="C29">
        <f>IFERROR(B29+VLOOKUP(C$36,$E$37:$F$66,2,0),"")</f>
        <v>-0.32</v>
      </c>
      <c r="D29">
        <f t="shared" ref="D29:AF29" si="6">IFERROR(C29+VLOOKUP(D$36,$E$37:$F$66,2,0),"")</f>
        <v>2.02</v>
      </c>
      <c r="E29">
        <f t="shared" si="6"/>
        <v>4.01</v>
      </c>
      <c r="F29">
        <f t="shared" si="6"/>
        <v>3.0999999999999996</v>
      </c>
      <c r="G29">
        <f t="shared" si="6"/>
        <v>4.8899999999999997</v>
      </c>
      <c r="H29">
        <f t="shared" si="6"/>
        <v>3.3899999999999997</v>
      </c>
      <c r="I29">
        <f t="shared" si="6"/>
        <v>1.8899999999999997</v>
      </c>
      <c r="J29">
        <f t="shared" si="6"/>
        <v>0.38999999999999968</v>
      </c>
      <c r="K29">
        <f t="shared" si="6"/>
        <v>-1.1100000000000003</v>
      </c>
      <c r="L29">
        <f t="shared" si="6"/>
        <v>-2.6100000000000003</v>
      </c>
      <c r="M29" t="str">
        <f t="shared" si="6"/>
        <v/>
      </c>
      <c r="N29" t="str">
        <f t="shared" si="6"/>
        <v/>
      </c>
      <c r="O29" t="str">
        <f t="shared" si="6"/>
        <v/>
      </c>
      <c r="P29" t="str">
        <f t="shared" si="6"/>
        <v/>
      </c>
      <c r="Q29" t="str">
        <f t="shared" si="6"/>
        <v/>
      </c>
      <c r="R29" t="str">
        <f t="shared" si="6"/>
        <v/>
      </c>
      <c r="S29" t="str">
        <f t="shared" si="6"/>
        <v/>
      </c>
      <c r="T29" t="str">
        <f t="shared" si="6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6"/>
        <v/>
      </c>
      <c r="AA29" t="str">
        <f t="shared" si="6"/>
        <v/>
      </c>
      <c r="AB29" t="str">
        <f t="shared" si="6"/>
        <v/>
      </c>
      <c r="AC29" t="str">
        <f t="shared" si="6"/>
        <v/>
      </c>
      <c r="AD29" t="str">
        <f t="shared" si="6"/>
        <v/>
      </c>
      <c r="AE29" t="str">
        <f t="shared" si="6"/>
        <v/>
      </c>
      <c r="AF29" t="str">
        <f t="shared" si="6"/>
        <v/>
      </c>
    </row>
    <row r="30" spans="1:32" x14ac:dyDescent="0.25">
      <c r="A30" s="4" t="s">
        <v>42</v>
      </c>
      <c r="B30">
        <v>0</v>
      </c>
      <c r="C30">
        <f>IFERROR(B30+POWER(VLOOKUP(C$36,$E$37:$F$66,2,0),2),"")</f>
        <v>0.1024</v>
      </c>
      <c r="D30">
        <f t="shared" ref="D30:AF30" si="7">IFERROR(C30+POWER(VLOOKUP(D$36,$E$37:$F$66,2,0),2),"")</f>
        <v>5.5779999999999994</v>
      </c>
      <c r="E30">
        <f t="shared" si="7"/>
        <v>9.5381</v>
      </c>
      <c r="F30">
        <f t="shared" si="7"/>
        <v>10.366199999999999</v>
      </c>
      <c r="G30">
        <f t="shared" si="7"/>
        <v>13.5703</v>
      </c>
      <c r="H30">
        <f t="shared" si="7"/>
        <v>15.8203</v>
      </c>
      <c r="I30">
        <f t="shared" si="7"/>
        <v>18.0703</v>
      </c>
      <c r="J30">
        <f t="shared" si="7"/>
        <v>20.3203</v>
      </c>
      <c r="K30">
        <f t="shared" si="7"/>
        <v>22.5703</v>
      </c>
      <c r="L30">
        <f t="shared" si="7"/>
        <v>24.8203</v>
      </c>
      <c r="M30" t="str">
        <f t="shared" si="7"/>
        <v/>
      </c>
      <c r="N30" t="str">
        <f t="shared" si="7"/>
        <v/>
      </c>
      <c r="O30" t="str">
        <f t="shared" si="7"/>
        <v/>
      </c>
      <c r="P30" t="str">
        <f t="shared" si="7"/>
        <v/>
      </c>
      <c r="Q30" t="str">
        <f t="shared" si="7"/>
        <v/>
      </c>
      <c r="R30" t="str">
        <f t="shared" si="7"/>
        <v/>
      </c>
      <c r="S30" t="str">
        <f t="shared" si="7"/>
        <v/>
      </c>
      <c r="T30" t="str">
        <f t="shared" si="7"/>
        <v/>
      </c>
      <c r="U30" t="str">
        <f t="shared" si="7"/>
        <v/>
      </c>
      <c r="V30" t="str">
        <f t="shared" si="7"/>
        <v/>
      </c>
      <c r="W30" t="str">
        <f t="shared" si="7"/>
        <v/>
      </c>
      <c r="X30" t="str">
        <f t="shared" si="7"/>
        <v/>
      </c>
      <c r="Y30" t="str">
        <f t="shared" si="7"/>
        <v/>
      </c>
      <c r="Z30" t="str">
        <f t="shared" si="7"/>
        <v/>
      </c>
      <c r="AA30" t="str">
        <f t="shared" si="7"/>
        <v/>
      </c>
      <c r="AB30" t="str">
        <f t="shared" si="7"/>
        <v/>
      </c>
      <c r="AC30" t="str">
        <f t="shared" si="7"/>
        <v/>
      </c>
      <c r="AD30" t="str">
        <f t="shared" si="7"/>
        <v/>
      </c>
      <c r="AE30" t="str">
        <f t="shared" si="7"/>
        <v/>
      </c>
      <c r="AF30" t="str">
        <f t="shared" si="7"/>
        <v/>
      </c>
    </row>
    <row r="31" spans="1:32" x14ac:dyDescent="0.25">
      <c r="A31" s="4" t="s">
        <v>43</v>
      </c>
      <c r="B31">
        <v>0</v>
      </c>
      <c r="C31">
        <f>IFERROR(B31+VLOOKUP(C$36,$A$37:$B$66,2,0)*VLOOKUP(C$36,$E$37:$F$66,2,0),"")</f>
        <v>0</v>
      </c>
      <c r="D31">
        <f t="shared" ref="D31:AF31" si="8">IFERROR(C31+VLOOKUP(D$36,$A$37:$B$66,2,0)*VLOOKUP(D$36,$E$37:$F$66,2,0),"")</f>
        <v>2.34</v>
      </c>
      <c r="E31">
        <f t="shared" si="8"/>
        <v>6.32</v>
      </c>
      <c r="F31">
        <f t="shared" si="8"/>
        <v>3.5900000000000003</v>
      </c>
      <c r="G31">
        <f t="shared" si="8"/>
        <v>10.75</v>
      </c>
      <c r="H31">
        <f t="shared" si="8"/>
        <v>3.25</v>
      </c>
      <c r="I31">
        <f t="shared" si="8"/>
        <v>-5.75</v>
      </c>
      <c r="J31">
        <f t="shared" si="8"/>
        <v>-16.25</v>
      </c>
      <c r="K31">
        <f t="shared" si="8"/>
        <v>-28.25</v>
      </c>
      <c r="L31">
        <f t="shared" si="8"/>
        <v>-41.75</v>
      </c>
      <c r="M31" t="str">
        <f t="shared" si="8"/>
        <v/>
      </c>
      <c r="N31" t="str">
        <f t="shared" si="8"/>
        <v/>
      </c>
      <c r="O31" t="str">
        <f t="shared" si="8"/>
        <v/>
      </c>
      <c r="P31" t="str">
        <f t="shared" si="8"/>
        <v/>
      </c>
      <c r="Q31" t="str">
        <f t="shared" si="8"/>
        <v/>
      </c>
      <c r="R31" t="str">
        <f t="shared" si="8"/>
        <v/>
      </c>
      <c r="S31" t="str">
        <f t="shared" si="8"/>
        <v/>
      </c>
      <c r="T31" t="str">
        <f t="shared" si="8"/>
        <v/>
      </c>
      <c r="U31" t="str">
        <f t="shared" si="8"/>
        <v/>
      </c>
      <c r="V31" t="str">
        <f t="shared" si="8"/>
        <v/>
      </c>
      <c r="W31" t="str">
        <f t="shared" si="8"/>
        <v/>
      </c>
      <c r="X31" t="str">
        <f t="shared" si="8"/>
        <v/>
      </c>
      <c r="Y31" t="str">
        <f t="shared" si="8"/>
        <v/>
      </c>
      <c r="Z31" t="str">
        <f t="shared" si="8"/>
        <v/>
      </c>
      <c r="AA31" t="str">
        <f t="shared" si="8"/>
        <v/>
      </c>
      <c r="AB31" t="str">
        <f t="shared" si="8"/>
        <v/>
      </c>
      <c r="AC31" t="str">
        <f t="shared" si="8"/>
        <v/>
      </c>
      <c r="AD31" t="str">
        <f t="shared" si="8"/>
        <v/>
      </c>
      <c r="AE31" t="str">
        <f t="shared" si="8"/>
        <v/>
      </c>
      <c r="AF31" t="str">
        <f t="shared" si="8"/>
        <v/>
      </c>
    </row>
    <row r="32" spans="1:32" x14ac:dyDescent="0.25">
      <c r="A32" s="4" t="s">
        <v>44</v>
      </c>
      <c r="B32">
        <v>0</v>
      </c>
      <c r="C32">
        <f>IFERROR(B32+VLOOKUP(C$36,$G$37:$H$66,2,0),"")</f>
        <v>0.21</v>
      </c>
      <c r="D32">
        <f t="shared" ref="D32:AF32" si="9">IFERROR(C32+VLOOKUP(D$36,$G$37:$H$66,2,0),"")</f>
        <v>0.59</v>
      </c>
      <c r="E32">
        <f t="shared" si="9"/>
        <v>1.0899999999999999</v>
      </c>
      <c r="F32">
        <f t="shared" si="9"/>
        <v>1.48</v>
      </c>
      <c r="G32">
        <f t="shared" si="9"/>
        <v>1.98</v>
      </c>
      <c r="H32">
        <f t="shared" si="9"/>
        <v>2.33</v>
      </c>
      <c r="I32">
        <f t="shared" si="9"/>
        <v>2.5300000000000002</v>
      </c>
      <c r="J32">
        <f t="shared" si="9"/>
        <v>2.6</v>
      </c>
      <c r="K32">
        <f t="shared" si="9"/>
        <v>2.5500000000000003</v>
      </c>
      <c r="L32">
        <f t="shared" si="9"/>
        <v>2.3800000000000003</v>
      </c>
      <c r="M32" t="str">
        <f t="shared" si="9"/>
        <v/>
      </c>
      <c r="N32" t="str">
        <f t="shared" si="9"/>
        <v/>
      </c>
      <c r="O32" t="str">
        <f t="shared" si="9"/>
        <v/>
      </c>
      <c r="P32" t="str">
        <f t="shared" si="9"/>
        <v/>
      </c>
      <c r="Q32" t="str">
        <f t="shared" si="9"/>
        <v/>
      </c>
      <c r="R32" t="str">
        <f t="shared" si="9"/>
        <v/>
      </c>
      <c r="S32" t="str">
        <f t="shared" si="9"/>
        <v/>
      </c>
      <c r="T32" t="str">
        <f t="shared" si="9"/>
        <v/>
      </c>
      <c r="U32" t="str">
        <f t="shared" si="9"/>
        <v/>
      </c>
      <c r="V32" t="str">
        <f t="shared" si="9"/>
        <v/>
      </c>
      <c r="W32" t="str">
        <f t="shared" si="9"/>
        <v/>
      </c>
      <c r="X32" t="str">
        <f t="shared" si="9"/>
        <v/>
      </c>
      <c r="Y32" t="str">
        <f t="shared" si="9"/>
        <v/>
      </c>
      <c r="Z32" t="str">
        <f t="shared" si="9"/>
        <v/>
      </c>
      <c r="AA32" t="str">
        <f t="shared" si="9"/>
        <v/>
      </c>
      <c r="AB32" t="str">
        <f t="shared" si="9"/>
        <v/>
      </c>
      <c r="AC32" t="str">
        <f t="shared" si="9"/>
        <v/>
      </c>
      <c r="AD32" t="str">
        <f t="shared" si="9"/>
        <v/>
      </c>
      <c r="AE32" t="str">
        <f t="shared" si="9"/>
        <v/>
      </c>
      <c r="AF32" t="str">
        <f t="shared" si="9"/>
        <v/>
      </c>
    </row>
    <row r="33" spans="1:32" x14ac:dyDescent="0.25">
      <c r="A33" s="4" t="s">
        <v>45</v>
      </c>
      <c r="B33">
        <v>0</v>
      </c>
      <c r="C33">
        <f>IFERROR(B33+POWER(VLOOKUP(C$36,$G$37:$H$66,2,0),2),"")</f>
        <v>4.4099999999999993E-2</v>
      </c>
      <c r="D33">
        <f t="shared" ref="D33:AF33" si="10">IFERROR(C33+POWER(VLOOKUP(D$36,$G$37:$H$66,2,0),2),"")</f>
        <v>0.1885</v>
      </c>
      <c r="E33">
        <f t="shared" si="10"/>
        <v>0.4385</v>
      </c>
      <c r="F33">
        <f t="shared" si="10"/>
        <v>0.59060000000000001</v>
      </c>
      <c r="G33">
        <f t="shared" si="10"/>
        <v>0.84060000000000001</v>
      </c>
      <c r="H33">
        <f t="shared" si="10"/>
        <v>0.96309999999999996</v>
      </c>
      <c r="I33">
        <f t="shared" si="10"/>
        <v>1.0030999999999999</v>
      </c>
      <c r="J33">
        <f t="shared" si="10"/>
        <v>1.0079999999999998</v>
      </c>
      <c r="K33">
        <f t="shared" si="10"/>
        <v>1.0104999999999997</v>
      </c>
      <c r="L33">
        <f t="shared" si="10"/>
        <v>1.0393999999999997</v>
      </c>
      <c r="M33" t="str">
        <f t="shared" si="10"/>
        <v/>
      </c>
      <c r="N33" t="str">
        <f t="shared" si="10"/>
        <v/>
      </c>
      <c r="O33" t="str">
        <f t="shared" si="10"/>
        <v/>
      </c>
      <c r="P33" t="str">
        <f t="shared" si="10"/>
        <v/>
      </c>
      <c r="Q33" t="str">
        <f t="shared" si="10"/>
        <v/>
      </c>
      <c r="R33" t="str">
        <f t="shared" si="10"/>
        <v/>
      </c>
      <c r="S33" t="str">
        <f t="shared" si="10"/>
        <v/>
      </c>
      <c r="T33" t="str">
        <f t="shared" si="10"/>
        <v/>
      </c>
      <c r="U33" t="str">
        <f t="shared" si="10"/>
        <v/>
      </c>
      <c r="V33" t="str">
        <f t="shared" si="10"/>
        <v/>
      </c>
      <c r="W33" t="str">
        <f t="shared" si="10"/>
        <v/>
      </c>
      <c r="X33" t="str">
        <f t="shared" si="10"/>
        <v/>
      </c>
      <c r="Y33" t="str">
        <f t="shared" si="10"/>
        <v/>
      </c>
      <c r="Z33" t="str">
        <f t="shared" si="10"/>
        <v/>
      </c>
      <c r="AA33" t="str">
        <f t="shared" si="10"/>
        <v/>
      </c>
      <c r="AB33" t="str">
        <f t="shared" si="10"/>
        <v/>
      </c>
      <c r="AC33" t="str">
        <f t="shared" si="10"/>
        <v/>
      </c>
      <c r="AD33" t="str">
        <f t="shared" si="10"/>
        <v/>
      </c>
      <c r="AE33" t="str">
        <f t="shared" si="10"/>
        <v/>
      </c>
      <c r="AF33" t="str">
        <f t="shared" si="10"/>
        <v/>
      </c>
    </row>
    <row r="34" spans="1:32" x14ac:dyDescent="0.25">
      <c r="A34" s="4" t="s">
        <v>46</v>
      </c>
      <c r="B34">
        <v>0</v>
      </c>
      <c r="C34">
        <f>IFERROR(B34+VLOOKUP(C$36,$A$37:$B$66,2,0)*VLOOKUP(C$36,$G$37:$H$66,2,0),"")</f>
        <v>0</v>
      </c>
      <c r="D34">
        <f t="shared" ref="D34:AF34" si="11">IFERROR(C34+VLOOKUP(D$36,$A$37:$B$66,2,0)*VLOOKUP(D$36,$G$37:$H$66,2,0),"")</f>
        <v>0.38</v>
      </c>
      <c r="E34">
        <f t="shared" si="11"/>
        <v>1.38</v>
      </c>
      <c r="F34">
        <f t="shared" si="11"/>
        <v>2.5499999999999998</v>
      </c>
      <c r="G34">
        <f t="shared" si="11"/>
        <v>4.55</v>
      </c>
      <c r="H34">
        <f t="shared" si="11"/>
        <v>6.3</v>
      </c>
      <c r="I34">
        <f t="shared" si="11"/>
        <v>7.5</v>
      </c>
      <c r="J34">
        <f t="shared" si="11"/>
        <v>7.99</v>
      </c>
      <c r="K34">
        <f t="shared" si="11"/>
        <v>7.59</v>
      </c>
      <c r="L34">
        <f t="shared" si="11"/>
        <v>6.06</v>
      </c>
      <c r="M34" t="str">
        <f t="shared" si="11"/>
        <v/>
      </c>
      <c r="N34" t="str">
        <f t="shared" si="11"/>
        <v/>
      </c>
      <c r="O34" t="str">
        <f t="shared" si="11"/>
        <v/>
      </c>
      <c r="P34" t="str">
        <f t="shared" si="11"/>
        <v/>
      </c>
      <c r="Q34" t="str">
        <f t="shared" si="11"/>
        <v/>
      </c>
      <c r="R34" t="str">
        <f t="shared" si="11"/>
        <v/>
      </c>
      <c r="S34" t="str">
        <f t="shared" si="11"/>
        <v/>
      </c>
      <c r="T34" t="str">
        <f t="shared" si="11"/>
        <v/>
      </c>
      <c r="U34" t="str">
        <f t="shared" si="11"/>
        <v/>
      </c>
      <c r="V34" t="str">
        <f t="shared" si="11"/>
        <v/>
      </c>
      <c r="W34" t="str">
        <f t="shared" si="11"/>
        <v/>
      </c>
      <c r="X34" t="str">
        <f t="shared" si="11"/>
        <v/>
      </c>
      <c r="Y34" t="str">
        <f t="shared" si="11"/>
        <v/>
      </c>
      <c r="Z34" t="str">
        <f t="shared" si="11"/>
        <v/>
      </c>
      <c r="AA34" t="str">
        <f t="shared" si="11"/>
        <v/>
      </c>
      <c r="AB34" t="str">
        <f t="shared" si="11"/>
        <v/>
      </c>
      <c r="AC34" t="str">
        <f t="shared" si="11"/>
        <v/>
      </c>
      <c r="AD34" t="str">
        <f t="shared" si="11"/>
        <v/>
      </c>
      <c r="AE34" t="str">
        <f t="shared" si="11"/>
        <v/>
      </c>
      <c r="AF34" t="str">
        <f t="shared" si="11"/>
        <v/>
      </c>
    </row>
    <row r="35" spans="1:32" x14ac:dyDescent="0.25">
      <c r="A35" s="4" t="s">
        <v>8</v>
      </c>
      <c r="B35">
        <v>0</v>
      </c>
      <c r="C35">
        <v>0</v>
      </c>
      <c r="D35">
        <v>1</v>
      </c>
      <c r="E35">
        <v>2</v>
      </c>
      <c r="F35">
        <v>3</v>
      </c>
      <c r="G35">
        <v>4</v>
      </c>
      <c r="H35">
        <v>5</v>
      </c>
      <c r="I35">
        <v>6</v>
      </c>
      <c r="J35">
        <v>7</v>
      </c>
      <c r="K35">
        <v>8</v>
      </c>
      <c r="L35">
        <v>9</v>
      </c>
      <c r="M35">
        <v>10</v>
      </c>
      <c r="N35">
        <v>11</v>
      </c>
      <c r="O35">
        <v>12</v>
      </c>
      <c r="P35">
        <v>13</v>
      </c>
      <c r="Q35">
        <v>14</v>
      </c>
      <c r="R35">
        <v>15</v>
      </c>
      <c r="S35">
        <v>16</v>
      </c>
      <c r="T35">
        <v>17</v>
      </c>
      <c r="U35">
        <v>18</v>
      </c>
      <c r="V35">
        <v>19</v>
      </c>
      <c r="W35">
        <v>20</v>
      </c>
      <c r="X35">
        <v>21</v>
      </c>
      <c r="Y35">
        <v>22</v>
      </c>
      <c r="Z35">
        <v>23</v>
      </c>
      <c r="AA35">
        <v>24</v>
      </c>
      <c r="AB35">
        <v>25</v>
      </c>
      <c r="AC35">
        <v>26</v>
      </c>
      <c r="AD35">
        <v>27</v>
      </c>
      <c r="AE35">
        <v>28</v>
      </c>
      <c r="AF35">
        <v>29</v>
      </c>
    </row>
    <row r="36" spans="1:32" x14ac:dyDescent="0.25">
      <c r="A36" s="4" t="s">
        <v>9</v>
      </c>
      <c r="C36">
        <f>IF(C35+($B$22-$B$19)&gt;$B$22-1,"",C35+($B$22-$B$19))</f>
        <v>0</v>
      </c>
      <c r="D36">
        <f t="shared" ref="D36:AF36" si="12">IF(D35+($B$22-$B$19)&gt;$B$22-1,"",D35+($B$22-$B$19))</f>
        <v>1</v>
      </c>
      <c r="E36">
        <f t="shared" si="12"/>
        <v>2</v>
      </c>
      <c r="F36">
        <f t="shared" si="12"/>
        <v>3</v>
      </c>
      <c r="G36">
        <f t="shared" si="12"/>
        <v>4</v>
      </c>
      <c r="H36">
        <f t="shared" si="12"/>
        <v>5</v>
      </c>
      <c r="I36">
        <f t="shared" si="12"/>
        <v>6</v>
      </c>
      <c r="J36">
        <f t="shared" si="12"/>
        <v>7</v>
      </c>
      <c r="K36">
        <f t="shared" si="12"/>
        <v>8</v>
      </c>
      <c r="L36">
        <f t="shared" si="12"/>
        <v>9</v>
      </c>
      <c r="M36" t="str">
        <f t="shared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2"/>
        <v/>
      </c>
      <c r="AD36" t="str">
        <f t="shared" si="12"/>
        <v/>
      </c>
      <c r="AE36" t="str">
        <f t="shared" si="12"/>
        <v/>
      </c>
      <c r="AF36" t="str">
        <f t="shared" si="12"/>
        <v/>
      </c>
    </row>
    <row r="37" spans="1:32" x14ac:dyDescent="0.25">
      <c r="A37" s="3">
        <v>0</v>
      </c>
      <c r="B37">
        <f>HLOOKUP(A37,$C$35:$AF$35,1,0)</f>
        <v>0</v>
      </c>
      <c r="C37" s="23">
        <v>0</v>
      </c>
      <c r="D37">
        <f>VLOOKUP($B$17-$B$22+C37+1,LogCuba!$B$6:$G$601,4,0)</f>
        <v>19.96</v>
      </c>
      <c r="E37" s="27">
        <v>0</v>
      </c>
      <c r="F37">
        <f>VLOOKUP($B$17-$B$22+E37+1,LogCuba!$B$6:$G$601,5,0)</f>
        <v>-0.32</v>
      </c>
      <c r="G37" s="28">
        <v>0</v>
      </c>
      <c r="H37">
        <f>VLOOKUP($B$17-$B$22+G37+1,LogCuba!$B$6:$G$601,6,0)</f>
        <v>0.21</v>
      </c>
    </row>
    <row r="38" spans="1:32" x14ac:dyDescent="0.25">
      <c r="A38" s="3">
        <v>1</v>
      </c>
      <c r="B38">
        <f t="shared" ref="B38:B66" si="13">HLOOKUP(A38,$C$35:$AF$35,1,0)</f>
        <v>1</v>
      </c>
      <c r="C38" s="23">
        <v>1</v>
      </c>
      <c r="D38">
        <f>VLOOKUP($B$17-$B$22+C38+1,LogCuba!$B$6:$G$601,4,0)</f>
        <v>20.04</v>
      </c>
      <c r="E38" s="27">
        <v>1</v>
      </c>
      <c r="F38">
        <f>VLOOKUP($B$17-$B$22+E38+1,LogCuba!$B$6:$G$601,5,0)</f>
        <v>2.34</v>
      </c>
      <c r="G38" s="28">
        <v>1</v>
      </c>
      <c r="H38">
        <f>VLOOKUP($B$17-$B$22+G38+1,LogCuba!$B$6:$G$601,6,0)</f>
        <v>0.38</v>
      </c>
    </row>
    <row r="39" spans="1:32" x14ac:dyDescent="0.25">
      <c r="A39" s="3">
        <v>2</v>
      </c>
      <c r="B39">
        <f t="shared" si="13"/>
        <v>2</v>
      </c>
      <c r="C39" s="23">
        <v>2</v>
      </c>
      <c r="D39">
        <f>VLOOKUP($B$17-$B$22+C39+1,LogCuba!$B$6:$G$601,4,0)</f>
        <v>20.11</v>
      </c>
      <c r="E39" s="27">
        <v>2</v>
      </c>
      <c r="F39">
        <f>VLOOKUP($B$17-$B$22+E39+1,LogCuba!$B$6:$G$601,5,0)</f>
        <v>1.99</v>
      </c>
      <c r="G39" s="28">
        <v>2</v>
      </c>
      <c r="H39">
        <f>VLOOKUP($B$17-$B$22+G39+1,LogCuba!$B$6:$G$601,6,0)</f>
        <v>0.5</v>
      </c>
    </row>
    <row r="40" spans="1:32" x14ac:dyDescent="0.25">
      <c r="A40" s="3">
        <v>3</v>
      </c>
      <c r="B40">
        <f t="shared" si="13"/>
        <v>3</v>
      </c>
      <c r="C40" s="23">
        <v>3</v>
      </c>
      <c r="D40">
        <f>VLOOKUP($B$17-$B$22+C40+1,LogCuba!$B$6:$G$601,4,0)</f>
        <v>20.079999999999998</v>
      </c>
      <c r="E40" s="27">
        <v>3</v>
      </c>
      <c r="F40">
        <f>VLOOKUP($B$17-$B$22+E40+1,LogCuba!$B$6:$G$601,5,0)</f>
        <v>-0.91</v>
      </c>
      <c r="G40" s="28">
        <v>3</v>
      </c>
      <c r="H40">
        <f>VLOOKUP($B$17-$B$22+G40+1,LogCuba!$B$6:$G$601,6,0)</f>
        <v>0.39</v>
      </c>
    </row>
    <row r="41" spans="1:32" x14ac:dyDescent="0.25">
      <c r="A41" s="3">
        <v>4</v>
      </c>
      <c r="B41">
        <f t="shared" si="13"/>
        <v>4</v>
      </c>
      <c r="C41" s="23">
        <v>4</v>
      </c>
      <c r="D41">
        <f>VLOOKUP($B$17-$B$22+C41+1,LogCuba!$B$6:$G$601,4,0)</f>
        <v>20.14</v>
      </c>
      <c r="E41" s="27">
        <v>4</v>
      </c>
      <c r="F41">
        <f>VLOOKUP($B$17-$B$22+E41+1,LogCuba!$B$6:$G$601,5,0)</f>
        <v>1.79</v>
      </c>
      <c r="G41" s="28">
        <v>4</v>
      </c>
      <c r="H41">
        <f>VLOOKUP($B$17-$B$22+G41+1,LogCuba!$B$6:$G$601,6,0)</f>
        <v>0.5</v>
      </c>
    </row>
    <row r="42" spans="1:32" x14ac:dyDescent="0.25">
      <c r="A42" s="3">
        <v>5</v>
      </c>
      <c r="B42">
        <f t="shared" si="13"/>
        <v>5</v>
      </c>
      <c r="C42" s="23">
        <v>5</v>
      </c>
      <c r="D42">
        <f>VLOOKUP($B$17-$B$22+C42+1,LogCuba!$B$6:$G$601,4,0)</f>
        <v>20.05</v>
      </c>
      <c r="E42" s="27">
        <v>5</v>
      </c>
      <c r="F42">
        <f>VLOOKUP($B$17-$B$22+E42+1,LogCuba!$B$6:$G$601,5,0)</f>
        <v>-1.5</v>
      </c>
      <c r="G42" s="28">
        <v>5</v>
      </c>
      <c r="H42">
        <f>VLOOKUP($B$17-$B$22+G42+1,LogCuba!$B$6:$G$601,6,0)</f>
        <v>0.35</v>
      </c>
    </row>
    <row r="43" spans="1:32" x14ac:dyDescent="0.25">
      <c r="A43" s="3">
        <v>6</v>
      </c>
      <c r="B43">
        <f t="shared" si="13"/>
        <v>6</v>
      </c>
      <c r="C43" s="23">
        <v>6</v>
      </c>
      <c r="D43">
        <f>VLOOKUP($B$17-$B$22+C43+1,LogCuba!$B$6:$G$601,4,0)</f>
        <v>19.649999999999999</v>
      </c>
      <c r="E43" s="27">
        <v>6</v>
      </c>
      <c r="F43">
        <f>VLOOKUP($B$17-$B$22+E43+1,LogCuba!$B$6:$G$601,5,0)</f>
        <v>-1.5</v>
      </c>
      <c r="G43" s="28">
        <v>6</v>
      </c>
      <c r="H43">
        <f>VLOOKUP($B$17-$B$22+G43+1,LogCuba!$B$6:$G$601,6,0)</f>
        <v>0.2</v>
      </c>
    </row>
    <row r="44" spans="1:32" x14ac:dyDescent="0.25">
      <c r="A44" s="3">
        <v>7</v>
      </c>
      <c r="B44">
        <f t="shared" si="13"/>
        <v>7</v>
      </c>
      <c r="C44" s="23">
        <v>7</v>
      </c>
      <c r="D44">
        <f>VLOOKUP($B$17-$B$22+C44+1,LogCuba!$B$6:$G$601,4,0)</f>
        <v>19.989999999999998</v>
      </c>
      <c r="E44" s="27">
        <v>7</v>
      </c>
      <c r="F44">
        <f>VLOOKUP($B$17-$B$22+E44+1,LogCuba!$B$6:$G$601,5,0)</f>
        <v>-1.5</v>
      </c>
      <c r="G44" s="28">
        <v>7</v>
      </c>
      <c r="H44">
        <f>VLOOKUP($B$17-$B$22+G44+1,LogCuba!$B$6:$G$601,6,0)</f>
        <v>7.0000000000000007E-2</v>
      </c>
    </row>
    <row r="45" spans="1:32" x14ac:dyDescent="0.25">
      <c r="A45" s="3">
        <v>8</v>
      </c>
      <c r="B45">
        <f t="shared" si="13"/>
        <v>8</v>
      </c>
      <c r="C45" s="23">
        <v>8</v>
      </c>
      <c r="D45">
        <f>VLOOKUP($B$17-$B$22+C45+1,LogCuba!$B$6:$G$601,4,0)</f>
        <v>19.97</v>
      </c>
      <c r="E45" s="27">
        <v>8</v>
      </c>
      <c r="F45">
        <f>VLOOKUP($B$17-$B$22+E45+1,LogCuba!$B$6:$G$601,5,0)</f>
        <v>-1.5</v>
      </c>
      <c r="G45" s="28">
        <v>8</v>
      </c>
      <c r="H45">
        <f>VLOOKUP($B$17-$B$22+G45+1,LogCuba!$B$6:$G$601,6,0)</f>
        <v>-0.05</v>
      </c>
    </row>
    <row r="46" spans="1:32" x14ac:dyDescent="0.25">
      <c r="A46" s="3">
        <v>9</v>
      </c>
      <c r="B46">
        <f t="shared" si="13"/>
        <v>9</v>
      </c>
      <c r="C46" s="23">
        <v>9</v>
      </c>
      <c r="D46">
        <f>VLOOKUP($B$17-$B$22+C46+1,LogCuba!$B$6:$G$601,4,0)</f>
        <v>19.95</v>
      </c>
      <c r="E46" s="27">
        <v>9</v>
      </c>
      <c r="F46">
        <f>VLOOKUP($B$17-$B$22+E46+1,LogCuba!$B$6:$G$601,5,0)</f>
        <v>-1.5</v>
      </c>
      <c r="G46" s="28">
        <v>9</v>
      </c>
      <c r="H46">
        <f>VLOOKUP($B$17-$B$22+G46+1,LogCuba!$B$6:$G$601,6,0)</f>
        <v>-0.17</v>
      </c>
    </row>
    <row r="47" spans="1:32" x14ac:dyDescent="0.25">
      <c r="A47" s="3">
        <v>10</v>
      </c>
      <c r="B47">
        <f t="shared" si="13"/>
        <v>10</v>
      </c>
      <c r="C47" s="23">
        <v>10</v>
      </c>
      <c r="D47">
        <f>VLOOKUP($B$17-$B$22+C47+1,LogCuba!$B$6:$G$601,4,0)</f>
        <v>19.920000000000002</v>
      </c>
      <c r="E47" s="27">
        <v>10</v>
      </c>
      <c r="F47">
        <f>VLOOKUP($B$17-$B$22+E47+1,LogCuba!$B$6:$G$601,5,0)</f>
        <v>-0.87</v>
      </c>
      <c r="G47" s="28">
        <v>10</v>
      </c>
      <c r="H47">
        <f>VLOOKUP($B$17-$B$22+G47+1,LogCuba!$B$6:$G$601,6,0)</f>
        <v>-0.22</v>
      </c>
    </row>
    <row r="48" spans="1:32" x14ac:dyDescent="0.25">
      <c r="A48" s="3">
        <v>11</v>
      </c>
      <c r="B48">
        <f t="shared" si="13"/>
        <v>11</v>
      </c>
      <c r="C48" s="23">
        <v>11</v>
      </c>
      <c r="D48">
        <f>VLOOKUP($B$17-$B$22+C48+1,LogCuba!$B$6:$G$601,4,0)</f>
        <v>19.93</v>
      </c>
      <c r="E48" s="27">
        <v>11</v>
      </c>
      <c r="F48">
        <f>VLOOKUP($B$17-$B$22+E48+1,LogCuba!$B$6:$G$601,5,0)</f>
        <v>0.42</v>
      </c>
      <c r="G48" s="28">
        <v>11</v>
      </c>
      <c r="H48">
        <f>VLOOKUP($B$17-$B$22+G48+1,LogCuba!$B$6:$G$601,6,0)</f>
        <v>-0.17</v>
      </c>
    </row>
    <row r="49" spans="1:8" x14ac:dyDescent="0.25">
      <c r="A49" s="3">
        <v>12</v>
      </c>
      <c r="B49">
        <f t="shared" si="13"/>
        <v>12</v>
      </c>
      <c r="C49" s="23">
        <v>12</v>
      </c>
      <c r="D49">
        <f>VLOOKUP($B$17-$B$22+C49+1,LogCuba!$B$6:$G$601,4,0)</f>
        <v>19.96</v>
      </c>
      <c r="E49" s="27">
        <v>12</v>
      </c>
      <c r="F49">
        <f>VLOOKUP($B$17-$B$22+E49+1,LogCuba!$B$6:$G$601,5,0)</f>
        <v>0.79</v>
      </c>
      <c r="G49" s="28">
        <v>12</v>
      </c>
      <c r="H49">
        <f>VLOOKUP($B$17-$B$22+G49+1,LogCuba!$B$6:$G$601,6,0)</f>
        <v>-0.1</v>
      </c>
    </row>
    <row r="50" spans="1:8" x14ac:dyDescent="0.25">
      <c r="A50" s="3">
        <v>13</v>
      </c>
      <c r="B50">
        <f t="shared" si="13"/>
        <v>13</v>
      </c>
      <c r="C50" s="23">
        <v>13</v>
      </c>
      <c r="D50">
        <f>VLOOKUP($B$17-$B$22+C50+1,LogCuba!$B$6:$G$601,4,0)</f>
        <v>19.98</v>
      </c>
      <c r="E50" s="27">
        <v>13</v>
      </c>
      <c r="F50">
        <f>VLOOKUP($B$17-$B$22+E50+1,LogCuba!$B$6:$G$601,5,0)</f>
        <v>0.6</v>
      </c>
      <c r="G50" s="28">
        <v>13</v>
      </c>
      <c r="H50">
        <f>VLOOKUP($B$17-$B$22+G50+1,LogCuba!$B$6:$G$601,6,0)</f>
        <v>-0.04</v>
      </c>
    </row>
    <row r="51" spans="1:8" x14ac:dyDescent="0.25">
      <c r="A51" s="3">
        <v>14</v>
      </c>
      <c r="B51">
        <f t="shared" si="13"/>
        <v>14</v>
      </c>
      <c r="C51" s="23">
        <v>14</v>
      </c>
      <c r="D51">
        <f>VLOOKUP($B$17-$B$22+C51+1,LogCuba!$B$6:$G$601,4,0)</f>
        <v>19.98</v>
      </c>
      <c r="E51" s="27">
        <v>14</v>
      </c>
      <c r="F51">
        <f>VLOOKUP($B$17-$B$22+E51+1,LogCuba!$B$6:$G$601,5,0)</f>
        <v>7.0000000000000007E-2</v>
      </c>
      <c r="G51" s="28">
        <v>14</v>
      </c>
      <c r="H51">
        <f>VLOOKUP($B$17-$B$22+G51+1,LogCuba!$B$6:$G$601,6,0)</f>
        <v>-0.03</v>
      </c>
    </row>
    <row r="52" spans="1:8" x14ac:dyDescent="0.25">
      <c r="A52" s="3">
        <v>15</v>
      </c>
      <c r="B52">
        <f t="shared" si="13"/>
        <v>15</v>
      </c>
      <c r="C52" s="23">
        <v>15</v>
      </c>
      <c r="D52">
        <f>VLOOKUP($B$17-$B$22+C52+1,LogCuba!$B$6:$G$601,4,0)</f>
        <v>19.97</v>
      </c>
      <c r="E52" s="27">
        <v>15</v>
      </c>
      <c r="F52">
        <f>VLOOKUP($B$17-$B$22+E52+1,LogCuba!$B$6:$G$601,5,0)</f>
        <v>-0.26</v>
      </c>
      <c r="G52" s="28">
        <v>15</v>
      </c>
      <c r="H52">
        <f>VLOOKUP($B$17-$B$22+G52+1,LogCuba!$B$6:$G$601,6,0)</f>
        <v>-0.05</v>
      </c>
    </row>
    <row r="53" spans="1:8" x14ac:dyDescent="0.25">
      <c r="A53" s="3">
        <v>16</v>
      </c>
      <c r="B53">
        <f t="shared" si="13"/>
        <v>16</v>
      </c>
      <c r="C53" s="23">
        <v>16</v>
      </c>
      <c r="D53">
        <f>VLOOKUP($B$17-$B$22+C53+1,LogCuba!$B$6:$G$601,4,0)</f>
        <v>20</v>
      </c>
      <c r="E53" s="27">
        <v>16</v>
      </c>
      <c r="F53">
        <f>VLOOKUP($B$17-$B$22+E53+1,LogCuba!$B$6:$G$601,5,0)</f>
        <v>0.84</v>
      </c>
      <c r="G53" s="28">
        <v>16</v>
      </c>
      <c r="H53">
        <f>VLOOKUP($B$17-$B$22+G53+1,LogCuba!$B$6:$G$601,6,0)</f>
        <v>0.02</v>
      </c>
    </row>
    <row r="54" spans="1:8" x14ac:dyDescent="0.25">
      <c r="A54" s="3">
        <v>17</v>
      </c>
      <c r="B54">
        <f t="shared" si="13"/>
        <v>17</v>
      </c>
      <c r="C54" s="23">
        <v>17</v>
      </c>
      <c r="D54">
        <f>VLOOKUP($B$17-$B$22+C54+1,LogCuba!$B$6:$G$601,4,0)</f>
        <v>19.98</v>
      </c>
      <c r="E54" s="27">
        <v>17</v>
      </c>
      <c r="F54">
        <f>VLOOKUP($B$17-$B$22+E54+1,LogCuba!$B$6:$G$601,5,0)</f>
        <v>-0.7</v>
      </c>
      <c r="G54" s="28">
        <v>17</v>
      </c>
      <c r="H54">
        <f>VLOOKUP($B$17-$B$22+G54+1,LogCuba!$B$6:$G$601,6,0)</f>
        <v>-0.04</v>
      </c>
    </row>
    <row r="55" spans="1:8" x14ac:dyDescent="0.25">
      <c r="A55" s="3">
        <v>18</v>
      </c>
      <c r="B55">
        <f t="shared" si="13"/>
        <v>18</v>
      </c>
      <c r="C55" s="23">
        <v>18</v>
      </c>
      <c r="D55">
        <f>VLOOKUP($B$17-$B$22+C55+1,LogCuba!$B$6:$G$601,4,0)</f>
        <v>20.02</v>
      </c>
      <c r="E55" s="27">
        <v>18</v>
      </c>
      <c r="F55">
        <f>VLOOKUP($B$17-$B$22+E55+1,LogCuba!$B$6:$G$601,5,0)</f>
        <v>1.32</v>
      </c>
      <c r="G55" s="28">
        <v>18</v>
      </c>
      <c r="H55">
        <f>VLOOKUP($B$17-$B$22+G55+1,LogCuba!$B$6:$G$601,6,0)</f>
        <v>7.0000000000000007E-2</v>
      </c>
    </row>
    <row r="56" spans="1:8" x14ac:dyDescent="0.25">
      <c r="A56" s="3">
        <v>19</v>
      </c>
      <c r="B56">
        <f t="shared" si="13"/>
        <v>19</v>
      </c>
      <c r="C56" s="23">
        <v>19</v>
      </c>
      <c r="D56">
        <f>VLOOKUP($B$17-$B$22+C56+1,LogCuba!$B$6:$G$601,4,0)</f>
        <v>20.010000000000002</v>
      </c>
      <c r="E56" s="27">
        <v>19</v>
      </c>
      <c r="F56">
        <f>VLOOKUP($B$17-$B$22+E56+1,LogCuba!$B$6:$G$601,5,0)</f>
        <v>-0.19</v>
      </c>
      <c r="G56" s="28">
        <v>19</v>
      </c>
      <c r="H56">
        <f>VLOOKUP($B$17-$B$22+G56+1,LogCuba!$B$6:$G$601,6,0)</f>
        <v>0.05</v>
      </c>
    </row>
    <row r="57" spans="1:8" x14ac:dyDescent="0.25">
      <c r="A57" s="3">
        <v>20</v>
      </c>
      <c r="B57">
        <f t="shared" si="13"/>
        <v>20</v>
      </c>
      <c r="C57" s="23">
        <v>20</v>
      </c>
      <c r="D57">
        <f>VLOOKUP($B$17-$B$22+C57+1,LogCuba!$B$6:$G$601,4,0)</f>
        <v>20.03</v>
      </c>
      <c r="E57" s="27">
        <v>20</v>
      </c>
      <c r="F57">
        <f>VLOOKUP($B$17-$B$22+E57+1,LogCuba!$B$6:$G$601,5,0)</f>
        <v>0.37</v>
      </c>
      <c r="G57" s="28">
        <v>20</v>
      </c>
      <c r="H57">
        <f>VLOOKUP($B$17-$B$22+G57+1,LogCuba!$B$6:$G$601,6,0)</f>
        <v>7.0000000000000007E-2</v>
      </c>
    </row>
    <row r="58" spans="1:8" x14ac:dyDescent="0.25">
      <c r="A58" s="3">
        <v>21</v>
      </c>
      <c r="B58">
        <f t="shared" si="13"/>
        <v>21</v>
      </c>
      <c r="C58" s="23">
        <v>21</v>
      </c>
      <c r="D58">
        <f>VLOOKUP($B$17-$B$22+C58+1,LogCuba!$B$6:$G$601,4,0)</f>
        <v>20.05</v>
      </c>
      <c r="E58" s="27">
        <v>21</v>
      </c>
      <c r="F58">
        <f>VLOOKUP($B$17-$B$22+E58+1,LogCuba!$B$6:$G$601,5,0)</f>
        <v>0.63</v>
      </c>
      <c r="G58" s="28">
        <v>21</v>
      </c>
      <c r="H58">
        <f>VLOOKUP($B$17-$B$22+G58+1,LogCuba!$B$6:$G$601,6,0)</f>
        <v>0.12</v>
      </c>
    </row>
    <row r="59" spans="1:8" x14ac:dyDescent="0.25">
      <c r="A59" s="3">
        <v>22</v>
      </c>
      <c r="B59">
        <f t="shared" si="13"/>
        <v>22</v>
      </c>
      <c r="C59" s="23">
        <v>22</v>
      </c>
      <c r="D59">
        <f>VLOOKUP($B$17-$B$22+C59+1,LogCuba!$B$6:$G$601,4,0)</f>
        <v>20.04</v>
      </c>
      <c r="E59" s="27">
        <v>22</v>
      </c>
      <c r="F59">
        <f>VLOOKUP($B$17-$B$22+E59+1,LogCuba!$B$6:$G$601,5,0)</f>
        <v>-0.09</v>
      </c>
      <c r="G59" s="28">
        <v>22</v>
      </c>
      <c r="H59">
        <f>VLOOKUP($B$17-$B$22+G59+1,LogCuba!$B$6:$G$601,6,0)</f>
        <v>0.1</v>
      </c>
    </row>
    <row r="60" spans="1:8" x14ac:dyDescent="0.25">
      <c r="A60" s="3">
        <v>23</v>
      </c>
      <c r="B60">
        <f t="shared" si="13"/>
        <v>23</v>
      </c>
      <c r="C60" s="23">
        <v>23</v>
      </c>
      <c r="D60">
        <f>VLOOKUP($B$17-$B$22+C60+1,LogCuba!$B$6:$G$601,4,0)</f>
        <v>20.05</v>
      </c>
      <c r="E60" s="27">
        <v>23</v>
      </c>
      <c r="F60">
        <f>VLOOKUP($B$17-$B$22+E60+1,LogCuba!$B$6:$G$601,5,0)</f>
        <v>0.18</v>
      </c>
      <c r="G60" s="28">
        <v>23</v>
      </c>
      <c r="H60">
        <f>VLOOKUP($B$17-$B$22+G60+1,LogCuba!$B$6:$G$601,6,0)</f>
        <v>0.11</v>
      </c>
    </row>
    <row r="61" spans="1:8" x14ac:dyDescent="0.25">
      <c r="A61" s="3">
        <v>24</v>
      </c>
      <c r="B61">
        <f t="shared" si="13"/>
        <v>24</v>
      </c>
      <c r="C61" s="23">
        <v>24</v>
      </c>
      <c r="D61">
        <f>VLOOKUP($B$17-$B$22+C61+1,LogCuba!$B$6:$G$601,4,0)</f>
        <v>20.09</v>
      </c>
      <c r="E61" s="27">
        <v>24</v>
      </c>
      <c r="F61">
        <f>VLOOKUP($B$17-$B$22+E61+1,LogCuba!$B$6:$G$601,5,0)</f>
        <v>1.1399999999999999</v>
      </c>
      <c r="G61" s="28">
        <v>24</v>
      </c>
      <c r="H61">
        <f>VLOOKUP($B$17-$B$22+G61+1,LogCuba!$B$6:$G$601,6,0)</f>
        <v>0.19</v>
      </c>
    </row>
    <row r="62" spans="1:8" x14ac:dyDescent="0.25">
      <c r="A62" s="3">
        <v>25</v>
      </c>
      <c r="B62">
        <f t="shared" si="13"/>
        <v>25</v>
      </c>
      <c r="C62" s="23">
        <v>25</v>
      </c>
      <c r="D62">
        <f>VLOOKUP($B$17-$B$22+C62+1,LogCuba!$B$6:$G$601,4,0)</f>
        <v>20.100000000000001</v>
      </c>
      <c r="E62" s="27">
        <v>25</v>
      </c>
      <c r="F62">
        <f>VLOOKUP($B$17-$B$22+E62+1,LogCuba!$B$6:$G$601,5,0)</f>
        <v>0.53</v>
      </c>
      <c r="G62" s="28">
        <v>25</v>
      </c>
      <c r="H62">
        <f>VLOOKUP($B$17-$B$22+G62+1,LogCuba!$B$6:$G$601,6,0)</f>
        <v>0.21</v>
      </c>
    </row>
    <row r="63" spans="1:8" x14ac:dyDescent="0.25">
      <c r="A63" s="3">
        <v>26</v>
      </c>
      <c r="B63">
        <f t="shared" si="13"/>
        <v>26</v>
      </c>
      <c r="C63" s="23">
        <v>26</v>
      </c>
      <c r="D63">
        <f>VLOOKUP($B$17-$B$22+C63+1,LogCuba!$B$6:$G$601,4,0)</f>
        <v>20.12</v>
      </c>
      <c r="E63" s="27">
        <v>26</v>
      </c>
      <c r="F63">
        <f>VLOOKUP($B$17-$B$22+E63+1,LogCuba!$B$6:$G$601,5,0)</f>
        <v>0.5</v>
      </c>
      <c r="G63" s="28">
        <v>26</v>
      </c>
      <c r="H63">
        <f>VLOOKUP($B$17-$B$22+G63+1,LogCuba!$B$6:$G$601,6,0)</f>
        <v>0.24</v>
      </c>
    </row>
    <row r="64" spans="1:8" x14ac:dyDescent="0.25">
      <c r="A64" s="3">
        <v>27</v>
      </c>
      <c r="B64">
        <f t="shared" si="13"/>
        <v>27</v>
      </c>
      <c r="C64" s="23">
        <v>27</v>
      </c>
      <c r="D64">
        <f>VLOOKUP($B$17-$B$22+C64+1,LogCuba!$B$6:$G$601,4,0)</f>
        <v>20.14</v>
      </c>
      <c r="E64" s="27">
        <v>27</v>
      </c>
      <c r="F64">
        <f>VLOOKUP($B$17-$B$22+E64+1,LogCuba!$B$6:$G$601,5,0)</f>
        <v>0.69</v>
      </c>
      <c r="G64" s="28">
        <v>27</v>
      </c>
      <c r="H64">
        <f>VLOOKUP($B$17-$B$22+G64+1,LogCuba!$B$6:$G$601,6,0)</f>
        <v>0.27</v>
      </c>
    </row>
    <row r="65" spans="1:8" x14ac:dyDescent="0.25">
      <c r="A65" s="3">
        <v>28</v>
      </c>
      <c r="B65">
        <f t="shared" si="13"/>
        <v>28</v>
      </c>
      <c r="C65" s="23">
        <v>28</v>
      </c>
      <c r="D65">
        <f>VLOOKUP($B$17-$B$22+C65+1,LogCuba!$B$6:$G$601,4,0)</f>
        <v>20.14</v>
      </c>
      <c r="E65" s="27">
        <v>28</v>
      </c>
      <c r="F65">
        <f>VLOOKUP($B$17-$B$22+E65+1,LogCuba!$B$6:$G$601,5,0)</f>
        <v>-0.04</v>
      </c>
      <c r="G65" s="28">
        <v>28</v>
      </c>
      <c r="H65">
        <f>VLOOKUP($B$17-$B$22+G65+1,LogCuba!$B$6:$G$601,6,0)</f>
        <v>0.25</v>
      </c>
    </row>
    <row r="66" spans="1:8" x14ac:dyDescent="0.25">
      <c r="A66" s="3">
        <v>29</v>
      </c>
      <c r="B66">
        <f t="shared" si="13"/>
        <v>29</v>
      </c>
      <c r="C66" s="23">
        <v>29</v>
      </c>
      <c r="D66">
        <f>VLOOKUP($B$17-$B$22+C66+1,LogCuba!$B$6:$G$601,4,0)</f>
        <v>20.149999999999999</v>
      </c>
      <c r="E66" s="27">
        <v>29</v>
      </c>
      <c r="F66">
        <f>VLOOKUP($B$17-$B$22+E66+1,LogCuba!$B$6:$G$601,5,0)</f>
        <v>0.15</v>
      </c>
      <c r="G66" s="28">
        <v>29</v>
      </c>
      <c r="H66">
        <f>VLOOKUP($B$17-$B$22+G66+1,LogCuba!$B$6:$G$601,6,0)</f>
        <v>0.24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1</xdr:col>
                    <xdr:colOff>971550</xdr:colOff>
                    <xdr:row>18</xdr:row>
                    <xdr:rowOff>0</xdr:rowOff>
                  </from>
                  <to>
                    <xdr:col>1</xdr:col>
                    <xdr:colOff>1381125</xdr:colOff>
                    <xdr:row>18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pinner 6">
              <controlPr defaultSize="0" autoPict="0">
                <anchor moveWithCells="1" sizeWithCells="1">
                  <from>
                    <xdr:col>1</xdr:col>
                    <xdr:colOff>971550</xdr:colOff>
                    <xdr:row>21</xdr:row>
                    <xdr:rowOff>0</xdr:rowOff>
                  </from>
                  <to>
                    <xdr:col>1</xdr:col>
                    <xdr:colOff>1381125</xdr:colOff>
                    <xdr:row>21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Spinner 8">
              <controlPr defaultSize="0" autoPict="0">
                <anchor moveWithCells="1" sizeWithCells="1">
                  <from>
                    <xdr:col>1</xdr:col>
                    <xdr:colOff>971550</xdr:colOff>
                    <xdr:row>16</xdr:row>
                    <xdr:rowOff>0</xdr:rowOff>
                  </from>
                  <to>
                    <xdr:col>1</xdr:col>
                    <xdr:colOff>1381125</xdr:colOff>
                    <xdr:row>16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List Box 14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3257550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963D-E9D3-48C5-98B4-D4FD591766A7}">
  <sheetPr codeName="Planilha3"/>
  <dimension ref="A1:AP67"/>
  <sheetViews>
    <sheetView workbookViewId="0">
      <selection sqref="A1:B2"/>
    </sheetView>
  </sheetViews>
  <sheetFormatPr defaultColWidth="0" defaultRowHeight="15" zeroHeight="1" x14ac:dyDescent="0.25"/>
  <cols>
    <col min="1" max="2" width="5.7109375" customWidth="1"/>
    <col min="3" max="3" width="5.7109375" style="4" customWidth="1"/>
    <col min="4" max="33" width="5.7109375" customWidth="1"/>
    <col min="34" max="34" width="5.7109375" hidden="1" customWidth="1"/>
    <col min="35" max="42" width="0" hidden="1" customWidth="1"/>
    <col min="43" max="16384" width="5.7109375" hidden="1"/>
  </cols>
  <sheetData>
    <row r="1" spans="1:33" x14ac:dyDescent="0.25">
      <c r="A1" s="86" t="s">
        <v>35</v>
      </c>
      <c r="B1" s="87"/>
      <c r="C1" s="30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3" x14ac:dyDescent="0.25">
      <c r="A2" s="88"/>
      <c r="B2" s="89"/>
      <c r="C2" s="31"/>
      <c r="D2" s="85" t="s">
        <v>31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</row>
    <row r="3" spans="1:33" x14ac:dyDescent="0.25">
      <c r="A3" s="30"/>
      <c r="B3" s="30"/>
      <c r="C3" s="33" t="s">
        <v>47</v>
      </c>
      <c r="D3" s="4" t="s">
        <v>48</v>
      </c>
      <c r="E3" s="4" t="s">
        <v>49</v>
      </c>
      <c r="F3" s="4" t="s">
        <v>50</v>
      </c>
      <c r="G3" s="4" t="s">
        <v>51</v>
      </c>
      <c r="H3" s="4" t="s">
        <v>52</v>
      </c>
      <c r="I3" s="4" t="s">
        <v>53</v>
      </c>
      <c r="J3" s="4" t="s">
        <v>54</v>
      </c>
      <c r="K3" s="4" t="s">
        <v>55</v>
      </c>
      <c r="L3" s="4" t="s">
        <v>56</v>
      </c>
      <c r="M3" s="4" t="s">
        <v>57</v>
      </c>
      <c r="N3" s="4" t="s">
        <v>58</v>
      </c>
      <c r="O3" s="4" t="s">
        <v>59</v>
      </c>
      <c r="P3" s="4" t="s">
        <v>60</v>
      </c>
      <c r="Q3" s="4" t="s">
        <v>61</v>
      </c>
      <c r="R3" s="4" t="s">
        <v>62</v>
      </c>
      <c r="S3" s="4" t="s">
        <v>63</v>
      </c>
      <c r="T3" s="4" t="s">
        <v>64</v>
      </c>
      <c r="U3" s="4" t="s">
        <v>65</v>
      </c>
      <c r="V3" s="4" t="s">
        <v>66</v>
      </c>
      <c r="W3" s="4" t="s">
        <v>67</v>
      </c>
      <c r="X3" s="4" t="s">
        <v>68</v>
      </c>
      <c r="Y3" s="4" t="s">
        <v>69</v>
      </c>
      <c r="Z3" s="4" t="s">
        <v>70</v>
      </c>
      <c r="AA3" s="4" t="s">
        <v>71</v>
      </c>
      <c r="AB3" s="4" t="s">
        <v>72</v>
      </c>
      <c r="AC3" s="4" t="s">
        <v>73</v>
      </c>
      <c r="AD3" s="4" t="s">
        <v>74</v>
      </c>
      <c r="AE3" s="4" t="s">
        <v>75</v>
      </c>
      <c r="AF3" s="4" t="s">
        <v>76</v>
      </c>
      <c r="AG3" s="4" t="s">
        <v>77</v>
      </c>
    </row>
    <row r="4" spans="1:33" ht="15" customHeight="1" x14ac:dyDescent="0.25">
      <c r="A4" s="90" t="s">
        <v>80</v>
      </c>
      <c r="B4" s="38"/>
      <c r="C4" s="32">
        <v>-15</v>
      </c>
    </row>
    <row r="5" spans="1:33" x14ac:dyDescent="0.25">
      <c r="A5" s="90"/>
      <c r="B5" s="38"/>
      <c r="C5" s="32">
        <f>C4+1</f>
        <v>-14</v>
      </c>
    </row>
    <row r="6" spans="1:33" x14ac:dyDescent="0.25">
      <c r="A6" s="90"/>
      <c r="B6" s="38"/>
      <c r="C6" s="32">
        <f t="shared" ref="C6:C34" si="0">C5+1</f>
        <v>-13</v>
      </c>
    </row>
    <row r="7" spans="1:33" x14ac:dyDescent="0.25">
      <c r="A7" s="90"/>
      <c r="B7" s="38"/>
      <c r="C7" s="32">
        <f t="shared" si="0"/>
        <v>-12</v>
      </c>
    </row>
    <row r="8" spans="1:33" x14ac:dyDescent="0.25">
      <c r="A8" s="90"/>
      <c r="B8" s="38"/>
      <c r="C8" s="32">
        <f t="shared" si="0"/>
        <v>-11</v>
      </c>
    </row>
    <row r="9" spans="1:33" x14ac:dyDescent="0.25">
      <c r="A9" s="90"/>
      <c r="B9" s="38"/>
      <c r="C9" s="32">
        <f t="shared" si="0"/>
        <v>-10</v>
      </c>
    </row>
    <row r="10" spans="1:33" x14ac:dyDescent="0.25">
      <c r="A10" s="90"/>
      <c r="B10" s="38"/>
      <c r="C10" s="32">
        <f t="shared" si="0"/>
        <v>-9</v>
      </c>
    </row>
    <row r="11" spans="1:33" x14ac:dyDescent="0.25">
      <c r="A11" s="90"/>
      <c r="B11" s="38"/>
      <c r="C11" s="32">
        <f t="shared" si="0"/>
        <v>-8</v>
      </c>
    </row>
    <row r="12" spans="1:33" x14ac:dyDescent="0.25">
      <c r="A12" s="90"/>
      <c r="B12" s="38"/>
      <c r="C12" s="32">
        <f t="shared" si="0"/>
        <v>-7</v>
      </c>
    </row>
    <row r="13" spans="1:33" x14ac:dyDescent="0.25">
      <c r="A13" s="90"/>
      <c r="B13" s="38"/>
      <c r="C13" s="32">
        <f t="shared" si="0"/>
        <v>-6</v>
      </c>
    </row>
    <row r="14" spans="1:33" x14ac:dyDescent="0.25">
      <c r="A14" s="90"/>
      <c r="B14" s="38"/>
      <c r="C14" s="32">
        <f t="shared" si="0"/>
        <v>-5</v>
      </c>
    </row>
    <row r="15" spans="1:33" x14ac:dyDescent="0.25">
      <c r="A15" s="90"/>
      <c r="B15" s="38"/>
      <c r="C15" s="32">
        <f t="shared" si="0"/>
        <v>-4</v>
      </c>
    </row>
    <row r="16" spans="1:33" x14ac:dyDescent="0.25">
      <c r="A16" s="90"/>
      <c r="B16" s="38"/>
      <c r="C16" s="32">
        <f t="shared" si="0"/>
        <v>-3</v>
      </c>
    </row>
    <row r="17" spans="1:33" x14ac:dyDescent="0.25">
      <c r="A17" s="90"/>
      <c r="B17" s="38"/>
      <c r="C17" s="32">
        <f t="shared" si="0"/>
        <v>-2</v>
      </c>
    </row>
    <row r="18" spans="1:33" x14ac:dyDescent="0.25">
      <c r="A18" s="90"/>
      <c r="B18" s="38"/>
      <c r="C18" s="32">
        <f t="shared" si="0"/>
        <v>-1</v>
      </c>
      <c r="D18" t="s">
        <v>79</v>
      </c>
    </row>
    <row r="19" spans="1:33" x14ac:dyDescent="0.25">
      <c r="A19" s="90"/>
      <c r="B19" s="38"/>
      <c r="C19" s="29" t="s">
        <v>82</v>
      </c>
      <c r="E19">
        <v>-64.38</v>
      </c>
      <c r="F19">
        <v>-21.469999999999988</v>
      </c>
      <c r="G19">
        <v>-10.737999999999989</v>
      </c>
      <c r="H19">
        <v>-6.456000000000004</v>
      </c>
      <c r="I19">
        <v>-4.3262857142857118</v>
      </c>
      <c r="J19">
        <v>-3.086428571428574</v>
      </c>
      <c r="K19">
        <v>-2.331904761904763</v>
      </c>
      <c r="L19">
        <v>-1.8485000000000009</v>
      </c>
      <c r="M19">
        <v>-1.4995757575757571</v>
      </c>
      <c r="N19">
        <v>-1.2405454545454526</v>
      </c>
      <c r="O19">
        <v>-1.0393006993006964</v>
      </c>
      <c r="P19">
        <v>-0.90648351648351255</v>
      </c>
      <c r="Q19">
        <v>-0.79709890109889947</v>
      </c>
      <c r="R19">
        <v>-0.70607142857142857</v>
      </c>
      <c r="S19">
        <v>-0.62883823529411986</v>
      </c>
      <c r="T19">
        <v>-0.56372549019607843</v>
      </c>
      <c r="U19">
        <v>-0.50794633642930886</v>
      </c>
      <c r="V19">
        <v>-0.45947368421052553</v>
      </c>
      <c r="W19">
        <v>-0.41696240601503692</v>
      </c>
      <c r="X19">
        <v>-0.38036363636363613</v>
      </c>
      <c r="Y19">
        <v>-0.34771880293619589</v>
      </c>
      <c r="Z19">
        <v>-0.3189822134387354</v>
      </c>
      <c r="AA19">
        <v>-0.29344782608696085</v>
      </c>
      <c r="AB19">
        <v>-0.27066153846154023</v>
      </c>
      <c r="AC19">
        <v>-0.25033846153846295</v>
      </c>
      <c r="AD19">
        <v>-0.23213675213675303</v>
      </c>
      <c r="AE19">
        <v>-0.21640667761357643</v>
      </c>
      <c r="AF19">
        <v>-0.20310837438423926</v>
      </c>
      <c r="AG19">
        <v>-3.7503893214684017E-2</v>
      </c>
    </row>
    <row r="20" spans="1:33" x14ac:dyDescent="0.25">
      <c r="A20" s="90"/>
      <c r="B20" s="38"/>
      <c r="C20" s="32">
        <v>1</v>
      </c>
    </row>
    <row r="21" spans="1:33" x14ac:dyDescent="0.25">
      <c r="A21" s="90"/>
      <c r="B21" s="38"/>
      <c r="C21" s="32">
        <f t="shared" si="0"/>
        <v>2</v>
      </c>
    </row>
    <row r="22" spans="1:33" x14ac:dyDescent="0.25">
      <c r="A22" s="90"/>
      <c r="B22" s="38"/>
      <c r="C22" s="32">
        <f t="shared" si="0"/>
        <v>3</v>
      </c>
    </row>
    <row r="23" spans="1:33" x14ac:dyDescent="0.25">
      <c r="A23" s="90"/>
      <c r="B23" s="38"/>
      <c r="C23" s="32">
        <f t="shared" si="0"/>
        <v>4</v>
      </c>
    </row>
    <row r="24" spans="1:33" x14ac:dyDescent="0.25">
      <c r="A24" s="90"/>
      <c r="B24" s="38"/>
      <c r="C24" s="32">
        <f t="shared" si="0"/>
        <v>5</v>
      </c>
    </row>
    <row r="25" spans="1:33" x14ac:dyDescent="0.25">
      <c r="A25" s="90"/>
      <c r="B25" s="38"/>
      <c r="C25" s="32">
        <f t="shared" si="0"/>
        <v>6</v>
      </c>
    </row>
    <row r="26" spans="1:33" x14ac:dyDescent="0.25">
      <c r="A26" s="90"/>
      <c r="B26" s="38"/>
      <c r="C26" s="32">
        <f t="shared" si="0"/>
        <v>7</v>
      </c>
    </row>
    <row r="27" spans="1:33" x14ac:dyDescent="0.25">
      <c r="A27" s="90"/>
      <c r="B27" s="38"/>
      <c r="C27" s="32">
        <f t="shared" si="0"/>
        <v>8</v>
      </c>
    </row>
    <row r="28" spans="1:33" x14ac:dyDescent="0.25">
      <c r="A28" s="90"/>
      <c r="B28" s="38"/>
      <c r="C28" s="32">
        <f t="shared" si="0"/>
        <v>9</v>
      </c>
    </row>
    <row r="29" spans="1:33" x14ac:dyDescent="0.25">
      <c r="A29" s="90"/>
      <c r="B29" s="38"/>
      <c r="C29" s="32">
        <f t="shared" si="0"/>
        <v>10</v>
      </c>
    </row>
    <row r="30" spans="1:33" x14ac:dyDescent="0.25">
      <c r="A30" s="90"/>
      <c r="B30" s="38"/>
      <c r="C30" s="32">
        <f t="shared" si="0"/>
        <v>11</v>
      </c>
    </row>
    <row r="31" spans="1:33" x14ac:dyDescent="0.25">
      <c r="A31" s="90"/>
      <c r="B31" s="38"/>
      <c r="C31" s="32">
        <f t="shared" si="0"/>
        <v>12</v>
      </c>
    </row>
    <row r="32" spans="1:33" x14ac:dyDescent="0.25">
      <c r="A32" s="90"/>
      <c r="B32" s="38"/>
      <c r="C32" s="32">
        <f t="shared" si="0"/>
        <v>13</v>
      </c>
    </row>
    <row r="33" spans="1:3" x14ac:dyDescent="0.25">
      <c r="A33" s="90"/>
      <c r="B33" s="38"/>
      <c r="C33" s="32">
        <f t="shared" si="0"/>
        <v>14</v>
      </c>
    </row>
    <row r="34" spans="1:3" x14ac:dyDescent="0.25">
      <c r="A34" s="90"/>
      <c r="B34" s="34"/>
      <c r="C34" s="32">
        <f t="shared" si="0"/>
        <v>15</v>
      </c>
    </row>
    <row r="35" spans="1:3" hidden="1" x14ac:dyDescent="0.25">
      <c r="B35" s="34"/>
    </row>
    <row r="36" spans="1:3" hidden="1" x14ac:dyDescent="0.25">
      <c r="B36" s="34"/>
    </row>
    <row r="37" spans="1:3" hidden="1" x14ac:dyDescent="0.25">
      <c r="B37" s="34"/>
    </row>
    <row r="38" spans="1:3" hidden="1" x14ac:dyDescent="0.25">
      <c r="B38" s="34"/>
    </row>
    <row r="39" spans="1:3" hidden="1" x14ac:dyDescent="0.25">
      <c r="B39" s="34"/>
    </row>
    <row r="40" spans="1:3" hidden="1" x14ac:dyDescent="0.25">
      <c r="B40" s="34"/>
    </row>
    <row r="41" spans="1:3" hidden="1" x14ac:dyDescent="0.25">
      <c r="B41" s="34"/>
    </row>
    <row r="42" spans="1:3" hidden="1" x14ac:dyDescent="0.25">
      <c r="B42" s="34"/>
    </row>
    <row r="43" spans="1:3" hidden="1" x14ac:dyDescent="0.25">
      <c r="B43" s="34"/>
    </row>
    <row r="44" spans="1:3" hidden="1" x14ac:dyDescent="0.25">
      <c r="B44" s="34"/>
    </row>
    <row r="45" spans="1:3" hidden="1" x14ac:dyDescent="0.25">
      <c r="B45" s="34"/>
    </row>
    <row r="46" spans="1:3" hidden="1" x14ac:dyDescent="0.25">
      <c r="B46" s="34"/>
    </row>
    <row r="47" spans="1:3" hidden="1" x14ac:dyDescent="0.25">
      <c r="B47" s="34"/>
    </row>
    <row r="48" spans="1:3" hidden="1" x14ac:dyDescent="0.25">
      <c r="B48" s="34"/>
    </row>
    <row r="49" spans="2:2" hidden="1" x14ac:dyDescent="0.25">
      <c r="B49" s="34"/>
    </row>
    <row r="50" spans="2:2" hidden="1" x14ac:dyDescent="0.25">
      <c r="B50" s="34"/>
    </row>
    <row r="51" spans="2:2" hidden="1" x14ac:dyDescent="0.25">
      <c r="B51" s="34"/>
    </row>
    <row r="52" spans="2:2" hidden="1" x14ac:dyDescent="0.25">
      <c r="B52" s="34"/>
    </row>
    <row r="53" spans="2:2" hidden="1" x14ac:dyDescent="0.25">
      <c r="B53" s="34"/>
    </row>
    <row r="54" spans="2:2" hidden="1" x14ac:dyDescent="0.25">
      <c r="B54" s="34"/>
    </row>
    <row r="55" spans="2:2" hidden="1" x14ac:dyDescent="0.25">
      <c r="B55" s="34"/>
    </row>
    <row r="56" spans="2:2" hidden="1" x14ac:dyDescent="0.25">
      <c r="B56" s="34"/>
    </row>
    <row r="57" spans="2:2" hidden="1" x14ac:dyDescent="0.25">
      <c r="B57" s="34"/>
    </row>
    <row r="58" spans="2:2" hidden="1" x14ac:dyDescent="0.25">
      <c r="B58" s="34"/>
    </row>
    <row r="59" spans="2:2" hidden="1" x14ac:dyDescent="0.25">
      <c r="B59" s="34"/>
    </row>
    <row r="60" spans="2:2" hidden="1" x14ac:dyDescent="0.25">
      <c r="B60" s="34"/>
    </row>
    <row r="61" spans="2:2" hidden="1" x14ac:dyDescent="0.25">
      <c r="B61" s="34"/>
    </row>
    <row r="62" spans="2:2" hidden="1" x14ac:dyDescent="0.25">
      <c r="B62" s="34"/>
    </row>
    <row r="63" spans="2:2" hidden="1" x14ac:dyDescent="0.25"/>
    <row r="64" spans="2:2" hidden="1" x14ac:dyDescent="0.25"/>
    <row r="65" hidden="1" x14ac:dyDescent="0.25"/>
    <row r="66" hidden="1" x14ac:dyDescent="0.25"/>
    <row r="67" hidden="1" x14ac:dyDescent="0.25"/>
  </sheetData>
  <mergeCells count="4">
    <mergeCell ref="D2:AG2"/>
    <mergeCell ref="D1:AG1"/>
    <mergeCell ref="A1:B2"/>
    <mergeCell ref="A4:A34"/>
  </mergeCells>
  <conditionalFormatting sqref="D4:AG34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Config</vt:lpstr>
      <vt:lpstr>LogCuba</vt:lpstr>
      <vt:lpstr>CoefAng</vt:lpstr>
      <vt:lpstr>Result</vt:lpstr>
      <vt:lpstr>NCicCoefAngDeriv</vt:lpstr>
      <vt:lpstr>SizeOfBuffer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De Almeida Oliveira</dc:creator>
  <cp:lastModifiedBy>Thiago De Almeida Oliveira</cp:lastModifiedBy>
  <dcterms:created xsi:type="dcterms:W3CDTF">2020-05-29T15:28:33Z</dcterms:created>
  <dcterms:modified xsi:type="dcterms:W3CDTF">2020-07-20T13:31:31Z</dcterms:modified>
</cp:coreProperties>
</file>